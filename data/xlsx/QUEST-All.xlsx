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loos/Work/QUESTDB/data/xlsx/"/>
    </mc:Choice>
  </mc:AlternateContent>
  <xr:revisionPtr revIDLastSave="0" documentId="13_ncr:1_{A2A3F083-2973-744B-AB28-4F9FBD543260}" xr6:coauthVersionLast="47" xr6:coauthVersionMax="47" xr10:uidLastSave="{00000000-0000-0000-0000-000000000000}"/>
  <bookViews>
    <workbookView xWindow="0" yWindow="600" windowWidth="28800" windowHeight="17400" xr2:uid="{4831ABE8-B898-D94B-9B21-6652C81C6240}"/>
  </bookViews>
  <sheets>
    <sheet name="MAIN" sheetId="1" r:id="rId1"/>
    <sheet name="RAD" sheetId="5" r:id="rId2"/>
    <sheet name="CHROM" sheetId="2" r:id="rId3"/>
    <sheet name="BIO" sheetId="3" r:id="rId4"/>
    <sheet name="TM" sheetId="4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944" i="1" l="1"/>
  <c r="I944" i="1" s="1"/>
  <c r="D944" i="1"/>
  <c r="D948" i="1" s="1"/>
  <c r="E944" i="1"/>
  <c r="E948" i="1" s="1"/>
  <c r="F944" i="1"/>
  <c r="F948" i="1" s="1"/>
  <c r="F949" i="1" s="1"/>
  <c r="G944" i="1"/>
  <c r="G948" i="1" s="1"/>
  <c r="H944" i="1"/>
  <c r="H948" i="1" s="1"/>
  <c r="C945" i="1"/>
  <c r="I945" i="1" s="1"/>
  <c r="D945" i="1"/>
  <c r="E945" i="1"/>
  <c r="F945" i="1"/>
  <c r="G945" i="1"/>
  <c r="H945" i="1"/>
  <c r="C946" i="1"/>
  <c r="I946" i="1" s="1"/>
  <c r="D946" i="1"/>
  <c r="E946" i="1"/>
  <c r="F946" i="1"/>
  <c r="G946" i="1"/>
  <c r="H946" i="1"/>
  <c r="C947" i="1"/>
  <c r="I947" i="1" s="1"/>
  <c r="D947" i="1"/>
  <c r="E947" i="1"/>
  <c r="F947" i="1"/>
  <c r="G947" i="1"/>
  <c r="H947" i="1"/>
  <c r="C68" i="3"/>
  <c r="D68" i="3"/>
  <c r="E68" i="3"/>
  <c r="E72" i="3" s="1"/>
  <c r="F68" i="3"/>
  <c r="G68" i="3"/>
  <c r="G72" i="3" s="1"/>
  <c r="H68" i="3"/>
  <c r="H72" i="3" s="1"/>
  <c r="C69" i="3"/>
  <c r="I69" i="3" s="1"/>
  <c r="D69" i="3"/>
  <c r="E69" i="3"/>
  <c r="F69" i="3"/>
  <c r="G69" i="3"/>
  <c r="H69" i="3"/>
  <c r="C70" i="3"/>
  <c r="I70" i="3" s="1"/>
  <c r="D70" i="3"/>
  <c r="D72" i="3" s="1"/>
  <c r="E70" i="3"/>
  <c r="F70" i="3"/>
  <c r="G70" i="3"/>
  <c r="H70" i="3"/>
  <c r="C71" i="3"/>
  <c r="D71" i="3"/>
  <c r="E71" i="3"/>
  <c r="F71" i="3"/>
  <c r="I71" i="3" s="1"/>
  <c r="G71" i="3"/>
  <c r="H71" i="3"/>
  <c r="C948" i="1" l="1"/>
  <c r="C949" i="1" s="1"/>
  <c r="C72" i="3"/>
  <c r="C73" i="3" s="1"/>
  <c r="I68" i="3"/>
  <c r="F72" i="3"/>
  <c r="F73" i="3" s="1"/>
  <c r="F285" i="5"/>
  <c r="F299" i="5"/>
  <c r="F298" i="5"/>
  <c r="D4" i="5" l="1"/>
  <c r="D5" i="5"/>
  <c r="D6" i="5"/>
  <c r="D7" i="5"/>
  <c r="D8" i="5"/>
  <c r="D9" i="5"/>
  <c r="D10" i="5"/>
  <c r="D11" i="5"/>
  <c r="D12" i="5"/>
  <c r="D13" i="5"/>
  <c r="D14" i="5"/>
  <c r="D15" i="5"/>
  <c r="D16" i="5"/>
  <c r="D17" i="5"/>
  <c r="D18" i="5"/>
  <c r="D19" i="5"/>
  <c r="D20" i="5"/>
  <c r="D21" i="5"/>
  <c r="D22" i="5"/>
  <c r="D23" i="5"/>
  <c r="D24" i="5"/>
  <c r="D25" i="5"/>
  <c r="D26" i="5"/>
  <c r="D27" i="5"/>
  <c r="D28" i="5"/>
  <c r="D29" i="5"/>
  <c r="D30" i="5"/>
  <c r="D31" i="5"/>
  <c r="D32" i="5"/>
  <c r="D33" i="5"/>
  <c r="D34" i="5"/>
  <c r="D35" i="5"/>
  <c r="D36" i="5"/>
  <c r="D37" i="5"/>
  <c r="D38" i="5"/>
  <c r="D39" i="5"/>
  <c r="D40" i="5"/>
  <c r="D41" i="5"/>
  <c r="D42" i="5"/>
  <c r="D43" i="5"/>
  <c r="D44" i="5"/>
  <c r="D45" i="5"/>
  <c r="D46" i="5"/>
  <c r="D47" i="5"/>
  <c r="D48" i="5"/>
  <c r="D49" i="5"/>
  <c r="D50" i="5"/>
  <c r="D51" i="5"/>
  <c r="D52" i="5"/>
  <c r="D53" i="5"/>
  <c r="D54" i="5"/>
  <c r="D55" i="5"/>
  <c r="D56" i="5"/>
  <c r="D57" i="5"/>
  <c r="D58" i="5"/>
  <c r="D59" i="5"/>
  <c r="D60" i="5"/>
  <c r="D61" i="5"/>
  <c r="D62" i="5"/>
  <c r="D63" i="5"/>
  <c r="D64" i="5"/>
  <c r="D65" i="5"/>
  <c r="D66" i="5"/>
  <c r="D67" i="5"/>
  <c r="D68" i="5"/>
  <c r="D69" i="5"/>
  <c r="D70" i="5"/>
  <c r="D71" i="5"/>
  <c r="D72" i="5"/>
  <c r="D73" i="5"/>
  <c r="D74" i="5"/>
  <c r="D75" i="5"/>
  <c r="D76" i="5"/>
  <c r="D77" i="5"/>
  <c r="D78" i="5"/>
  <c r="D79" i="5"/>
  <c r="D80" i="5"/>
  <c r="D81" i="5"/>
  <c r="D82" i="5"/>
  <c r="D83" i="5"/>
  <c r="D84" i="5"/>
  <c r="D85" i="5"/>
  <c r="D86" i="5"/>
  <c r="D87" i="5"/>
  <c r="D88" i="5"/>
  <c r="D89" i="5"/>
  <c r="D90" i="5"/>
  <c r="D91" i="5"/>
  <c r="D92" i="5"/>
  <c r="D93" i="5"/>
  <c r="D94" i="5"/>
  <c r="D95" i="5"/>
  <c r="D96" i="5"/>
  <c r="D97" i="5"/>
  <c r="D98" i="5"/>
  <c r="D99" i="5"/>
  <c r="D100" i="5"/>
  <c r="D101" i="5"/>
  <c r="D102" i="5"/>
  <c r="D103" i="5"/>
  <c r="D104" i="5"/>
  <c r="D105" i="5"/>
  <c r="D106" i="5"/>
  <c r="D107" i="5"/>
  <c r="D108" i="5"/>
  <c r="D109" i="5"/>
  <c r="D110" i="5"/>
  <c r="D111" i="5"/>
  <c r="D112" i="5"/>
  <c r="D113" i="5"/>
  <c r="D114" i="5"/>
  <c r="D115" i="5"/>
  <c r="D116" i="5"/>
  <c r="D117" i="5"/>
  <c r="D118" i="5"/>
  <c r="D119" i="5"/>
  <c r="D120" i="5"/>
  <c r="D121" i="5"/>
  <c r="D122" i="5"/>
  <c r="D123" i="5"/>
  <c r="D124" i="5"/>
  <c r="D125" i="5"/>
  <c r="D126" i="5"/>
  <c r="D127" i="5"/>
  <c r="D128" i="5"/>
  <c r="D129" i="5"/>
  <c r="D130" i="5"/>
  <c r="D131" i="5"/>
  <c r="D132" i="5"/>
  <c r="D133" i="5"/>
  <c r="D134" i="5"/>
  <c r="D135" i="5"/>
  <c r="D136" i="5"/>
  <c r="D137" i="5"/>
  <c r="D138" i="5"/>
  <c r="D139" i="5"/>
  <c r="D140" i="5"/>
  <c r="D141" i="5"/>
  <c r="D142" i="5"/>
  <c r="D143" i="5"/>
  <c r="D144" i="5"/>
  <c r="D145" i="5"/>
  <c r="D146" i="5"/>
  <c r="D147" i="5"/>
  <c r="D148" i="5"/>
  <c r="D149" i="5"/>
  <c r="D150" i="5"/>
  <c r="D151" i="5"/>
  <c r="D152" i="5"/>
  <c r="D153" i="5"/>
  <c r="D154" i="5"/>
  <c r="D155" i="5"/>
  <c r="D156" i="5"/>
  <c r="D157" i="5"/>
  <c r="D158" i="5"/>
  <c r="D159" i="5"/>
  <c r="D160" i="5"/>
  <c r="D161" i="5"/>
  <c r="D162" i="5"/>
  <c r="D163" i="5"/>
  <c r="D164" i="5"/>
  <c r="D165" i="5"/>
  <c r="D166" i="5"/>
  <c r="D167" i="5"/>
  <c r="D168" i="5"/>
  <c r="D169" i="5"/>
  <c r="D170" i="5"/>
  <c r="D171" i="5"/>
  <c r="D172" i="5"/>
  <c r="D173" i="5"/>
  <c r="D174" i="5"/>
  <c r="D175" i="5"/>
  <c r="D176" i="5"/>
  <c r="D177" i="5"/>
  <c r="D178" i="5"/>
  <c r="D179" i="5"/>
  <c r="D180" i="5"/>
  <c r="D181" i="5"/>
  <c r="D182" i="5"/>
  <c r="D183" i="5"/>
  <c r="D184" i="5"/>
  <c r="D185" i="5"/>
  <c r="D186" i="5"/>
  <c r="D187" i="5"/>
  <c r="D188" i="5"/>
  <c r="D189" i="5"/>
  <c r="D190" i="5"/>
  <c r="D191" i="5"/>
  <c r="D192" i="5"/>
  <c r="D193" i="5"/>
  <c r="D194" i="5"/>
  <c r="D195" i="5"/>
  <c r="D196" i="5"/>
  <c r="D197" i="5"/>
  <c r="D198" i="5"/>
  <c r="D199" i="5"/>
  <c r="D200" i="5"/>
  <c r="D201" i="5"/>
  <c r="D202" i="5"/>
  <c r="D203" i="5"/>
  <c r="D204" i="5"/>
  <c r="D205" i="5"/>
  <c r="D206" i="5"/>
  <c r="D207" i="5"/>
  <c r="D208" i="5"/>
  <c r="D209" i="5"/>
  <c r="D210" i="5"/>
  <c r="D211" i="5"/>
  <c r="D212" i="5"/>
  <c r="D213" i="5"/>
  <c r="D214" i="5"/>
  <c r="D215" i="5"/>
  <c r="D216" i="5"/>
  <c r="D217" i="5"/>
  <c r="D218" i="5"/>
  <c r="D219" i="5"/>
  <c r="D220" i="5"/>
  <c r="D221" i="5"/>
  <c r="D222" i="5"/>
  <c r="D223" i="5"/>
  <c r="D224" i="5"/>
  <c r="D225" i="5"/>
  <c r="D226" i="5"/>
  <c r="D227" i="5"/>
  <c r="D228" i="5"/>
  <c r="D229" i="5"/>
  <c r="D230" i="5"/>
  <c r="D231" i="5"/>
  <c r="D232" i="5"/>
  <c r="D233" i="5"/>
  <c r="D234" i="5"/>
  <c r="D235" i="5"/>
  <c r="D236" i="5"/>
  <c r="D237" i="5"/>
  <c r="D238" i="5"/>
  <c r="D239" i="5"/>
  <c r="D240" i="5"/>
  <c r="D241" i="5"/>
  <c r="D242" i="5"/>
  <c r="D243" i="5"/>
  <c r="D244" i="5"/>
  <c r="D245" i="5"/>
  <c r="D246" i="5"/>
  <c r="D247" i="5"/>
  <c r="D248" i="5"/>
  <c r="D249" i="5"/>
  <c r="D250" i="5"/>
  <c r="D251" i="5"/>
  <c r="D252" i="5"/>
  <c r="D253" i="5"/>
  <c r="D254" i="5"/>
  <c r="D255" i="5"/>
  <c r="D256" i="5"/>
  <c r="D257" i="5"/>
  <c r="D258" i="5"/>
  <c r="D259" i="5"/>
  <c r="D260" i="5"/>
  <c r="D261" i="5"/>
  <c r="D262" i="5"/>
  <c r="D263" i="5"/>
  <c r="D264" i="5"/>
  <c r="D265" i="5"/>
  <c r="D266" i="5"/>
  <c r="D267" i="5"/>
  <c r="D268" i="5"/>
  <c r="D269" i="5"/>
  <c r="D270" i="5"/>
  <c r="D271" i="5"/>
  <c r="D272" i="5"/>
  <c r="D273" i="5"/>
  <c r="D274" i="5"/>
  <c r="D275" i="5"/>
  <c r="D276" i="5"/>
  <c r="D277" i="5"/>
  <c r="D278" i="5"/>
  <c r="D279" i="5"/>
  <c r="D280" i="5"/>
  <c r="D281" i="5"/>
  <c r="D282" i="5"/>
  <c r="D283" i="5"/>
  <c r="D3" i="5"/>
  <c r="F295" i="5" l="1"/>
  <c r="F296" i="5"/>
  <c r="F293" i="5"/>
  <c r="F292" i="5"/>
  <c r="F290" i="5"/>
  <c r="F289" i="5"/>
  <c r="F288" i="5"/>
  <c r="F286" i="5"/>
  <c r="H173" i="2"/>
  <c r="F170" i="2"/>
  <c r="E172" i="2"/>
  <c r="E171" i="2"/>
  <c r="C63" i="3"/>
  <c r="D4" i="3"/>
  <c r="D5" i="3"/>
  <c r="D6" i="3"/>
  <c r="D7" i="3"/>
  <c r="D8" i="3"/>
  <c r="D9" i="3"/>
  <c r="D10" i="3"/>
  <c r="D11" i="3"/>
  <c r="D12" i="3"/>
  <c r="D13" i="3"/>
  <c r="D14" i="3"/>
  <c r="D15" i="3"/>
  <c r="D16" i="3"/>
  <c r="D17" i="3"/>
  <c r="D18" i="3"/>
  <c r="D19" i="3"/>
  <c r="D20" i="3"/>
  <c r="D21" i="3"/>
  <c r="D22" i="3"/>
  <c r="D23" i="3"/>
  <c r="D24" i="3"/>
  <c r="D25" i="3"/>
  <c r="D26" i="3"/>
  <c r="D27" i="3"/>
  <c r="D28" i="3"/>
  <c r="D29" i="3"/>
  <c r="D30" i="3"/>
  <c r="D31" i="3"/>
  <c r="D32" i="3"/>
  <c r="D33" i="3"/>
  <c r="D34" i="3"/>
  <c r="D35" i="3"/>
  <c r="D36" i="3"/>
  <c r="D37" i="3"/>
  <c r="D38" i="3"/>
  <c r="D39" i="3"/>
  <c r="D40" i="3"/>
  <c r="D41" i="3"/>
  <c r="D42" i="3"/>
  <c r="D43" i="3"/>
  <c r="D44" i="3"/>
  <c r="D45" i="3"/>
  <c r="D46" i="3"/>
  <c r="D47" i="3"/>
  <c r="D48" i="3"/>
  <c r="D49" i="3"/>
  <c r="D50" i="3"/>
  <c r="D51" i="3"/>
  <c r="D52" i="3"/>
  <c r="D53" i="3"/>
  <c r="D54" i="3"/>
  <c r="D55" i="3"/>
  <c r="D56" i="3"/>
  <c r="D57" i="3"/>
  <c r="D58" i="3"/>
  <c r="D3" i="3"/>
  <c r="D4" i="2"/>
  <c r="D5" i="2"/>
  <c r="C173" i="2" s="1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54" i="2"/>
  <c r="D55" i="2"/>
  <c r="D56" i="2"/>
  <c r="D57" i="2"/>
  <c r="D58" i="2"/>
  <c r="D59" i="2"/>
  <c r="D60" i="2"/>
  <c r="D61" i="2"/>
  <c r="D62" i="2"/>
  <c r="D63" i="2"/>
  <c r="D64" i="2"/>
  <c r="D65" i="2"/>
  <c r="D66" i="2"/>
  <c r="D67" i="2"/>
  <c r="D68" i="2"/>
  <c r="D69" i="2"/>
  <c r="D70" i="2"/>
  <c r="D71" i="2"/>
  <c r="D72" i="2"/>
  <c r="D73" i="2"/>
  <c r="D74" i="2"/>
  <c r="D75" i="2"/>
  <c r="D76" i="2"/>
  <c r="D77" i="2"/>
  <c r="D78" i="2"/>
  <c r="D79" i="2"/>
  <c r="D80" i="2"/>
  <c r="D81" i="2"/>
  <c r="D82" i="2"/>
  <c r="D83" i="2"/>
  <c r="D84" i="2"/>
  <c r="D85" i="2"/>
  <c r="D86" i="2"/>
  <c r="D87" i="2"/>
  <c r="D88" i="2"/>
  <c r="D89" i="2"/>
  <c r="D90" i="2"/>
  <c r="D91" i="2"/>
  <c r="D92" i="2"/>
  <c r="D93" i="2"/>
  <c r="D94" i="2"/>
  <c r="D95" i="2"/>
  <c r="D96" i="2"/>
  <c r="D97" i="2"/>
  <c r="D98" i="2"/>
  <c r="D99" i="2"/>
  <c r="D100" i="2"/>
  <c r="D101" i="2"/>
  <c r="D102" i="2"/>
  <c r="D103" i="2"/>
  <c r="D104" i="2"/>
  <c r="D105" i="2"/>
  <c r="D106" i="2"/>
  <c r="D107" i="2"/>
  <c r="D108" i="2"/>
  <c r="D109" i="2"/>
  <c r="D110" i="2"/>
  <c r="D111" i="2"/>
  <c r="D112" i="2"/>
  <c r="D113" i="2"/>
  <c r="D114" i="2"/>
  <c r="D115" i="2"/>
  <c r="D116" i="2"/>
  <c r="D117" i="2"/>
  <c r="D118" i="2"/>
  <c r="D119" i="2"/>
  <c r="D120" i="2"/>
  <c r="D121" i="2"/>
  <c r="D122" i="2"/>
  <c r="D123" i="2"/>
  <c r="D124" i="2"/>
  <c r="D125" i="2"/>
  <c r="D126" i="2"/>
  <c r="D127" i="2"/>
  <c r="D128" i="2"/>
  <c r="D129" i="2"/>
  <c r="D130" i="2"/>
  <c r="D131" i="2"/>
  <c r="D132" i="2"/>
  <c r="D133" i="2"/>
  <c r="D134" i="2"/>
  <c r="D135" i="2"/>
  <c r="D136" i="2"/>
  <c r="D137" i="2"/>
  <c r="D138" i="2"/>
  <c r="D139" i="2"/>
  <c r="D140" i="2"/>
  <c r="D141" i="2"/>
  <c r="D142" i="2"/>
  <c r="D143" i="2"/>
  <c r="D144" i="2"/>
  <c r="D145" i="2"/>
  <c r="D146" i="2"/>
  <c r="D147" i="2"/>
  <c r="D148" i="2"/>
  <c r="D149" i="2"/>
  <c r="D150" i="2"/>
  <c r="D151" i="2"/>
  <c r="D152" i="2"/>
  <c r="D153" i="2"/>
  <c r="D154" i="2"/>
  <c r="D155" i="2"/>
  <c r="D156" i="2"/>
  <c r="D157" i="2"/>
  <c r="D158" i="2"/>
  <c r="D159" i="2"/>
  <c r="D160" i="2"/>
  <c r="D3" i="2"/>
  <c r="G172" i="2" s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D464" i="1"/>
  <c r="D465" i="1"/>
  <c r="D466" i="1"/>
  <c r="D467" i="1"/>
  <c r="D468" i="1"/>
  <c r="D469" i="1"/>
  <c r="D470" i="1"/>
  <c r="D471" i="1"/>
  <c r="D472" i="1"/>
  <c r="D473" i="1"/>
  <c r="D474" i="1"/>
  <c r="D475" i="1"/>
  <c r="D476" i="1"/>
  <c r="D477" i="1"/>
  <c r="D478" i="1"/>
  <c r="D479" i="1"/>
  <c r="D480" i="1"/>
  <c r="D481" i="1"/>
  <c r="D482" i="1"/>
  <c r="D483" i="1"/>
  <c r="D484" i="1"/>
  <c r="D485" i="1"/>
  <c r="D486" i="1"/>
  <c r="D487" i="1"/>
  <c r="D488" i="1"/>
  <c r="D489" i="1"/>
  <c r="D490" i="1"/>
  <c r="D491" i="1"/>
  <c r="D492" i="1"/>
  <c r="D493" i="1"/>
  <c r="D494" i="1"/>
  <c r="D495" i="1"/>
  <c r="D496" i="1"/>
  <c r="D497" i="1"/>
  <c r="D498" i="1"/>
  <c r="D499" i="1"/>
  <c r="D500" i="1"/>
  <c r="D501" i="1"/>
  <c r="D502" i="1"/>
  <c r="D503" i="1"/>
  <c r="D504" i="1"/>
  <c r="D505" i="1"/>
  <c r="D506" i="1"/>
  <c r="D507" i="1"/>
  <c r="D508" i="1"/>
  <c r="D509" i="1"/>
  <c r="D510" i="1"/>
  <c r="D511" i="1"/>
  <c r="D512" i="1"/>
  <c r="D513" i="1"/>
  <c r="D514" i="1"/>
  <c r="D515" i="1"/>
  <c r="D516" i="1"/>
  <c r="D517" i="1"/>
  <c r="D518" i="1"/>
  <c r="D519" i="1"/>
  <c r="D520" i="1"/>
  <c r="D521" i="1"/>
  <c r="D522" i="1"/>
  <c r="D523" i="1"/>
  <c r="D524" i="1"/>
  <c r="D525" i="1"/>
  <c r="D526" i="1"/>
  <c r="D527" i="1"/>
  <c r="D528" i="1"/>
  <c r="D529" i="1"/>
  <c r="D530" i="1"/>
  <c r="D531" i="1"/>
  <c r="D532" i="1"/>
  <c r="D533" i="1"/>
  <c r="D534" i="1"/>
  <c r="D535" i="1"/>
  <c r="D536" i="1"/>
  <c r="D537" i="1"/>
  <c r="D538" i="1"/>
  <c r="D539" i="1"/>
  <c r="D540" i="1"/>
  <c r="D541" i="1"/>
  <c r="D542" i="1"/>
  <c r="D543" i="1"/>
  <c r="D544" i="1"/>
  <c r="D545" i="1"/>
  <c r="D546" i="1"/>
  <c r="D547" i="1"/>
  <c r="D548" i="1"/>
  <c r="D549" i="1"/>
  <c r="D550" i="1"/>
  <c r="D551" i="1"/>
  <c r="D552" i="1"/>
  <c r="D553" i="1"/>
  <c r="D554" i="1"/>
  <c r="D555" i="1"/>
  <c r="D556" i="1"/>
  <c r="D557" i="1"/>
  <c r="D558" i="1"/>
  <c r="D559" i="1"/>
  <c r="D560" i="1"/>
  <c r="D561" i="1"/>
  <c r="D562" i="1"/>
  <c r="D563" i="1"/>
  <c r="D564" i="1"/>
  <c r="D565" i="1"/>
  <c r="D566" i="1"/>
  <c r="D567" i="1"/>
  <c r="D568" i="1"/>
  <c r="D569" i="1"/>
  <c r="D570" i="1"/>
  <c r="D571" i="1"/>
  <c r="D572" i="1"/>
  <c r="D573" i="1"/>
  <c r="D574" i="1"/>
  <c r="D575" i="1"/>
  <c r="D576" i="1"/>
  <c r="D577" i="1"/>
  <c r="D578" i="1"/>
  <c r="D579" i="1"/>
  <c r="D580" i="1"/>
  <c r="D581" i="1"/>
  <c r="D582" i="1"/>
  <c r="D583" i="1"/>
  <c r="D584" i="1"/>
  <c r="D585" i="1"/>
  <c r="D586" i="1"/>
  <c r="D587" i="1"/>
  <c r="D588" i="1"/>
  <c r="D589" i="1"/>
  <c r="D590" i="1"/>
  <c r="D591" i="1"/>
  <c r="D592" i="1"/>
  <c r="D593" i="1"/>
  <c r="D594" i="1"/>
  <c r="D595" i="1"/>
  <c r="D596" i="1"/>
  <c r="D597" i="1"/>
  <c r="D598" i="1"/>
  <c r="D599" i="1"/>
  <c r="D600" i="1"/>
  <c r="D601" i="1"/>
  <c r="D602" i="1"/>
  <c r="D603" i="1"/>
  <c r="D604" i="1"/>
  <c r="D605" i="1"/>
  <c r="D606" i="1"/>
  <c r="D607" i="1"/>
  <c r="D608" i="1"/>
  <c r="D609" i="1"/>
  <c r="D610" i="1"/>
  <c r="D611" i="1"/>
  <c r="D612" i="1"/>
  <c r="D613" i="1"/>
  <c r="D614" i="1"/>
  <c r="D615" i="1"/>
  <c r="D616" i="1"/>
  <c r="D617" i="1"/>
  <c r="D618" i="1"/>
  <c r="D619" i="1"/>
  <c r="D620" i="1"/>
  <c r="D621" i="1"/>
  <c r="D622" i="1"/>
  <c r="D623" i="1"/>
  <c r="D624" i="1"/>
  <c r="D625" i="1"/>
  <c r="D626" i="1"/>
  <c r="D627" i="1"/>
  <c r="D628" i="1"/>
  <c r="D629" i="1"/>
  <c r="D630" i="1"/>
  <c r="D631" i="1"/>
  <c r="D632" i="1"/>
  <c r="D633" i="1"/>
  <c r="D634" i="1"/>
  <c r="D635" i="1"/>
  <c r="D636" i="1"/>
  <c r="D637" i="1"/>
  <c r="D638" i="1"/>
  <c r="D639" i="1"/>
  <c r="D640" i="1"/>
  <c r="D641" i="1"/>
  <c r="D642" i="1"/>
  <c r="D643" i="1"/>
  <c r="D644" i="1"/>
  <c r="D645" i="1"/>
  <c r="D646" i="1"/>
  <c r="D647" i="1"/>
  <c r="D648" i="1"/>
  <c r="D649" i="1"/>
  <c r="D650" i="1"/>
  <c r="D651" i="1"/>
  <c r="D652" i="1"/>
  <c r="D653" i="1"/>
  <c r="D654" i="1"/>
  <c r="D655" i="1"/>
  <c r="D656" i="1"/>
  <c r="D657" i="1"/>
  <c r="D658" i="1"/>
  <c r="D659" i="1"/>
  <c r="D660" i="1"/>
  <c r="D661" i="1"/>
  <c r="D662" i="1"/>
  <c r="D663" i="1"/>
  <c r="D664" i="1"/>
  <c r="D665" i="1"/>
  <c r="D666" i="1"/>
  <c r="D667" i="1"/>
  <c r="D668" i="1"/>
  <c r="D669" i="1"/>
  <c r="D670" i="1"/>
  <c r="D671" i="1"/>
  <c r="D672" i="1"/>
  <c r="D673" i="1"/>
  <c r="D674" i="1"/>
  <c r="D675" i="1"/>
  <c r="D676" i="1"/>
  <c r="D677" i="1"/>
  <c r="D678" i="1"/>
  <c r="D679" i="1"/>
  <c r="D680" i="1"/>
  <c r="D681" i="1"/>
  <c r="D682" i="1"/>
  <c r="D683" i="1"/>
  <c r="D684" i="1"/>
  <c r="D685" i="1"/>
  <c r="D686" i="1"/>
  <c r="D687" i="1"/>
  <c r="D688" i="1"/>
  <c r="D689" i="1"/>
  <c r="D690" i="1"/>
  <c r="D691" i="1"/>
  <c r="D692" i="1"/>
  <c r="D693" i="1"/>
  <c r="D694" i="1"/>
  <c r="D695" i="1"/>
  <c r="D696" i="1"/>
  <c r="D697" i="1"/>
  <c r="D698" i="1"/>
  <c r="D699" i="1"/>
  <c r="D700" i="1"/>
  <c r="D701" i="1"/>
  <c r="D702" i="1"/>
  <c r="D703" i="1"/>
  <c r="D704" i="1"/>
  <c r="D705" i="1"/>
  <c r="D706" i="1"/>
  <c r="D707" i="1"/>
  <c r="D708" i="1"/>
  <c r="D709" i="1"/>
  <c r="D710" i="1"/>
  <c r="D711" i="1"/>
  <c r="D712" i="1"/>
  <c r="D713" i="1"/>
  <c r="D714" i="1"/>
  <c r="D715" i="1"/>
  <c r="D716" i="1"/>
  <c r="D717" i="1"/>
  <c r="D718" i="1"/>
  <c r="D719" i="1"/>
  <c r="D720" i="1"/>
  <c r="D721" i="1"/>
  <c r="D722" i="1"/>
  <c r="D723" i="1"/>
  <c r="D724" i="1"/>
  <c r="D725" i="1"/>
  <c r="D726" i="1"/>
  <c r="D727" i="1"/>
  <c r="D728" i="1"/>
  <c r="D729" i="1"/>
  <c r="D730" i="1"/>
  <c r="D731" i="1"/>
  <c r="D732" i="1"/>
  <c r="D733" i="1"/>
  <c r="D734" i="1"/>
  <c r="D735" i="1"/>
  <c r="D736" i="1"/>
  <c r="D737" i="1"/>
  <c r="D738" i="1"/>
  <c r="D739" i="1"/>
  <c r="D740" i="1"/>
  <c r="D741" i="1"/>
  <c r="D742" i="1"/>
  <c r="D743" i="1"/>
  <c r="D744" i="1"/>
  <c r="D745" i="1"/>
  <c r="D746" i="1"/>
  <c r="D747" i="1"/>
  <c r="D748" i="1"/>
  <c r="D749" i="1"/>
  <c r="D750" i="1"/>
  <c r="D751" i="1"/>
  <c r="D752" i="1"/>
  <c r="D753" i="1"/>
  <c r="D754" i="1"/>
  <c r="D755" i="1"/>
  <c r="D756" i="1"/>
  <c r="D757" i="1"/>
  <c r="D758" i="1"/>
  <c r="D759" i="1"/>
  <c r="D760" i="1"/>
  <c r="D761" i="1"/>
  <c r="D762" i="1"/>
  <c r="D763" i="1"/>
  <c r="D764" i="1"/>
  <c r="D765" i="1"/>
  <c r="D766" i="1"/>
  <c r="D767" i="1"/>
  <c r="D768" i="1"/>
  <c r="D769" i="1"/>
  <c r="D770" i="1"/>
  <c r="D771" i="1"/>
  <c r="D772" i="1"/>
  <c r="D773" i="1"/>
  <c r="D774" i="1"/>
  <c r="D775" i="1"/>
  <c r="D776" i="1"/>
  <c r="D777" i="1"/>
  <c r="D778" i="1"/>
  <c r="D779" i="1"/>
  <c r="D780" i="1"/>
  <c r="D781" i="1"/>
  <c r="D782" i="1"/>
  <c r="D783" i="1"/>
  <c r="D784" i="1"/>
  <c r="D785" i="1"/>
  <c r="D786" i="1"/>
  <c r="D787" i="1"/>
  <c r="D788" i="1"/>
  <c r="D789" i="1"/>
  <c r="D790" i="1"/>
  <c r="D791" i="1"/>
  <c r="D792" i="1"/>
  <c r="D793" i="1"/>
  <c r="D794" i="1"/>
  <c r="D795" i="1"/>
  <c r="D796" i="1"/>
  <c r="D797" i="1"/>
  <c r="D798" i="1"/>
  <c r="D799" i="1"/>
  <c r="D800" i="1"/>
  <c r="D801" i="1"/>
  <c r="D802" i="1"/>
  <c r="D803" i="1"/>
  <c r="D804" i="1"/>
  <c r="D805" i="1"/>
  <c r="D806" i="1"/>
  <c r="D807" i="1"/>
  <c r="D808" i="1"/>
  <c r="D809" i="1"/>
  <c r="D810" i="1"/>
  <c r="D811" i="1"/>
  <c r="D812" i="1"/>
  <c r="D813" i="1"/>
  <c r="D814" i="1"/>
  <c r="D815" i="1"/>
  <c r="D816" i="1"/>
  <c r="D817" i="1"/>
  <c r="D818" i="1"/>
  <c r="D819" i="1"/>
  <c r="D820" i="1"/>
  <c r="D821" i="1"/>
  <c r="D822" i="1"/>
  <c r="D823" i="1"/>
  <c r="D824" i="1"/>
  <c r="D825" i="1"/>
  <c r="D826" i="1"/>
  <c r="D827" i="1"/>
  <c r="D828" i="1"/>
  <c r="D829" i="1"/>
  <c r="D830" i="1"/>
  <c r="D831" i="1"/>
  <c r="D832" i="1"/>
  <c r="D833" i="1"/>
  <c r="D834" i="1"/>
  <c r="D835" i="1"/>
  <c r="D836" i="1"/>
  <c r="D837" i="1"/>
  <c r="D838" i="1"/>
  <c r="D839" i="1"/>
  <c r="D840" i="1"/>
  <c r="D841" i="1"/>
  <c r="D842" i="1"/>
  <c r="D843" i="1"/>
  <c r="D844" i="1"/>
  <c r="D845" i="1"/>
  <c r="D846" i="1"/>
  <c r="D847" i="1"/>
  <c r="D848" i="1"/>
  <c r="D849" i="1"/>
  <c r="D850" i="1"/>
  <c r="D851" i="1"/>
  <c r="D852" i="1"/>
  <c r="D853" i="1"/>
  <c r="D854" i="1"/>
  <c r="D855" i="1"/>
  <c r="D856" i="1"/>
  <c r="D857" i="1"/>
  <c r="D858" i="1"/>
  <c r="D859" i="1"/>
  <c r="D860" i="1"/>
  <c r="D861" i="1"/>
  <c r="D862" i="1"/>
  <c r="D863" i="1"/>
  <c r="D864" i="1"/>
  <c r="D865" i="1"/>
  <c r="D866" i="1"/>
  <c r="D867" i="1"/>
  <c r="D868" i="1"/>
  <c r="D869" i="1"/>
  <c r="D870" i="1"/>
  <c r="D871" i="1"/>
  <c r="D872" i="1"/>
  <c r="D873" i="1"/>
  <c r="D874" i="1"/>
  <c r="D875" i="1"/>
  <c r="D876" i="1"/>
  <c r="D877" i="1"/>
  <c r="D878" i="1"/>
  <c r="D879" i="1"/>
  <c r="D880" i="1"/>
  <c r="D881" i="1"/>
  <c r="D882" i="1"/>
  <c r="D883" i="1"/>
  <c r="D884" i="1"/>
  <c r="D885" i="1"/>
  <c r="D886" i="1"/>
  <c r="D887" i="1"/>
  <c r="D888" i="1"/>
  <c r="D889" i="1"/>
  <c r="D890" i="1"/>
  <c r="D891" i="1"/>
  <c r="D892" i="1"/>
  <c r="D893" i="1"/>
  <c r="D894" i="1"/>
  <c r="D895" i="1"/>
  <c r="D896" i="1"/>
  <c r="D897" i="1"/>
  <c r="D898" i="1"/>
  <c r="D899" i="1"/>
  <c r="D900" i="1"/>
  <c r="D901" i="1"/>
  <c r="D902" i="1"/>
  <c r="D903" i="1"/>
  <c r="D904" i="1"/>
  <c r="D905" i="1"/>
  <c r="D906" i="1"/>
  <c r="D907" i="1"/>
  <c r="D908" i="1"/>
  <c r="D909" i="1"/>
  <c r="D910" i="1"/>
  <c r="D911" i="1"/>
  <c r="D912" i="1"/>
  <c r="D913" i="1"/>
  <c r="D914" i="1"/>
  <c r="D915" i="1"/>
  <c r="D916" i="1"/>
  <c r="D917" i="1"/>
  <c r="D918" i="1"/>
  <c r="D919" i="1"/>
  <c r="D920" i="1"/>
  <c r="D921" i="1"/>
  <c r="D922" i="1"/>
  <c r="D923" i="1"/>
  <c r="D924" i="1"/>
  <c r="D925" i="1"/>
  <c r="D926" i="1"/>
  <c r="D927" i="1"/>
  <c r="D928" i="1"/>
  <c r="D929" i="1"/>
  <c r="D3" i="1"/>
  <c r="E76" i="4"/>
  <c r="E75" i="4"/>
  <c r="E74" i="4"/>
  <c r="E73" i="4"/>
  <c r="E72" i="4"/>
  <c r="E71" i="4"/>
  <c r="C71" i="4"/>
  <c r="H165" i="2"/>
  <c r="J162" i="2"/>
  <c r="H938" i="1"/>
  <c r="H163" i="2"/>
  <c r="H162" i="2"/>
  <c r="F165" i="2"/>
  <c r="F164" i="2"/>
  <c r="F163" i="2"/>
  <c r="F162" i="2"/>
  <c r="H63" i="3"/>
  <c r="D172" i="2" l="1"/>
  <c r="G171" i="2"/>
  <c r="D173" i="2"/>
  <c r="F173" i="2"/>
  <c r="E170" i="2"/>
  <c r="E173" i="2"/>
  <c r="F171" i="2"/>
  <c r="F172" i="2"/>
  <c r="G170" i="2"/>
  <c r="C170" i="2"/>
  <c r="H170" i="2"/>
  <c r="C171" i="2"/>
  <c r="H171" i="2"/>
  <c r="C172" i="2"/>
  <c r="H172" i="2"/>
  <c r="D170" i="2"/>
  <c r="G173" i="2"/>
  <c r="D171" i="2"/>
  <c r="C934" i="1"/>
  <c r="F167" i="2"/>
  <c r="H61" i="3"/>
  <c r="H60" i="3"/>
  <c r="C62" i="3"/>
  <c r="F63" i="3"/>
  <c r="F62" i="3"/>
  <c r="F61" i="3"/>
  <c r="F60" i="3"/>
  <c r="F65" i="3"/>
  <c r="H933" i="1"/>
  <c r="C933" i="1"/>
  <c r="C932" i="1"/>
  <c r="H942" i="1"/>
  <c r="F934" i="1"/>
  <c r="H941" i="1"/>
  <c r="H940" i="1"/>
  <c r="A4" i="5"/>
  <c r="A5" i="5" s="1"/>
  <c r="A6" i="5" s="1"/>
  <c r="A7" i="5" s="1"/>
  <c r="A8" i="5" s="1"/>
  <c r="A9" i="5" s="1"/>
  <c r="C60" i="3" l="1"/>
  <c r="C61" i="3"/>
  <c r="A10" i="5"/>
  <c r="A4" i="4"/>
  <c r="A5" i="4" s="1"/>
  <c r="A6" i="4" s="1"/>
  <c r="A7" i="4" s="1"/>
  <c r="A8" i="4" s="1"/>
  <c r="A9" i="4" s="1"/>
  <c r="A10" i="4" s="1"/>
  <c r="A11" i="4" s="1"/>
  <c r="A12" i="4" s="1"/>
  <c r="A13" i="4" s="1"/>
  <c r="A14" i="4" s="1"/>
  <c r="A15" i="4" s="1"/>
  <c r="A16" i="4" s="1"/>
  <c r="A17" i="4" s="1"/>
  <c r="A18" i="4" s="1"/>
  <c r="A19" i="4" s="1"/>
  <c r="A20" i="4" s="1"/>
  <c r="A21" i="4" s="1"/>
  <c r="A22" i="4" s="1"/>
  <c r="A23" i="4" s="1"/>
  <c r="A24" i="4" s="1"/>
  <c r="A25" i="4" s="1"/>
  <c r="A26" i="4" s="1"/>
  <c r="A27" i="4" s="1"/>
  <c r="A28" i="4" s="1"/>
  <c r="A29" i="4" s="1"/>
  <c r="A30" i="4" s="1"/>
  <c r="A31" i="4" s="1"/>
  <c r="A32" i="4" s="1"/>
  <c r="A33" i="4" s="1"/>
  <c r="A34" i="4" s="1"/>
  <c r="A35" i="4" s="1"/>
  <c r="A36" i="4" s="1"/>
  <c r="A37" i="4" s="1"/>
  <c r="A38" i="4" s="1"/>
  <c r="A39" i="4" s="1"/>
  <c r="A40" i="4" s="1"/>
  <c r="A11" i="5" l="1"/>
  <c r="A12" i="5" s="1"/>
  <c r="A13" i="5" s="1"/>
  <c r="A14" i="5" s="1"/>
  <c r="A15" i="5" s="1"/>
  <c r="A16" i="5" s="1"/>
  <c r="A17" i="5" s="1"/>
  <c r="A18" i="5" s="1"/>
  <c r="A19" i="5" s="1"/>
  <c r="A20" i="5" s="1"/>
  <c r="A21" i="5" s="1"/>
  <c r="A22" i="5" s="1"/>
  <c r="A23" i="5" s="1"/>
  <c r="A24" i="5" s="1"/>
  <c r="A25" i="5" s="1"/>
  <c r="A26" i="5" s="1"/>
  <c r="A27" i="5" s="1"/>
  <c r="A28" i="5" s="1"/>
  <c r="A29" i="5" s="1"/>
  <c r="A30" i="5" s="1"/>
  <c r="A31" i="5" s="1"/>
  <c r="A32" i="5" s="1"/>
  <c r="A33" i="5" s="1"/>
  <c r="A34" i="5" s="1"/>
  <c r="A35" i="5" s="1"/>
  <c r="A36" i="5" s="1"/>
  <c r="A37" i="5" s="1"/>
  <c r="A38" i="5" s="1"/>
  <c r="A39" i="5" s="1"/>
  <c r="A40" i="5" s="1"/>
  <c r="A41" i="5" s="1"/>
  <c r="A42" i="5" s="1"/>
  <c r="A43" i="5" s="1"/>
  <c r="A44" i="5" s="1"/>
  <c r="A45" i="5" s="1"/>
  <c r="A46" i="5" s="1"/>
  <c r="A47" i="5" s="1"/>
  <c r="A48" i="5" s="1"/>
  <c r="A49" i="5" s="1"/>
  <c r="A50" i="5" s="1"/>
  <c r="A51" i="5" s="1"/>
  <c r="A52" i="5" s="1"/>
  <c r="A53" i="5" s="1"/>
  <c r="A54" i="5" s="1"/>
  <c r="A55" i="5" s="1"/>
  <c r="A56" i="5" s="1"/>
  <c r="A57" i="5" s="1"/>
  <c r="A58" i="5" s="1"/>
  <c r="A59" i="5" s="1"/>
  <c r="A60" i="5" s="1"/>
  <c r="A61" i="5" s="1"/>
  <c r="A62" i="5" s="1"/>
  <c r="A63" i="5" s="1"/>
  <c r="A64" i="5" s="1"/>
  <c r="A65" i="5" s="1"/>
  <c r="A66" i="5" s="1"/>
  <c r="A67" i="5" s="1"/>
  <c r="A68" i="5" s="1"/>
  <c r="A69" i="5" s="1"/>
  <c r="A70" i="5" s="1"/>
  <c r="A71" i="5" s="1"/>
  <c r="A72" i="5" s="1"/>
  <c r="A73" i="5" s="1"/>
  <c r="A74" i="5" s="1"/>
  <c r="A75" i="5" s="1"/>
  <c r="A76" i="5" s="1"/>
  <c r="A77" i="5" s="1"/>
  <c r="A78" i="5" s="1"/>
  <c r="A79" i="5" s="1"/>
  <c r="A80" i="5" s="1"/>
  <c r="A81" i="5" s="1"/>
  <c r="A82" i="5" s="1"/>
  <c r="A83" i="5" s="1"/>
  <c r="A84" i="5" s="1"/>
  <c r="A85" i="5" s="1"/>
  <c r="A86" i="5" s="1"/>
  <c r="A87" i="5" s="1"/>
  <c r="A88" i="5" s="1"/>
  <c r="A89" i="5" s="1"/>
  <c r="A90" i="5" s="1"/>
  <c r="A91" i="5" s="1"/>
  <c r="A92" i="5" s="1"/>
  <c r="A93" i="5" s="1"/>
  <c r="A94" i="5" s="1"/>
  <c r="A95" i="5" s="1"/>
  <c r="A96" i="5" s="1"/>
  <c r="A97" i="5" s="1"/>
  <c r="A98" i="5" s="1"/>
  <c r="A99" i="5" s="1"/>
  <c r="A100" i="5" s="1"/>
  <c r="A101" i="5" s="1"/>
  <c r="A102" i="5" s="1"/>
  <c r="A103" i="5" s="1"/>
  <c r="A104" i="5" s="1"/>
  <c r="A105" i="5" s="1"/>
  <c r="A106" i="5" s="1"/>
  <c r="A107" i="5" s="1"/>
  <c r="A108" i="5" s="1"/>
  <c r="A109" i="5" s="1"/>
  <c r="A110" i="5" s="1"/>
  <c r="A111" i="5" s="1"/>
  <c r="A112" i="5" s="1"/>
  <c r="A113" i="5" s="1"/>
  <c r="A114" i="5" s="1"/>
  <c r="A115" i="5" s="1"/>
  <c r="A116" i="5" s="1"/>
  <c r="A117" i="5" s="1"/>
  <c r="A118" i="5" s="1"/>
  <c r="A119" i="5" s="1"/>
  <c r="A120" i="5" s="1"/>
  <c r="C65" i="3"/>
  <c r="A41" i="4"/>
  <c r="A42" i="4" s="1"/>
  <c r="A43" i="4" s="1"/>
  <c r="A44" i="4" s="1"/>
  <c r="A45" i="4" s="1"/>
  <c r="A46" i="4" s="1"/>
  <c r="A47" i="4" s="1"/>
  <c r="A48" i="4" s="1"/>
  <c r="A49" i="4" s="1"/>
  <c r="A50" i="4" s="1"/>
  <c r="A51" i="4" s="1"/>
  <c r="A52" i="4" s="1"/>
  <c r="A53" i="4" s="1"/>
  <c r="A54" i="4" s="1"/>
  <c r="A55" i="4" s="1"/>
  <c r="A56" i="4" s="1"/>
  <c r="A57" i="4" s="1"/>
  <c r="A58" i="4" s="1"/>
  <c r="A59" i="4" s="1"/>
  <c r="A60" i="4" s="1"/>
  <c r="A61" i="4" s="1"/>
  <c r="A62" i="4" s="1"/>
  <c r="A63" i="4" s="1"/>
  <c r="A64" i="4" s="1"/>
  <c r="A65" i="4" s="1"/>
  <c r="A66" i="4" s="1"/>
  <c r="A67" i="4" s="1"/>
  <c r="A68" i="4" s="1"/>
  <c r="A69" i="4" s="1"/>
  <c r="AD15" i="3"/>
  <c r="AD14" i="3"/>
  <c r="AD13" i="3"/>
  <c r="AD12" i="3"/>
  <c r="AD11" i="3"/>
  <c r="AD10" i="3"/>
  <c r="AD9" i="3"/>
  <c r="AD8" i="3"/>
  <c r="AD7" i="3"/>
  <c r="AD6" i="3"/>
  <c r="AD5" i="3"/>
  <c r="AD4" i="3"/>
  <c r="AD3" i="3"/>
  <c r="A121" i="5" l="1"/>
  <c r="A122" i="5" s="1"/>
  <c r="A123" i="5" s="1"/>
  <c r="A124" i="5" s="1"/>
  <c r="A125" i="5" s="1"/>
  <c r="A126" i="5" s="1"/>
  <c r="A127" i="5" s="1"/>
  <c r="A128" i="5" s="1"/>
  <c r="A129" i="5" s="1"/>
  <c r="A130" i="5" s="1"/>
  <c r="A131" i="5" s="1"/>
  <c r="A132" i="5" s="1"/>
  <c r="A133" i="5" s="1"/>
  <c r="A134" i="5" s="1"/>
  <c r="A135" i="5" s="1"/>
  <c r="A136" i="5" s="1"/>
  <c r="A137" i="5" s="1"/>
  <c r="A138" i="5" s="1"/>
  <c r="AD26" i="3"/>
  <c r="AD25" i="3"/>
  <c r="AD24" i="3"/>
  <c r="AD23" i="3"/>
  <c r="AD22" i="3"/>
  <c r="AD21" i="3"/>
  <c r="AD20" i="3"/>
  <c r="AD19" i="3"/>
  <c r="AD18" i="3"/>
  <c r="AD17" i="3"/>
  <c r="AD16" i="3"/>
  <c r="A4" i="3"/>
  <c r="A5" i="3" s="1"/>
  <c r="A6" i="3" s="1"/>
  <c r="A7" i="3" s="1"/>
  <c r="A8" i="3" s="1"/>
  <c r="A9" i="3" s="1"/>
  <c r="A10" i="3" s="1"/>
  <c r="A11" i="3" s="1"/>
  <c r="A12" i="3" s="1"/>
  <c r="A13" i="3" s="1"/>
  <c r="A14" i="3" s="1"/>
  <c r="A15" i="3" s="1"/>
  <c r="A16" i="3" s="1"/>
  <c r="A17" i="3" s="1"/>
  <c r="A18" i="3" s="1"/>
  <c r="A19" i="3" s="1"/>
  <c r="A20" i="3" s="1"/>
  <c r="A21" i="3" s="1"/>
  <c r="A22" i="3" s="1"/>
  <c r="A23" i="3" s="1"/>
  <c r="A24" i="3" s="1"/>
  <c r="A25" i="3" s="1"/>
  <c r="A26" i="3" s="1"/>
  <c r="A27" i="3" s="1"/>
  <c r="AE90" i="2"/>
  <c r="AE89" i="2"/>
  <c r="AE88" i="2"/>
  <c r="AE87" i="2"/>
  <c r="AE86" i="2"/>
  <c r="AE85" i="2"/>
  <c r="AE84" i="2"/>
  <c r="AE83" i="2"/>
  <c r="A28" i="3" l="1"/>
  <c r="A29" i="3" s="1"/>
  <c r="A30" i="3" s="1"/>
  <c r="A31" i="3" s="1"/>
  <c r="A32" i="3" s="1"/>
  <c r="A33" i="3" s="1"/>
  <c r="A34" i="3" s="1"/>
  <c r="A35" i="3" s="1"/>
  <c r="A36" i="3" s="1"/>
  <c r="A37" i="3" s="1"/>
  <c r="A38" i="3" s="1"/>
  <c r="A39" i="3" s="1"/>
  <c r="A40" i="3" s="1"/>
  <c r="A41" i="3" s="1"/>
  <c r="A42" i="3" s="1"/>
  <c r="A43" i="3" s="1"/>
  <c r="A44" i="3" s="1"/>
  <c r="A45" i="3" s="1"/>
  <c r="A46" i="3" s="1"/>
  <c r="A47" i="3" s="1"/>
  <c r="A48" i="3" s="1"/>
  <c r="A49" i="3" s="1"/>
  <c r="A50" i="3" s="1"/>
  <c r="A51" i="3" s="1"/>
  <c r="A52" i="3" s="1"/>
  <c r="A53" i="3" s="1"/>
  <c r="A54" i="3" s="1"/>
  <c r="A55" i="3" s="1"/>
  <c r="A56" i="3" s="1"/>
  <c r="A57" i="3" s="1"/>
  <c r="A58" i="3" s="1"/>
  <c r="AE109" i="2"/>
  <c r="AE108" i="2"/>
  <c r="AE107" i="2"/>
  <c r="AE106" i="2"/>
  <c r="AE105" i="2"/>
  <c r="AE104" i="2"/>
  <c r="AE103" i="2"/>
  <c r="AE102" i="2"/>
  <c r="AE101" i="2"/>
  <c r="AE100" i="2"/>
  <c r="AE99" i="2"/>
  <c r="AE98" i="2"/>
  <c r="AE97" i="2"/>
  <c r="AE96" i="2"/>
  <c r="AE95" i="2"/>
  <c r="AH644" i="1"/>
  <c r="AH643" i="1"/>
  <c r="AH642" i="1"/>
  <c r="AH641" i="1"/>
  <c r="AH640" i="1"/>
  <c r="AH638" i="1"/>
  <c r="AE62" i="2"/>
  <c r="AE61" i="2"/>
  <c r="AE60" i="2"/>
  <c r="AE59" i="2"/>
  <c r="AE58" i="2"/>
  <c r="AE57" i="2"/>
  <c r="AE56" i="2"/>
  <c r="AE55" i="2"/>
  <c r="AE54" i="2"/>
  <c r="AE53" i="2"/>
  <c r="AE52" i="2"/>
  <c r="AE51" i="2"/>
  <c r="AE50" i="2"/>
  <c r="AE49" i="2"/>
  <c r="AE48" i="2"/>
  <c r="AE47" i="2"/>
  <c r="AE46" i="2"/>
  <c r="AE94" i="2"/>
  <c r="AE93" i="2"/>
  <c r="AE92" i="2"/>
  <c r="AE91" i="2"/>
  <c r="AE27" i="2"/>
  <c r="AE26" i="2"/>
  <c r="AE25" i="2"/>
  <c r="AE24" i="2"/>
  <c r="AE23" i="2"/>
  <c r="AE22" i="2"/>
  <c r="AE21" i="2"/>
  <c r="AE20" i="2"/>
  <c r="AE19" i="2"/>
  <c r="AE18" i="2"/>
  <c r="AE17" i="2"/>
  <c r="AE16" i="2"/>
  <c r="AE134" i="2"/>
  <c r="AE135" i="2"/>
  <c r="AE136" i="2"/>
  <c r="AE137" i="2"/>
  <c r="AE138" i="2"/>
  <c r="AE139" i="2"/>
  <c r="A139" i="5" l="1"/>
  <c r="A140" i="5" s="1"/>
  <c r="DM2" i="2"/>
  <c r="DL2" i="2"/>
  <c r="DK2" i="2"/>
  <c r="DJ2" i="2"/>
  <c r="DI2" i="2"/>
  <c r="DH2" i="2"/>
  <c r="A141" i="5" l="1"/>
  <c r="A142" i="5" s="1"/>
  <c r="A143" i="5" s="1"/>
  <c r="A144" i="5" s="1"/>
  <c r="A145" i="5" s="1"/>
  <c r="A146" i="5" s="1"/>
  <c r="A147" i="5" s="1"/>
  <c r="A148" i="5" s="1"/>
  <c r="A149" i="5" s="1"/>
  <c r="A150" i="5" s="1"/>
  <c r="A151" i="5" s="1"/>
  <c r="A152" i="5" s="1"/>
  <c r="A153" i="5" s="1"/>
  <c r="A154" i="5" s="1"/>
  <c r="A155" i="5" s="1"/>
  <c r="A156" i="5" s="1"/>
  <c r="A157" i="5" l="1"/>
  <c r="A158" i="5" s="1"/>
  <c r="A159" i="5" s="1"/>
  <c r="A160" i="5" s="1"/>
  <c r="A161" i="5" s="1"/>
  <c r="A162" i="5" s="1"/>
  <c r="A163" i="5" s="1"/>
  <c r="A164" i="5" s="1"/>
  <c r="A165" i="5" s="1"/>
  <c r="A166" i="5" s="1"/>
  <c r="A167" i="5" s="1"/>
  <c r="AE118" i="2"/>
  <c r="AE117" i="2"/>
  <c r="AE116" i="2"/>
  <c r="AE115" i="2"/>
  <c r="AE114" i="2"/>
  <c r="AE113" i="2"/>
  <c r="AE112" i="2"/>
  <c r="AE111" i="2"/>
  <c r="AE110" i="2"/>
  <c r="AE45" i="2"/>
  <c r="AE44" i="2"/>
  <c r="AE43" i="2"/>
  <c r="AE42" i="2"/>
  <c r="AE41" i="2"/>
  <c r="AE40" i="2"/>
  <c r="AE39" i="2"/>
  <c r="AE38" i="2"/>
  <c r="AE37" i="2"/>
  <c r="AE36" i="2"/>
  <c r="A168" i="5" l="1"/>
  <c r="A169" i="5" s="1"/>
  <c r="A170" i="5" s="1"/>
  <c r="A171" i="5" s="1"/>
  <c r="A172" i="5" s="1"/>
  <c r="A173" i="5" s="1"/>
  <c r="A174" i="5" s="1"/>
  <c r="A175" i="5" s="1"/>
  <c r="A176" i="5" s="1"/>
  <c r="A177" i="5" s="1"/>
  <c r="A178" i="5" s="1"/>
  <c r="A179" i="5" s="1"/>
  <c r="AE35" i="2"/>
  <c r="AE34" i="2"/>
  <c r="AE33" i="2"/>
  <c r="AE32" i="2"/>
  <c r="AE31" i="2"/>
  <c r="AE30" i="2"/>
  <c r="AE29" i="2"/>
  <c r="AE28" i="2"/>
  <c r="AE15" i="2"/>
  <c r="AE14" i="2"/>
  <c r="AE13" i="2"/>
  <c r="AE12" i="2"/>
  <c r="AE11" i="2"/>
  <c r="AE10" i="2"/>
  <c r="AE8" i="2"/>
  <c r="AE7" i="2"/>
  <c r="AE6" i="2"/>
  <c r="AE5" i="2"/>
  <c r="AE4" i="2"/>
  <c r="AE3" i="2"/>
  <c r="AE68" i="2"/>
  <c r="AE67" i="2"/>
  <c r="AE66" i="2"/>
  <c r="AE65" i="2"/>
  <c r="AE64" i="2"/>
  <c r="AE63" i="2"/>
  <c r="AE160" i="2"/>
  <c r="AE159" i="2"/>
  <c r="AE158" i="2"/>
  <c r="AE157" i="2"/>
  <c r="AE156" i="2"/>
  <c r="AE155" i="2"/>
  <c r="AE154" i="2"/>
  <c r="AE71" i="2"/>
  <c r="AE70" i="2"/>
  <c r="AE69" i="2"/>
  <c r="AE133" i="2"/>
  <c r="AE132" i="2"/>
  <c r="AE131" i="2"/>
  <c r="CJ2" i="2"/>
  <c r="CK2" i="2"/>
  <c r="CL2" i="2"/>
  <c r="CM2" i="2"/>
  <c r="CN2" i="2"/>
  <c r="DG2" i="2"/>
  <c r="DF2" i="2"/>
  <c r="DE2" i="2"/>
  <c r="DD2" i="2"/>
  <c r="DC2" i="2"/>
  <c r="DB2" i="2"/>
  <c r="DA2" i="2"/>
  <c r="CZ2" i="2"/>
  <c r="CY2" i="2"/>
  <c r="CX2" i="2"/>
  <c r="CW2" i="2"/>
  <c r="CV2" i="2"/>
  <c r="CU2" i="2"/>
  <c r="CT2" i="2"/>
  <c r="CS2" i="2"/>
  <c r="CR2" i="2"/>
  <c r="CQ2" i="2"/>
  <c r="CP2" i="2"/>
  <c r="CO2" i="2"/>
  <c r="CI2" i="2"/>
  <c r="CH2" i="2"/>
  <c r="CG2" i="2"/>
  <c r="CF2" i="2"/>
  <c r="CE2" i="2"/>
  <c r="CD2" i="2"/>
  <c r="CC2" i="2"/>
  <c r="CB2" i="2"/>
  <c r="CA2" i="2"/>
  <c r="BZ2" i="2"/>
  <c r="BY2" i="2"/>
  <c r="BX2" i="2"/>
  <c r="BW2" i="2"/>
  <c r="L932" i="1"/>
  <c r="AH646" i="1"/>
  <c r="AH647" i="1"/>
  <c r="AH648" i="1"/>
  <c r="AH649" i="1"/>
  <c r="AH650" i="1"/>
  <c r="AH651" i="1"/>
  <c r="AH652" i="1"/>
  <c r="AH645" i="1"/>
  <c r="AE140" i="2"/>
  <c r="AH772" i="1"/>
  <c r="AH771" i="1"/>
  <c r="AH770" i="1"/>
  <c r="AH769" i="1"/>
  <c r="AH768" i="1"/>
  <c r="AH767" i="1"/>
  <c r="AE72" i="2"/>
  <c r="AE73" i="2"/>
  <c r="AE74" i="2"/>
  <c r="AE141" i="2"/>
  <c r="AE142" i="2"/>
  <c r="AE143" i="2"/>
  <c r="AE144" i="2"/>
  <c r="AE145" i="2"/>
  <c r="AE146" i="2"/>
  <c r="AE147" i="2"/>
  <c r="AE148" i="2"/>
  <c r="AE149" i="2"/>
  <c r="AE150" i="2"/>
  <c r="AE151" i="2"/>
  <c r="AE152" i="2"/>
  <c r="AE153" i="2"/>
  <c r="AE119" i="2"/>
  <c r="AE120" i="2"/>
  <c r="AE121" i="2"/>
  <c r="AE122" i="2"/>
  <c r="AE124" i="2"/>
  <c r="AE125" i="2"/>
  <c r="AE126" i="2"/>
  <c r="AE127" i="2"/>
  <c r="AE128" i="2"/>
  <c r="AE129" i="2"/>
  <c r="AE130" i="2"/>
  <c r="AE123" i="2"/>
  <c r="A4" i="2"/>
  <c r="AH33" i="1"/>
  <c r="AH34" i="1"/>
  <c r="AH35" i="1"/>
  <c r="AH36" i="1"/>
  <c r="AH37" i="1"/>
  <c r="AH38" i="1"/>
  <c r="AH39" i="1"/>
  <c r="AH40" i="1"/>
  <c r="AH702" i="1"/>
  <c r="AH701" i="1"/>
  <c r="AH700" i="1"/>
  <c r="AH699" i="1"/>
  <c r="AH698" i="1"/>
  <c r="AH697" i="1"/>
  <c r="AH696" i="1"/>
  <c r="AH695" i="1"/>
  <c r="AH694" i="1"/>
  <c r="A180" i="5" l="1"/>
  <c r="A181" i="5" s="1"/>
  <c r="A182" i="5" s="1"/>
  <c r="A183" i="5" s="1"/>
  <c r="A184" i="5" s="1"/>
  <c r="A185" i="5" s="1"/>
  <c r="A186" i="5" s="1"/>
  <c r="A5" i="2"/>
  <c r="A6" i="2" s="1"/>
  <c r="AH334" i="1"/>
  <c r="AH333" i="1"/>
  <c r="AH332" i="1"/>
  <c r="AH331" i="1"/>
  <c r="AH329" i="1"/>
  <c r="AH328" i="1"/>
  <c r="AH327" i="1"/>
  <c r="AH326" i="1"/>
  <c r="AH325" i="1"/>
  <c r="AH324" i="1"/>
  <c r="A187" i="5" l="1"/>
  <c r="A188" i="5" s="1"/>
  <c r="A189" i="5" s="1"/>
  <c r="A190" i="5" s="1"/>
  <c r="A191" i="5" s="1"/>
  <c r="A192" i="5" s="1"/>
  <c r="A193" i="5" s="1"/>
  <c r="A194" i="5" s="1"/>
  <c r="A195" i="5" s="1"/>
  <c r="A196" i="5" s="1"/>
  <c r="A197" i="5" s="1"/>
  <c r="A198" i="5" s="1"/>
  <c r="A7" i="2"/>
  <c r="A8" i="2" s="1"/>
  <c r="A9" i="2" s="1"/>
  <c r="A10" i="2" s="1"/>
  <c r="A11" i="2" s="1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A24" i="2" s="1"/>
  <c r="A25" i="2" s="1"/>
  <c r="A26" i="2" s="1"/>
  <c r="A27" i="2" s="1"/>
  <c r="A28" i="2" s="1"/>
  <c r="A29" i="2" s="1"/>
  <c r="A30" i="2" s="1"/>
  <c r="A31" i="2" s="1"/>
  <c r="A32" i="2" s="1"/>
  <c r="A33" i="2" s="1"/>
  <c r="A34" i="2" s="1"/>
  <c r="A35" i="2" s="1"/>
  <c r="A36" i="2" s="1"/>
  <c r="A37" i="2" s="1"/>
  <c r="A38" i="2" s="1"/>
  <c r="A39" i="2" s="1"/>
  <c r="A40" i="2" s="1"/>
  <c r="A41" i="2" s="1"/>
  <c r="A42" i="2" s="1"/>
  <c r="A43" i="2" s="1"/>
  <c r="A44" i="2" s="1"/>
  <c r="A45" i="2" s="1"/>
  <c r="AH212" i="1"/>
  <c r="AH211" i="1"/>
  <c r="AH210" i="1"/>
  <c r="AH207" i="1"/>
  <c r="AH206" i="1"/>
  <c r="AH205" i="1"/>
  <c r="AH204" i="1"/>
  <c r="AH490" i="1"/>
  <c r="AH674" i="1"/>
  <c r="AH673" i="1"/>
  <c r="AH672" i="1"/>
  <c r="AH671" i="1"/>
  <c r="AH670" i="1"/>
  <c r="AH669" i="1"/>
  <c r="AH668" i="1"/>
  <c r="AH667" i="1"/>
  <c r="AH666" i="1"/>
  <c r="AH665" i="1"/>
  <c r="AH664" i="1"/>
  <c r="AH663" i="1"/>
  <c r="AH662" i="1"/>
  <c r="A199" i="5" l="1"/>
  <c r="A200" i="5" s="1"/>
  <c r="A201" i="5" s="1"/>
  <c r="A202" i="5" s="1"/>
  <c r="A203" i="5" s="1"/>
  <c r="A204" i="5" s="1"/>
  <c r="A205" i="5" s="1"/>
  <c r="A206" i="5" s="1"/>
  <c r="A207" i="5" s="1"/>
  <c r="A208" i="5" s="1"/>
  <c r="A209" i="5" s="1"/>
  <c r="A210" i="5" s="1"/>
  <c r="A211" i="5" s="1"/>
  <c r="A212" i="5" s="1"/>
  <c r="A213" i="5" s="1"/>
  <c r="A46" i="2"/>
  <c r="A47" i="2" s="1"/>
  <c r="A48" i="2" s="1"/>
  <c r="A49" i="2" s="1"/>
  <c r="A50" i="2" s="1"/>
  <c r="A51" i="2" s="1"/>
  <c r="A52" i="2" s="1"/>
  <c r="A53" i="2" s="1"/>
  <c r="A54" i="2" s="1"/>
  <c r="A55" i="2" s="1"/>
  <c r="A56" i="2" s="1"/>
  <c r="A57" i="2" s="1"/>
  <c r="A58" i="2" s="1"/>
  <c r="A59" i="2" s="1"/>
  <c r="A60" i="2" s="1"/>
  <c r="AH637" i="1"/>
  <c r="AH636" i="1"/>
  <c r="AH635" i="1"/>
  <c r="AH634" i="1"/>
  <c r="AH632" i="1"/>
  <c r="AH631" i="1"/>
  <c r="AH630" i="1"/>
  <c r="AH629" i="1"/>
  <c r="AH628" i="1"/>
  <c r="AH627" i="1"/>
  <c r="A214" i="5" l="1"/>
  <c r="A215" i="5" s="1"/>
  <c r="A216" i="5" s="1"/>
  <c r="A217" i="5" s="1"/>
  <c r="A218" i="5" s="1"/>
  <c r="A219" i="5" s="1"/>
  <c r="A220" i="5" s="1"/>
  <c r="A221" i="5" s="1"/>
  <c r="A222" i="5" s="1"/>
  <c r="A223" i="5" s="1"/>
  <c r="A224" i="5" s="1"/>
  <c r="A225" i="5" s="1"/>
  <c r="A226" i="5" s="1"/>
  <c r="A227" i="5" s="1"/>
  <c r="A228" i="5" s="1"/>
  <c r="A229" i="5" s="1"/>
  <c r="A230" i="5" s="1"/>
  <c r="A231" i="5" s="1"/>
  <c r="A232" i="5" s="1"/>
  <c r="A233" i="5" s="1"/>
  <c r="A234" i="5" s="1"/>
  <c r="A235" i="5" s="1"/>
  <c r="A236" i="5" s="1"/>
  <c r="A237" i="5" s="1"/>
  <c r="A238" i="5" s="1"/>
  <c r="A239" i="5" s="1"/>
  <c r="A240" i="5" s="1"/>
  <c r="A241" i="5" s="1"/>
  <c r="A242" i="5" s="1"/>
  <c r="A243" i="5" s="1"/>
  <c r="A244" i="5" s="1"/>
  <c r="A245" i="5" s="1"/>
  <c r="A246" i="5" s="1"/>
  <c r="A247" i="5" s="1"/>
  <c r="A248" i="5" s="1"/>
  <c r="A249" i="5" s="1"/>
  <c r="A250" i="5" s="1"/>
  <c r="A251" i="5" s="1"/>
  <c r="A252" i="5" s="1"/>
  <c r="A253" i="5" s="1"/>
  <c r="A254" i="5" s="1"/>
  <c r="A255" i="5" s="1"/>
  <c r="A256" i="5" s="1"/>
  <c r="A257" i="5" s="1"/>
  <c r="A258" i="5" s="1"/>
  <c r="A259" i="5" s="1"/>
  <c r="A260" i="5" s="1"/>
  <c r="A261" i="5" s="1"/>
  <c r="A262" i="5" s="1"/>
  <c r="A263" i="5" s="1"/>
  <c r="A264" i="5" s="1"/>
  <c r="A265" i="5" s="1"/>
  <c r="A266" i="5" s="1"/>
  <c r="A267" i="5" s="1"/>
  <c r="A268" i="5" s="1"/>
  <c r="A269" i="5" s="1"/>
  <c r="A270" i="5" s="1"/>
  <c r="A271" i="5" s="1"/>
  <c r="A272" i="5" s="1"/>
  <c r="A273" i="5" s="1"/>
  <c r="A274" i="5" s="1"/>
  <c r="A275" i="5" s="1"/>
  <c r="A276" i="5" s="1"/>
  <c r="A277" i="5" s="1"/>
  <c r="A278" i="5" s="1"/>
  <c r="A279" i="5" s="1"/>
  <c r="A280" i="5" s="1"/>
  <c r="A281" i="5" s="1"/>
  <c r="A282" i="5" s="1"/>
  <c r="A283" i="5" s="1"/>
  <c r="A61" i="2"/>
  <c r="A62" i="2" s="1"/>
  <c r="A63" i="2" s="1"/>
  <c r="A64" i="2" s="1"/>
  <c r="A65" i="2" s="1"/>
  <c r="A66" i="2" s="1"/>
  <c r="A67" i="2" s="1"/>
  <c r="A68" i="2" s="1"/>
  <c r="A69" i="2" s="1"/>
  <c r="A70" i="2" s="1"/>
  <c r="A71" i="2" s="1"/>
  <c r="A72" i="2" s="1"/>
  <c r="A73" i="2" s="1"/>
  <c r="A74" i="2" s="1"/>
  <c r="A75" i="2" s="1"/>
  <c r="A76" i="2" s="1"/>
  <c r="A77" i="2" s="1"/>
  <c r="A78" i="2" s="1"/>
  <c r="A79" i="2" s="1"/>
  <c r="A80" i="2" s="1"/>
  <c r="A81" i="2" s="1"/>
  <c r="A82" i="2" s="1"/>
  <c r="A83" i="2" s="1"/>
  <c r="A84" i="2" s="1"/>
  <c r="A85" i="2" s="1"/>
  <c r="A86" i="2" s="1"/>
  <c r="A87" i="2" s="1"/>
  <c r="A88" i="2" s="1"/>
  <c r="A89" i="2" s="1"/>
  <c r="A90" i="2" s="1"/>
  <c r="A91" i="2" s="1"/>
  <c r="A92" i="2" s="1"/>
  <c r="A93" i="2" s="1"/>
  <c r="A94" i="2" s="1"/>
  <c r="A95" i="2" s="1"/>
  <c r="A96" i="2" s="1"/>
  <c r="A97" i="2" s="1"/>
  <c r="A98" i="2" s="1"/>
  <c r="A99" i="2" s="1"/>
  <c r="A100" i="2" s="1"/>
  <c r="A101" i="2" s="1"/>
  <c r="A102" i="2" s="1"/>
  <c r="A103" i="2" s="1"/>
  <c r="A104" i="2" s="1"/>
  <c r="A105" i="2" s="1"/>
  <c r="A106" i="2" s="1"/>
  <c r="A107" i="2" s="1"/>
  <c r="A108" i="2" s="1"/>
  <c r="A109" i="2" s="1"/>
  <c r="A110" i="2" s="1"/>
  <c r="A111" i="2" s="1"/>
  <c r="AH609" i="1"/>
  <c r="AH608" i="1"/>
  <c r="AH607" i="1"/>
  <c r="AH605" i="1"/>
  <c r="AH604" i="1"/>
  <c r="AH603" i="1"/>
  <c r="AH602" i="1"/>
  <c r="AH601" i="1"/>
  <c r="AH816" i="1"/>
  <c r="AH815" i="1"/>
  <c r="AH814" i="1"/>
  <c r="AH813" i="1"/>
  <c r="AH812" i="1"/>
  <c r="AH811" i="1"/>
  <c r="AH810" i="1"/>
  <c r="AH809" i="1"/>
  <c r="AH808" i="1"/>
  <c r="AH807" i="1"/>
  <c r="AH806" i="1"/>
  <c r="A112" i="2" l="1"/>
  <c r="A113" i="2" s="1"/>
  <c r="A114" i="2" s="1"/>
  <c r="A115" i="2" s="1"/>
  <c r="A116" i="2" s="1"/>
  <c r="A117" i="2" s="1"/>
  <c r="A118" i="2" s="1"/>
  <c r="A119" i="2" s="1"/>
  <c r="A120" i="2" s="1"/>
  <c r="A121" i="2" s="1"/>
  <c r="A122" i="2" s="1"/>
  <c r="A123" i="2" s="1"/>
  <c r="A124" i="2" s="1"/>
  <c r="A125" i="2" s="1"/>
  <c r="A126" i="2" s="1"/>
  <c r="A127" i="2" s="1"/>
  <c r="A128" i="2" s="1"/>
  <c r="A129" i="2" s="1"/>
  <c r="A130" i="2" s="1"/>
  <c r="A131" i="2" s="1"/>
  <c r="A132" i="2" s="1"/>
  <c r="A133" i="2" s="1"/>
  <c r="A134" i="2" s="1"/>
  <c r="A135" i="2" s="1"/>
  <c r="A136" i="2" s="1"/>
  <c r="A137" i="2" s="1"/>
  <c r="A138" i="2" s="1"/>
  <c r="A139" i="2" s="1"/>
  <c r="A140" i="2" s="1"/>
  <c r="A141" i="2" s="1"/>
  <c r="A142" i="2" s="1"/>
  <c r="A143" i="2" s="1"/>
  <c r="A144" i="2" s="1"/>
  <c r="A145" i="2" s="1"/>
  <c r="A146" i="2" s="1"/>
  <c r="A147" i="2" s="1"/>
  <c r="A148" i="2" s="1"/>
  <c r="A149" i="2" s="1"/>
  <c r="A150" i="2" s="1"/>
  <c r="A151" i="2" s="1"/>
  <c r="A152" i="2" s="1"/>
  <c r="A153" i="2" s="1"/>
  <c r="A154" i="2" s="1"/>
  <c r="A155" i="2" s="1"/>
  <c r="A156" i="2" s="1"/>
  <c r="A157" i="2" s="1"/>
  <c r="A158" i="2" s="1"/>
  <c r="A159" i="2" s="1"/>
  <c r="A160" i="2" s="1"/>
  <c r="H939" i="1"/>
  <c r="AH689" i="1"/>
  <c r="AH688" i="1"/>
  <c r="AH687" i="1"/>
  <c r="AH686" i="1"/>
  <c r="AH685" i="1"/>
  <c r="AH684" i="1"/>
  <c r="AH683" i="1"/>
  <c r="AH682" i="1"/>
  <c r="AH681" i="1"/>
  <c r="AH680" i="1"/>
  <c r="AH679" i="1"/>
  <c r="AH678" i="1"/>
  <c r="AH677" i="1"/>
  <c r="AH676" i="1"/>
  <c r="AH675" i="1"/>
  <c r="AH583" i="1"/>
  <c r="AH191" i="1"/>
  <c r="AH190" i="1"/>
  <c r="AH189" i="1"/>
  <c r="AH188" i="1"/>
  <c r="AH187" i="1"/>
  <c r="AH186" i="1"/>
  <c r="AH185" i="1"/>
  <c r="AH184" i="1"/>
  <c r="AH183" i="1"/>
  <c r="AH182" i="1"/>
  <c r="AH181" i="1"/>
  <c r="AH180" i="1"/>
  <c r="AH179" i="1"/>
  <c r="AH178" i="1"/>
  <c r="AH177" i="1"/>
  <c r="AH176" i="1"/>
  <c r="AH175" i="1"/>
  <c r="AH174" i="1"/>
  <c r="AH173" i="1"/>
  <c r="AH172" i="1"/>
  <c r="AH171" i="1"/>
  <c r="AH170" i="1"/>
  <c r="L934" i="1"/>
  <c r="C938" i="1"/>
  <c r="AH617" i="1"/>
  <c r="AH616" i="1"/>
  <c r="AH615" i="1"/>
  <c r="AH614" i="1"/>
  <c r="AH613" i="1"/>
  <c r="AH612" i="1"/>
  <c r="AH611" i="1"/>
  <c r="AH610" i="1"/>
  <c r="AH909" i="1"/>
  <c r="AH908" i="1"/>
  <c r="AH907" i="1"/>
  <c r="AH906" i="1"/>
  <c r="AH905" i="1"/>
  <c r="AH904" i="1"/>
  <c r="AH594" i="1"/>
  <c r="AH593" i="1"/>
  <c r="AH592" i="1"/>
  <c r="AH591" i="1"/>
  <c r="AH590" i="1"/>
  <c r="AH589" i="1"/>
  <c r="AH588" i="1"/>
  <c r="AH587" i="1"/>
  <c r="AH586" i="1"/>
  <c r="AH585" i="1"/>
  <c r="AH584" i="1"/>
  <c r="AH498" i="1"/>
  <c r="AH497" i="1"/>
  <c r="AH496" i="1"/>
  <c r="AH495" i="1"/>
  <c r="AH494" i="1"/>
  <c r="AH493" i="1"/>
  <c r="AH492" i="1"/>
  <c r="AH491" i="1"/>
  <c r="AH486" i="1"/>
  <c r="AH485" i="1"/>
  <c r="AH484" i="1"/>
  <c r="AH483" i="1"/>
  <c r="AH482" i="1"/>
  <c r="AH481" i="1"/>
  <c r="AH480" i="1"/>
  <c r="AH479" i="1"/>
  <c r="AH478" i="1"/>
  <c r="AH477" i="1"/>
  <c r="AH466" i="1"/>
  <c r="AH465" i="1"/>
  <c r="AH464" i="1"/>
  <c r="AH463" i="1"/>
  <c r="AH462" i="1"/>
  <c r="AH461" i="1"/>
  <c r="AH363" i="1"/>
  <c r="AH362" i="1"/>
  <c r="AH361" i="1"/>
  <c r="AH360" i="1"/>
  <c r="AH359" i="1"/>
  <c r="AH358" i="1"/>
  <c r="AH758" i="1"/>
  <c r="AH757" i="1"/>
  <c r="AH756" i="1"/>
  <c r="AH755" i="1"/>
  <c r="AH754" i="1"/>
  <c r="AH753" i="1"/>
  <c r="AH752" i="1"/>
  <c r="AH751" i="1"/>
  <c r="AH750" i="1"/>
  <c r="AH749" i="1"/>
  <c r="AH748" i="1"/>
  <c r="AH747" i="1"/>
  <c r="AH746" i="1"/>
  <c r="AH745" i="1"/>
  <c r="AH765" i="1"/>
  <c r="AH766" i="1"/>
  <c r="AH764" i="1"/>
  <c r="AH763" i="1"/>
  <c r="AH762" i="1"/>
  <c r="AH761" i="1"/>
  <c r="AH760" i="1"/>
  <c r="AH759" i="1"/>
  <c r="AH555" i="1"/>
  <c r="AH554" i="1"/>
  <c r="AH553" i="1"/>
  <c r="AH552" i="1"/>
  <c r="AH551" i="1"/>
  <c r="AH550" i="1"/>
  <c r="AH549" i="1"/>
  <c r="AH548" i="1"/>
  <c r="AH547" i="1"/>
  <c r="AH546" i="1"/>
  <c r="AH545" i="1"/>
  <c r="AH544" i="1"/>
  <c r="AH543" i="1"/>
  <c r="AH542" i="1"/>
  <c r="AH567" i="1"/>
  <c r="AH566" i="1"/>
  <c r="AH565" i="1"/>
  <c r="AH564" i="1"/>
  <c r="AH563" i="1"/>
  <c r="AH562" i="1"/>
  <c r="AH561" i="1"/>
  <c r="AH560" i="1"/>
  <c r="AH559" i="1"/>
  <c r="AH558" i="1"/>
  <c r="AH557" i="1"/>
  <c r="AH556" i="1"/>
  <c r="AH661" i="1"/>
  <c r="AH660" i="1"/>
  <c r="AH659" i="1"/>
  <c r="AH658" i="1"/>
  <c r="AH657" i="1"/>
  <c r="AH656" i="1"/>
  <c r="AH655" i="1"/>
  <c r="AH654" i="1"/>
  <c r="AH653" i="1"/>
  <c r="AH571" i="1"/>
  <c r="AH570" i="1"/>
  <c r="AH569" i="1"/>
  <c r="AH568" i="1"/>
  <c r="AH574" i="1"/>
  <c r="AH573" i="1"/>
  <c r="AH572" i="1"/>
  <c r="AH371" i="1"/>
  <c r="AH370" i="1"/>
  <c r="AH369" i="1"/>
  <c r="AH368" i="1"/>
  <c r="AH367" i="1"/>
  <c r="AH366" i="1"/>
  <c r="AH365" i="1"/>
  <c r="AH364" i="1"/>
  <c r="AH379" i="1"/>
  <c r="AH378" i="1"/>
  <c r="AH377" i="1"/>
  <c r="AH376" i="1"/>
  <c r="AH375" i="1"/>
  <c r="AH374" i="1"/>
  <c r="AH373" i="1"/>
  <c r="AH372" i="1"/>
  <c r="AH385" i="1"/>
  <c r="AH384" i="1"/>
  <c r="AH383" i="1"/>
  <c r="AH382" i="1"/>
  <c r="AH381" i="1"/>
  <c r="AH380" i="1"/>
  <c r="AH420" i="1"/>
  <c r="AH419" i="1"/>
  <c r="AH418" i="1"/>
  <c r="AH417" i="1"/>
  <c r="AH416" i="1"/>
  <c r="AH415" i="1"/>
  <c r="AH414" i="1"/>
  <c r="AH413" i="1"/>
  <c r="AH411" i="1"/>
  <c r="AH410" i="1"/>
  <c r="AH409" i="1"/>
  <c r="AH408" i="1"/>
  <c r="AH407" i="1"/>
  <c r="AH406" i="1"/>
  <c r="AH405" i="1"/>
  <c r="C931" i="1" l="1"/>
  <c r="AH137" i="1"/>
  <c r="AH139" i="1" l="1"/>
  <c r="AH138" i="1"/>
  <c r="AH197" i="1"/>
  <c r="AH196" i="1"/>
  <c r="AH195" i="1"/>
  <c r="AH194" i="1"/>
  <c r="AH193" i="1"/>
  <c r="AH192" i="1"/>
  <c r="AH203" i="1" l="1"/>
  <c r="AH202" i="1"/>
  <c r="AH201" i="1"/>
  <c r="AH200" i="1"/>
  <c r="AH199" i="1"/>
  <c r="AH198" i="1"/>
  <c r="AH323" i="1"/>
  <c r="AH322" i="1"/>
  <c r="AH321" i="1"/>
  <c r="AH320" i="1"/>
  <c r="F931" i="1"/>
  <c r="AH237" i="1"/>
  <c r="AH236" i="1"/>
  <c r="AH235" i="1"/>
  <c r="AH234" i="1"/>
  <c r="AH840" i="1"/>
  <c r="AH839" i="1"/>
  <c r="AH838" i="1"/>
  <c r="AH837" i="1"/>
  <c r="AH836" i="1"/>
  <c r="AH835" i="1"/>
  <c r="AH834" i="1"/>
  <c r="AH833" i="1"/>
  <c r="AH832" i="1"/>
  <c r="AH831" i="1"/>
  <c r="AH830" i="1"/>
  <c r="AH829" i="1"/>
  <c r="AH828" i="1"/>
  <c r="AH827" i="1"/>
  <c r="AH582" i="1"/>
  <c r="AH581" i="1"/>
  <c r="AH580" i="1"/>
  <c r="AH579" i="1"/>
  <c r="AH578" i="1"/>
  <c r="AH577" i="1"/>
  <c r="AH576" i="1"/>
  <c r="AH575" i="1"/>
  <c r="AH32" i="1"/>
  <c r="AH31" i="1"/>
  <c r="AH30" i="1"/>
  <c r="AH29" i="1"/>
  <c r="AH28" i="1"/>
  <c r="AH129" i="1"/>
  <c r="AH128" i="1"/>
  <c r="AH127" i="1"/>
  <c r="AH126" i="1"/>
  <c r="AH125" i="1"/>
  <c r="AH124" i="1"/>
  <c r="AH130" i="1"/>
  <c r="AH135" i="1"/>
  <c r="AH134" i="1"/>
  <c r="AH133" i="1"/>
  <c r="AH132" i="1"/>
  <c r="AH131" i="1"/>
  <c r="AH80" i="1"/>
  <c r="AH79" i="1"/>
  <c r="AH78" i="1"/>
  <c r="AH77" i="1"/>
  <c r="AH76" i="1"/>
  <c r="AH75" i="1"/>
  <c r="AH74" i="1"/>
  <c r="AH73" i="1"/>
  <c r="AH72" i="1"/>
  <c r="AH71" i="1"/>
  <c r="AH392" i="1"/>
  <c r="AH391" i="1"/>
  <c r="AH390" i="1"/>
  <c r="AH388" i="1"/>
  <c r="AH387" i="1"/>
  <c r="AH386" i="1"/>
  <c r="AH502" i="1"/>
  <c r="AH501" i="1"/>
  <c r="AH500" i="1"/>
  <c r="AH499" i="1"/>
  <c r="AH280" i="1" l="1"/>
  <c r="AH279" i="1"/>
  <c r="AH276" i="1"/>
  <c r="AH275" i="1"/>
  <c r="AH146" i="1"/>
  <c r="AH145" i="1"/>
  <c r="AH144" i="1"/>
  <c r="AH142" i="1"/>
  <c r="AH141" i="1"/>
  <c r="AH140" i="1"/>
  <c r="AH888" i="1"/>
  <c r="AH887" i="1"/>
  <c r="AH886" i="1"/>
  <c r="AH885" i="1"/>
  <c r="AH430" i="1"/>
  <c r="AH429" i="1"/>
  <c r="AH428" i="1"/>
  <c r="AH427" i="1"/>
  <c r="AH426" i="1"/>
  <c r="AH425" i="1"/>
  <c r="AH424" i="1"/>
  <c r="AH423" i="1"/>
  <c r="AH422" i="1"/>
  <c r="AH421" i="1"/>
  <c r="AH535" i="1"/>
  <c r="AH534" i="1"/>
  <c r="AH458" i="1"/>
  <c r="AH457" i="1"/>
  <c r="AH456" i="1"/>
  <c r="AH455" i="1"/>
  <c r="AH454" i="1"/>
  <c r="AH453" i="1"/>
  <c r="AH451" i="1"/>
  <c r="AH450" i="1"/>
  <c r="AH93" i="1"/>
  <c r="AH92" i="1"/>
  <c r="AH91" i="1"/>
  <c r="AH90" i="1"/>
  <c r="AH87" i="1"/>
  <c r="AH86" i="1"/>
  <c r="AH85" i="1"/>
  <c r="AH84" i="1"/>
  <c r="AH83" i="1"/>
  <c r="AH82" i="1"/>
  <c r="AH81" i="1"/>
  <c r="AH273" i="1"/>
  <c r="AH272" i="1"/>
  <c r="AH271" i="1"/>
  <c r="AH269" i="1"/>
  <c r="AH268" i="1"/>
  <c r="AH267" i="1"/>
  <c r="AH265" i="1"/>
  <c r="AH264" i="1"/>
  <c r="AH283" i="1"/>
  <c r="AH282" i="1"/>
  <c r="AH281" i="1"/>
  <c r="AH123" i="1" l="1"/>
  <c r="AH122" i="1"/>
  <c r="AH121" i="1"/>
  <c r="AH120" i="1"/>
  <c r="AH119" i="1"/>
  <c r="AH118" i="1"/>
  <c r="AH117" i="1"/>
  <c r="AH116" i="1"/>
  <c r="AH115" i="1"/>
  <c r="AH114" i="1"/>
  <c r="AH113" i="1"/>
  <c r="AH112" i="1"/>
  <c r="AH111" i="1"/>
  <c r="AH110" i="1"/>
  <c r="AH108" i="1"/>
  <c r="AH106" i="1"/>
  <c r="AH105" i="1"/>
  <c r="AH512" i="1"/>
  <c r="AH511" i="1"/>
  <c r="AH510" i="1"/>
  <c r="AH509" i="1"/>
  <c r="AH508" i="1"/>
  <c r="AH506" i="1"/>
  <c r="AH505" i="1"/>
  <c r="AH504" i="1"/>
  <c r="AH503" i="1"/>
  <c r="AH70" i="1"/>
  <c r="AH69" i="1"/>
  <c r="AH68" i="1"/>
  <c r="AH67" i="1"/>
  <c r="AH66" i="1"/>
  <c r="AH65" i="1"/>
  <c r="AH64" i="1"/>
  <c r="AH63" i="1"/>
  <c r="AH62" i="1"/>
  <c r="AH61" i="1"/>
  <c r="AH60" i="1"/>
  <c r="AH59" i="1"/>
  <c r="AH58" i="1"/>
  <c r="AH57" i="1"/>
  <c r="AH56" i="1"/>
  <c r="AH55" i="1"/>
  <c r="AH54" i="1"/>
  <c r="AH53" i="1"/>
  <c r="AH52" i="1"/>
  <c r="AH51" i="1"/>
  <c r="AH50" i="1"/>
  <c r="AH150" i="1"/>
  <c r="AH149" i="1"/>
  <c r="AH148" i="1"/>
  <c r="AH147" i="1"/>
  <c r="AH718" i="1"/>
  <c r="AH716" i="1"/>
  <c r="AH715" i="1"/>
  <c r="AH714" i="1"/>
  <c r="AH713" i="1"/>
  <c r="AH712" i="1"/>
  <c r="AH711" i="1"/>
  <c r="AH710" i="1"/>
  <c r="AH709" i="1"/>
  <c r="AH708" i="1"/>
  <c r="AH707" i="1"/>
  <c r="AH706" i="1"/>
  <c r="AH705" i="1"/>
  <c r="AH704" i="1"/>
  <c r="AH703" i="1"/>
  <c r="AH727" i="1"/>
  <c r="AH726" i="1"/>
  <c r="AH725" i="1"/>
  <c r="AH724" i="1"/>
  <c r="AH723" i="1"/>
  <c r="AH722" i="1"/>
  <c r="AH721" i="1"/>
  <c r="AH600" i="1"/>
  <c r="AH599" i="1"/>
  <c r="AH598" i="1"/>
  <c r="AH597" i="1"/>
  <c r="AH595" i="1"/>
  <c r="AH622" i="1"/>
  <c r="AH621" i="1"/>
  <c r="AH620" i="1"/>
  <c r="AH618" i="1"/>
  <c r="AH693" i="1"/>
  <c r="AH692" i="1"/>
  <c r="AH691" i="1"/>
  <c r="AH690" i="1"/>
  <c r="AH626" i="1"/>
  <c r="AH625" i="1"/>
  <c r="AH624" i="1"/>
  <c r="AH623" i="1"/>
  <c r="AH489" i="1"/>
  <c r="AH487" i="1"/>
  <c r="AH488" i="1"/>
  <c r="AH476" i="1"/>
  <c r="AH475" i="1"/>
  <c r="AH474" i="1"/>
  <c r="AH473" i="1"/>
  <c r="AH472" i="1"/>
  <c r="AH471" i="1"/>
  <c r="AH470" i="1"/>
  <c r="AH469" i="1"/>
  <c r="AH468" i="1"/>
  <c r="AH467" i="1"/>
  <c r="AH460" i="1"/>
  <c r="AH459" i="1"/>
  <c r="L935" i="1"/>
  <c r="AH740" i="1"/>
  <c r="AH738" i="1"/>
  <c r="AH737" i="1"/>
  <c r="AH736" i="1"/>
  <c r="AH735" i="1"/>
  <c r="AH734" i="1"/>
  <c r="AH733" i="1"/>
  <c r="AH732" i="1"/>
  <c r="AH731" i="1"/>
  <c r="AH730" i="1"/>
  <c r="AH729" i="1"/>
  <c r="AH728" i="1"/>
  <c r="AH744" i="1"/>
  <c r="AH743" i="1"/>
  <c r="AH742" i="1"/>
  <c r="AH741" i="1"/>
  <c r="AH787" i="1"/>
  <c r="AH786" i="1"/>
  <c r="AH785" i="1"/>
  <c r="AH784" i="1"/>
  <c r="AH783" i="1"/>
  <c r="AH782" i="1"/>
  <c r="AH781" i="1"/>
  <c r="AH780" i="1"/>
  <c r="AH779" i="1"/>
  <c r="AH778" i="1"/>
  <c r="AH777" i="1"/>
  <c r="AH776" i="1"/>
  <c r="AH775" i="1"/>
  <c r="AH774" i="1"/>
  <c r="AH773" i="1"/>
  <c r="AH242" i="1"/>
  <c r="AH241" i="1"/>
  <c r="AH240" i="1"/>
  <c r="AH239" i="1"/>
  <c r="AH238" i="1"/>
  <c r="AH929" i="1"/>
  <c r="AH928" i="1"/>
  <c r="AH927" i="1"/>
  <c r="AH926" i="1"/>
  <c r="AH925" i="1"/>
  <c r="AH924" i="1"/>
  <c r="AH923" i="1"/>
  <c r="AH922" i="1"/>
  <c r="AH921" i="1"/>
  <c r="AH920" i="1"/>
  <c r="AH919" i="1"/>
  <c r="AH918" i="1"/>
  <c r="AH917" i="1"/>
  <c r="AH916" i="1"/>
  <c r="AH915" i="1"/>
  <c r="AH914" i="1"/>
  <c r="AH913" i="1"/>
  <c r="AH912" i="1"/>
  <c r="AH911" i="1"/>
  <c r="AH910" i="1"/>
  <c r="AH291" i="1"/>
  <c r="AH290" i="1"/>
  <c r="AH289" i="1"/>
  <c r="AH288" i="1"/>
  <c r="AH287" i="1"/>
  <c r="AH286" i="1"/>
  <c r="AH285" i="1"/>
  <c r="AH319" i="1"/>
  <c r="AH318" i="1"/>
  <c r="AH317" i="1"/>
  <c r="AH316" i="1"/>
  <c r="AH315" i="1"/>
  <c r="AH314" i="1"/>
  <c r="AH313" i="1"/>
  <c r="AH312" i="1"/>
  <c r="AH311" i="1"/>
  <c r="AH310" i="1"/>
  <c r="AH309" i="1"/>
  <c r="AH308" i="1"/>
  <c r="AH307" i="1"/>
  <c r="AH306" i="1"/>
  <c r="AH305" i="1"/>
  <c r="AH304" i="1"/>
  <c r="AH303" i="1"/>
  <c r="AH302" i="1"/>
  <c r="AH301" i="1"/>
  <c r="AH300" i="1"/>
  <c r="AH299" i="1"/>
  <c r="AH298" i="1"/>
  <c r="AH297" i="1"/>
  <c r="AH296" i="1"/>
  <c r="AH295" i="1"/>
  <c r="AH294" i="1"/>
  <c r="AH293" i="1"/>
  <c r="AH292" i="1"/>
  <c r="AH541" i="1"/>
  <c r="AH540" i="1"/>
  <c r="AH539" i="1"/>
  <c r="AH538" i="1"/>
  <c r="AH537" i="1"/>
  <c r="AH536" i="1"/>
  <c r="AH250" i="1"/>
  <c r="AH249" i="1"/>
  <c r="AH248" i="1"/>
  <c r="AH247" i="1"/>
  <c r="AH246" i="1"/>
  <c r="AH245" i="1"/>
  <c r="AH244" i="1"/>
  <c r="AH243" i="1"/>
  <c r="AH533" i="1"/>
  <c r="AH532" i="1"/>
  <c r="AH531" i="1"/>
  <c r="AH530" i="1"/>
  <c r="AH529" i="1"/>
  <c r="AH528" i="1"/>
  <c r="AH527" i="1"/>
  <c r="AH526" i="1"/>
  <c r="AH525" i="1"/>
  <c r="AH524" i="1"/>
  <c r="AH523" i="1"/>
  <c r="AH522" i="1"/>
  <c r="AH521" i="1"/>
  <c r="AH520" i="1"/>
  <c r="AH519" i="1"/>
  <c r="AH518" i="1"/>
  <c r="AH517" i="1"/>
  <c r="AH516" i="1"/>
  <c r="AH515" i="1"/>
  <c r="AH514" i="1"/>
  <c r="AH513" i="1"/>
  <c r="AH342" i="1"/>
  <c r="AH341" i="1"/>
  <c r="AH340" i="1"/>
  <c r="AH339" i="1"/>
  <c r="AH338" i="1"/>
  <c r="AH337" i="1"/>
  <c r="AH336" i="1"/>
  <c r="AH335" i="1"/>
  <c r="AH351" i="1"/>
  <c r="AH350" i="1"/>
  <c r="AH349" i="1"/>
  <c r="AH348" i="1"/>
  <c r="AH347" i="1"/>
  <c r="AH346" i="1"/>
  <c r="AH345" i="1"/>
  <c r="AH344" i="1"/>
  <c r="AH343" i="1"/>
  <c r="AH357" i="1"/>
  <c r="AH356" i="1"/>
  <c r="AH355" i="1"/>
  <c r="AH354" i="1"/>
  <c r="AH353" i="1"/>
  <c r="AH352" i="1"/>
  <c r="AH884" i="1"/>
  <c r="AH883" i="1"/>
  <c r="AH882" i="1"/>
  <c r="AH881" i="1"/>
  <c r="AH880" i="1"/>
  <c r="AH879" i="1"/>
  <c r="AH878" i="1"/>
  <c r="AH903" i="1"/>
  <c r="AH902" i="1"/>
  <c r="AH901" i="1"/>
  <c r="AH900" i="1"/>
  <c r="AH899" i="1"/>
  <c r="AH898" i="1"/>
  <c r="AH897" i="1"/>
  <c r="AH896" i="1"/>
  <c r="AH895" i="1"/>
  <c r="AH894" i="1"/>
  <c r="AH893" i="1"/>
  <c r="AH892" i="1"/>
  <c r="AH891" i="1"/>
  <c r="AH890" i="1"/>
  <c r="AH889" i="1"/>
  <c r="AH877" i="1"/>
  <c r="AH876" i="1"/>
  <c r="AH875" i="1"/>
  <c r="AH874" i="1"/>
  <c r="AH873" i="1"/>
  <c r="AH872" i="1"/>
  <c r="AH871" i="1"/>
  <c r="AH870" i="1"/>
  <c r="AH869" i="1"/>
  <c r="AH432" i="1"/>
  <c r="AH431" i="1"/>
  <c r="AH449" i="1"/>
  <c r="AH448" i="1"/>
  <c r="AH447" i="1"/>
  <c r="AH446" i="1"/>
  <c r="AH445" i="1"/>
  <c r="AH444" i="1"/>
  <c r="AH443" i="1"/>
  <c r="AH442" i="1"/>
  <c r="AH441" i="1"/>
  <c r="AH440" i="1"/>
  <c r="AH439" i="1"/>
  <c r="AH438" i="1"/>
  <c r="AH437" i="1"/>
  <c r="AH436" i="1"/>
  <c r="AH435" i="1"/>
  <c r="AH434" i="1"/>
  <c r="AH433" i="1"/>
  <c r="AH404" i="1"/>
  <c r="AH403" i="1"/>
  <c r="AH402" i="1"/>
  <c r="AH401" i="1"/>
  <c r="AH400" i="1"/>
  <c r="AH399" i="1"/>
  <c r="AH398" i="1"/>
  <c r="AH397" i="1"/>
  <c r="AH396" i="1"/>
  <c r="AH395" i="1"/>
  <c r="AH394" i="1"/>
  <c r="AH393" i="1"/>
  <c r="AH868" i="1"/>
  <c r="AH867" i="1"/>
  <c r="AH866" i="1"/>
  <c r="AH865" i="1"/>
  <c r="AH864" i="1"/>
  <c r="AH863" i="1"/>
  <c r="AH862" i="1"/>
  <c r="AH861" i="1"/>
  <c r="AH859" i="1"/>
  <c r="AH858" i="1"/>
  <c r="AH857" i="1"/>
  <c r="AH856" i="1"/>
  <c r="AH855" i="1"/>
  <c r="AH854" i="1"/>
  <c r="AH853" i="1"/>
  <c r="AH852" i="1"/>
  <c r="AH851" i="1"/>
  <c r="AH850" i="1"/>
  <c r="AH849" i="1"/>
  <c r="AH847" i="1"/>
  <c r="AH846" i="1"/>
  <c r="AH845" i="1"/>
  <c r="AH844" i="1"/>
  <c r="AH842" i="1"/>
  <c r="AH841" i="1"/>
  <c r="AH818" i="1"/>
  <c r="AH817" i="1"/>
  <c r="AH820" i="1"/>
  <c r="AH819" i="1"/>
  <c r="AH805" i="1"/>
  <c r="AH804" i="1"/>
  <c r="AH803" i="1"/>
  <c r="AH802" i="1"/>
  <c r="AH801" i="1"/>
  <c r="AH800" i="1"/>
  <c r="AH799" i="1"/>
  <c r="AH798" i="1"/>
  <c r="AH797" i="1"/>
  <c r="AH796" i="1"/>
  <c r="AH795" i="1"/>
  <c r="AH794" i="1"/>
  <c r="AH793" i="1"/>
  <c r="AH792" i="1"/>
  <c r="AH791" i="1"/>
  <c r="AH790" i="1"/>
  <c r="AH789" i="1"/>
  <c r="AH788" i="1"/>
  <c r="AH253" i="1"/>
  <c r="AH251" i="1"/>
  <c r="AH263" i="1" l="1"/>
  <c r="AH262" i="1"/>
  <c r="AH261" i="1"/>
  <c r="AH260" i="1"/>
  <c r="AH259" i="1"/>
  <c r="AH258" i="1"/>
  <c r="AH257" i="1"/>
  <c r="AH256" i="1"/>
  <c r="AH255" i="1"/>
  <c r="AH254" i="1"/>
  <c r="AH233" i="1" l="1"/>
  <c r="AH232" i="1"/>
  <c r="AH231" i="1"/>
  <c r="AH230" i="1"/>
  <c r="AH229" i="1"/>
  <c r="AH228" i="1"/>
  <c r="AH227" i="1"/>
  <c r="AH226" i="1"/>
  <c r="AH225" i="1"/>
  <c r="AH224" i="1"/>
  <c r="AH223" i="1"/>
  <c r="AH222" i="1"/>
  <c r="AH221" i="1"/>
  <c r="AH220" i="1"/>
  <c r="AH218" i="1"/>
  <c r="AH217" i="1"/>
  <c r="AH216" i="1"/>
  <c r="AH215" i="1"/>
  <c r="AH219" i="1"/>
  <c r="AH163" i="1"/>
  <c r="AH162" i="1"/>
  <c r="AH161" i="1"/>
  <c r="AH160" i="1"/>
  <c r="AH159" i="1"/>
  <c r="AH158" i="1"/>
  <c r="AH157" i="1"/>
  <c r="AH156" i="1"/>
  <c r="AH155" i="1"/>
  <c r="AH154" i="1"/>
  <c r="AH153" i="1"/>
  <c r="AH152" i="1"/>
  <c r="AH151" i="1"/>
  <c r="AH826" i="1" l="1"/>
  <c r="AH825" i="1"/>
  <c r="AH824" i="1"/>
  <c r="AH823" i="1"/>
  <c r="AH822" i="1"/>
  <c r="AH821" i="1"/>
  <c r="AH104" i="1"/>
  <c r="AH103" i="1"/>
  <c r="AH102" i="1"/>
  <c r="AH101" i="1"/>
  <c r="AH100" i="1"/>
  <c r="AH99" i="1"/>
  <c r="AH98" i="1"/>
  <c r="AH97" i="1"/>
  <c r="AH96" i="1"/>
  <c r="AH95" i="1"/>
  <c r="AH94" i="1"/>
  <c r="AH214" i="1"/>
  <c r="AH213" i="1"/>
  <c r="AH49" i="1"/>
  <c r="AH48" i="1"/>
  <c r="AH47" i="1"/>
  <c r="AH46" i="1"/>
  <c r="AH45" i="1"/>
  <c r="AH44" i="1"/>
  <c r="AH43" i="1"/>
  <c r="AH42" i="1"/>
  <c r="AH41" i="1"/>
  <c r="AH27" i="1" l="1"/>
  <c r="AH26" i="1"/>
  <c r="AH25" i="1"/>
  <c r="AH24" i="1"/>
  <c r="AH22" i="1"/>
  <c r="AH21" i="1"/>
  <c r="AH20" i="1"/>
  <c r="AH19" i="1"/>
  <c r="AH18" i="1"/>
  <c r="AH17" i="1"/>
  <c r="AH16" i="1"/>
  <c r="AH15" i="1"/>
  <c r="AH14" i="1"/>
  <c r="AH13" i="1"/>
  <c r="AH12" i="1"/>
  <c r="AH11" i="1"/>
  <c r="AH10" i="1"/>
  <c r="AH9" i="1"/>
  <c r="AH8" i="1"/>
  <c r="AH7" i="1"/>
  <c r="AH6" i="1"/>
  <c r="AH5" i="1"/>
  <c r="AH4" i="1"/>
  <c r="AH3" i="1"/>
  <c r="F933" i="1" l="1"/>
  <c r="C936" i="1" l="1"/>
  <c r="L931" i="1" l="1"/>
  <c r="H934" i="1"/>
  <c r="L933" i="1" l="1"/>
  <c r="H932" i="1"/>
  <c r="H931" i="1"/>
  <c r="F932" i="1"/>
  <c r="F936" i="1" s="1"/>
  <c r="A4" i="1" l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A154" i="1" s="1"/>
  <c r="A155" i="1" s="1"/>
  <c r="A156" i="1" s="1"/>
  <c r="A157" i="1" s="1"/>
  <c r="A158" i="1" s="1"/>
  <c r="A159" i="1" s="1"/>
  <c r="A160" i="1" s="1"/>
  <c r="A161" i="1" s="1"/>
  <c r="A162" i="1" s="1"/>
  <c r="A163" i="1" s="1"/>
  <c r="A164" i="1" s="1"/>
  <c r="A165" i="1" s="1"/>
  <c r="A166" i="1" l="1"/>
  <c r="A167" i="1" s="1"/>
  <c r="A168" i="1" s="1"/>
  <c r="A169" i="1" l="1"/>
  <c r="A170" i="1" s="1"/>
  <c r="A171" i="1" s="1"/>
  <c r="A172" i="1" s="1"/>
  <c r="A173" i="1" s="1"/>
  <c r="A174" i="1" s="1"/>
  <c r="A175" i="1" s="1"/>
  <c r="A176" i="1" s="1"/>
  <c r="A177" i="1" s="1"/>
  <c r="A178" i="1" s="1"/>
  <c r="A179" i="1" s="1"/>
  <c r="A180" i="1" s="1"/>
  <c r="A181" i="1" s="1"/>
  <c r="A182" i="1" s="1"/>
  <c r="A183" i="1" s="1"/>
  <c r="A184" i="1" s="1"/>
  <c r="A185" i="1" s="1"/>
  <c r="A186" i="1" s="1"/>
  <c r="A187" i="1" s="1"/>
  <c r="A188" i="1" s="1"/>
  <c r="A189" i="1" s="1"/>
  <c r="A190" i="1" s="1"/>
  <c r="A191" i="1" s="1"/>
  <c r="A192" i="1" s="1"/>
  <c r="A193" i="1" s="1"/>
  <c r="A194" i="1" s="1"/>
  <c r="A195" i="1" s="1"/>
  <c r="A196" i="1" s="1"/>
  <c r="A197" i="1" s="1"/>
  <c r="A198" i="1" s="1"/>
  <c r="A199" i="1" s="1"/>
  <c r="A200" i="1" s="1"/>
  <c r="A201" i="1" s="1"/>
  <c r="A202" i="1" s="1"/>
  <c r="A203" i="1" s="1"/>
  <c r="A204" i="1" s="1"/>
  <c r="A205" i="1" s="1"/>
  <c r="A206" i="1" l="1"/>
  <c r="A207" i="1" s="1"/>
  <c r="A208" i="1" s="1"/>
  <c r="A209" i="1" s="1"/>
  <c r="A210" i="1" s="1"/>
  <c r="A211" i="1" s="1"/>
  <c r="A212" i="1" s="1"/>
  <c r="A213" i="1" s="1"/>
  <c r="A214" i="1" s="1"/>
  <c r="A215" i="1" s="1"/>
  <c r="A216" i="1" s="1"/>
  <c r="A217" i="1" s="1"/>
  <c r="A218" i="1" s="1"/>
  <c r="A219" i="1" s="1"/>
  <c r="A220" i="1" s="1"/>
  <c r="A221" i="1" s="1"/>
  <c r="A222" i="1" s="1"/>
  <c r="A223" i="1" s="1"/>
  <c r="A224" i="1" s="1"/>
  <c r="A225" i="1" s="1"/>
  <c r="A226" i="1" s="1"/>
  <c r="A227" i="1" s="1"/>
  <c r="A228" i="1" s="1"/>
  <c r="A229" i="1" s="1"/>
  <c r="A230" i="1" s="1"/>
  <c r="A231" i="1" s="1"/>
  <c r="A232" i="1" s="1"/>
  <c r="A233" i="1" s="1"/>
  <c r="A234" i="1" s="1"/>
  <c r="A235" i="1" s="1"/>
  <c r="A236" i="1" s="1"/>
  <c r="A237" i="1" s="1"/>
  <c r="A238" i="1" s="1"/>
  <c r="A239" i="1" s="1"/>
  <c r="A240" i="1" s="1"/>
  <c r="A241" i="1" s="1"/>
  <c r="A242" i="1" s="1"/>
  <c r="A243" i="1" s="1"/>
  <c r="A244" i="1" s="1"/>
  <c r="A245" i="1" s="1"/>
  <c r="A246" i="1" s="1"/>
  <c r="A247" i="1" s="1"/>
  <c r="A248" i="1" s="1"/>
  <c r="A249" i="1" s="1"/>
  <c r="A250" i="1" s="1"/>
  <c r="A251" i="1" s="1"/>
  <c r="A252" i="1" s="1"/>
  <c r="A253" i="1" s="1"/>
  <c r="A254" i="1" s="1"/>
  <c r="A255" i="1" s="1"/>
  <c r="A256" i="1" s="1"/>
  <c r="A257" i="1" s="1"/>
  <c r="A258" i="1" s="1"/>
  <c r="A259" i="1" s="1"/>
  <c r="A260" i="1" s="1"/>
  <c r="A261" i="1" s="1"/>
  <c r="A262" i="1" s="1"/>
  <c r="A263" i="1" s="1"/>
  <c r="A264" i="1" s="1"/>
  <c r="A265" i="1" s="1"/>
  <c r="A266" i="1" s="1"/>
  <c r="A267" i="1" s="1"/>
  <c r="A268" i="1" s="1"/>
  <c r="A269" i="1" s="1"/>
  <c r="A270" i="1" s="1"/>
  <c r="A271" i="1" s="1"/>
  <c r="A272" i="1" s="1"/>
  <c r="A273" i="1" s="1"/>
  <c r="A274" i="1" s="1"/>
  <c r="A275" i="1" s="1"/>
  <c r="A276" i="1" s="1"/>
  <c r="A277" i="1" s="1"/>
  <c r="A278" i="1" s="1"/>
  <c r="A279" i="1" s="1"/>
  <c r="A280" i="1" s="1"/>
  <c r="A281" i="1" s="1"/>
  <c r="A282" i="1" s="1"/>
  <c r="A283" i="1" s="1"/>
  <c r="A284" i="1" s="1"/>
  <c r="A285" i="1" s="1"/>
  <c r="A286" i="1" s="1"/>
  <c r="A287" i="1" s="1"/>
  <c r="A288" i="1" s="1"/>
  <c r="A289" i="1" s="1"/>
  <c r="A290" i="1" s="1"/>
  <c r="A291" i="1" s="1"/>
  <c r="A292" i="1" s="1"/>
  <c r="A293" i="1" s="1"/>
  <c r="A294" i="1" s="1"/>
  <c r="A295" i="1" s="1"/>
  <c r="A296" i="1" s="1"/>
  <c r="A297" i="1" s="1"/>
  <c r="A298" i="1" s="1"/>
  <c r="A299" i="1" s="1"/>
  <c r="A300" i="1" s="1"/>
  <c r="A301" i="1" s="1"/>
  <c r="A302" i="1" s="1"/>
  <c r="A303" i="1" s="1"/>
  <c r="A304" i="1" s="1"/>
  <c r="A305" i="1" s="1"/>
  <c r="A306" i="1" s="1"/>
  <c r="A307" i="1" s="1"/>
  <c r="A308" i="1" s="1"/>
  <c r="A309" i="1" s="1"/>
  <c r="A310" i="1" s="1"/>
  <c r="A311" i="1" s="1"/>
  <c r="A312" i="1" s="1"/>
  <c r="A313" i="1" s="1"/>
  <c r="A314" i="1" s="1"/>
  <c r="A315" i="1" s="1"/>
  <c r="A316" i="1" s="1"/>
  <c r="A317" i="1" s="1"/>
  <c r="A318" i="1" s="1"/>
  <c r="A319" i="1" s="1"/>
  <c r="A320" i="1" s="1"/>
  <c r="A321" i="1" s="1"/>
  <c r="A322" i="1" s="1"/>
  <c r="A323" i="1" s="1"/>
  <c r="A324" i="1" l="1"/>
  <c r="A325" i="1" s="1"/>
  <c r="A326" i="1" s="1"/>
  <c r="A327" i="1" s="1"/>
  <c r="A328" i="1" s="1"/>
  <c r="A329" i="1" s="1"/>
  <c r="A330" i="1" s="1"/>
  <c r="A331" i="1" s="1"/>
  <c r="A332" i="1" s="1"/>
  <c r="A333" i="1" s="1"/>
  <c r="A334" i="1" s="1"/>
  <c r="A335" i="1" s="1"/>
  <c r="A336" i="1" s="1"/>
  <c r="A337" i="1" s="1"/>
  <c r="A338" i="1" s="1"/>
  <c r="A339" i="1" s="1"/>
  <c r="A340" i="1" s="1"/>
  <c r="A341" i="1" s="1"/>
  <c r="A342" i="1" s="1"/>
  <c r="A343" i="1" s="1"/>
  <c r="A344" i="1" s="1"/>
  <c r="A345" i="1" s="1"/>
  <c r="A346" i="1" s="1"/>
  <c r="A347" i="1" s="1"/>
  <c r="A348" i="1" s="1"/>
  <c r="A349" i="1" s="1"/>
  <c r="A350" i="1" s="1"/>
  <c r="A351" i="1" s="1"/>
  <c r="A352" i="1" s="1"/>
  <c r="A353" i="1" s="1"/>
  <c r="A354" i="1" s="1"/>
  <c r="A355" i="1" s="1"/>
  <c r="A356" i="1" s="1"/>
  <c r="A357" i="1" s="1"/>
  <c r="A358" i="1" l="1"/>
  <c r="A359" i="1" s="1"/>
  <c r="A360" i="1" s="1"/>
  <c r="A361" i="1" s="1"/>
  <c r="A362" i="1" s="1"/>
  <c r="A363" i="1" s="1"/>
  <c r="A364" i="1" s="1"/>
  <c r="A365" i="1" s="1"/>
  <c r="A366" i="1" s="1"/>
  <c r="A367" i="1" s="1"/>
  <c r="A368" i="1" s="1"/>
  <c r="A369" i="1" s="1"/>
  <c r="A370" i="1" s="1"/>
  <c r="A371" i="1" s="1"/>
  <c r="A372" i="1" s="1"/>
  <c r="A373" i="1" s="1"/>
  <c r="A374" i="1" s="1"/>
  <c r="A375" i="1" s="1"/>
  <c r="A376" i="1" s="1"/>
  <c r="A377" i="1" s="1"/>
  <c r="A378" i="1" s="1"/>
  <c r="A379" i="1" s="1"/>
  <c r="A380" i="1" s="1"/>
  <c r="A381" i="1" s="1"/>
  <c r="A382" i="1" s="1"/>
  <c r="A383" i="1" s="1"/>
  <c r="A384" i="1" s="1"/>
  <c r="A385" i="1" s="1"/>
  <c r="A386" i="1" s="1"/>
  <c r="A387" i="1" s="1"/>
  <c r="A388" i="1" s="1"/>
  <c r="A389" i="1" s="1"/>
  <c r="A390" i="1" s="1"/>
  <c r="A391" i="1" s="1"/>
  <c r="A392" i="1" s="1"/>
  <c r="A393" i="1" s="1"/>
  <c r="A394" i="1" s="1"/>
  <c r="A395" i="1" s="1"/>
  <c r="A396" i="1" s="1"/>
  <c r="A397" i="1" s="1"/>
  <c r="A398" i="1" s="1"/>
  <c r="A399" i="1" s="1"/>
  <c r="A400" i="1" s="1"/>
  <c r="A401" i="1" s="1"/>
  <c r="A402" i="1" s="1"/>
  <c r="A403" i="1" s="1"/>
  <c r="A404" i="1" s="1"/>
  <c r="A405" i="1" s="1"/>
  <c r="A406" i="1" s="1"/>
  <c r="A407" i="1" s="1"/>
  <c r="A408" i="1" s="1"/>
  <c r="A409" i="1" s="1"/>
  <c r="A410" i="1" s="1"/>
  <c r="A411" i="1" s="1"/>
  <c r="A412" i="1" s="1"/>
  <c r="A413" i="1" s="1"/>
  <c r="A414" i="1" s="1"/>
  <c r="A415" i="1" s="1"/>
  <c r="A416" i="1" s="1"/>
  <c r="A417" i="1" s="1"/>
  <c r="A418" i="1" s="1"/>
  <c r="A419" i="1" s="1"/>
  <c r="A420" i="1" s="1"/>
  <c r="A421" i="1" s="1"/>
  <c r="A422" i="1" s="1"/>
  <c r="A423" i="1" s="1"/>
  <c r="A424" i="1" s="1"/>
  <c r="A425" i="1" s="1"/>
  <c r="A426" i="1" s="1"/>
  <c r="A427" i="1" s="1"/>
  <c r="A428" i="1" s="1"/>
  <c r="A429" i="1" s="1"/>
  <c r="A430" i="1" s="1"/>
  <c r="A431" i="1" s="1"/>
  <c r="A432" i="1" s="1"/>
  <c r="A433" i="1" s="1"/>
  <c r="A434" i="1" s="1"/>
  <c r="A435" i="1" s="1"/>
  <c r="A436" i="1" s="1"/>
  <c r="A437" i="1" s="1"/>
  <c r="A438" i="1" s="1"/>
  <c r="A439" i="1" s="1"/>
  <c r="A440" i="1" s="1"/>
  <c r="A441" i="1" s="1"/>
  <c r="A442" i="1" s="1"/>
  <c r="A443" i="1" s="1"/>
  <c r="A444" i="1" s="1"/>
  <c r="A445" i="1" s="1"/>
  <c r="A446" i="1" s="1"/>
  <c r="A447" i="1" s="1"/>
  <c r="A448" i="1" s="1"/>
  <c r="A449" i="1" s="1"/>
  <c r="A450" i="1" s="1"/>
  <c r="A451" i="1" s="1"/>
  <c r="A452" i="1" s="1"/>
  <c r="A453" i="1" s="1"/>
  <c r="A454" i="1" s="1"/>
  <c r="A455" i="1" s="1"/>
  <c r="A456" i="1" s="1"/>
  <c r="A457" i="1" s="1"/>
  <c r="A458" i="1" s="1"/>
  <c r="A459" i="1" s="1"/>
  <c r="A460" i="1" s="1"/>
  <c r="A461" i="1" s="1"/>
  <c r="A462" i="1" s="1"/>
  <c r="A463" i="1" s="1"/>
  <c r="A464" i="1" s="1"/>
  <c r="A465" i="1" s="1"/>
  <c r="A466" i="1" s="1"/>
  <c r="A467" i="1" s="1"/>
  <c r="A468" i="1" s="1"/>
  <c r="A469" i="1" s="1"/>
  <c r="A470" i="1" s="1"/>
  <c r="A471" i="1" s="1"/>
  <c r="A472" i="1" s="1"/>
  <c r="A473" i="1" s="1"/>
  <c r="A474" i="1" s="1"/>
  <c r="A475" i="1" s="1"/>
  <c r="A476" i="1" s="1"/>
  <c r="A477" i="1" s="1"/>
  <c r="A478" i="1" s="1"/>
  <c r="A479" i="1" s="1"/>
  <c r="A480" i="1" s="1"/>
  <c r="A481" i="1" s="1"/>
  <c r="A482" i="1" s="1"/>
  <c r="A483" i="1" s="1"/>
  <c r="A484" i="1" s="1"/>
  <c r="A485" i="1" s="1"/>
  <c r="A486" i="1" s="1"/>
  <c r="A487" i="1" s="1"/>
  <c r="A488" i="1" s="1"/>
  <c r="A489" i="1" s="1"/>
  <c r="A490" i="1" s="1"/>
  <c r="A491" i="1" s="1"/>
  <c r="A492" i="1" s="1"/>
  <c r="A493" i="1" s="1"/>
  <c r="A494" i="1" s="1"/>
  <c r="A495" i="1" s="1"/>
  <c r="A496" i="1" s="1"/>
  <c r="A497" i="1" s="1"/>
  <c r="A498" i="1" s="1"/>
  <c r="A499" i="1" s="1"/>
  <c r="A500" i="1" s="1"/>
  <c r="A501" i="1" s="1"/>
  <c r="A502" i="1" s="1"/>
  <c r="A503" i="1" s="1"/>
  <c r="A504" i="1" s="1"/>
  <c r="A505" i="1" s="1"/>
  <c r="A506" i="1" s="1"/>
  <c r="A507" i="1" s="1"/>
  <c r="A508" i="1" s="1"/>
  <c r="A509" i="1" s="1"/>
  <c r="A510" i="1" s="1"/>
  <c r="A511" i="1" s="1"/>
  <c r="A512" i="1" s="1"/>
  <c r="A513" i="1" s="1"/>
  <c r="A514" i="1" s="1"/>
  <c r="A515" i="1" s="1"/>
  <c r="A516" i="1" s="1"/>
  <c r="A517" i="1" s="1"/>
  <c r="A518" i="1" s="1"/>
  <c r="A519" i="1" s="1"/>
  <c r="A520" i="1" s="1"/>
  <c r="A521" i="1" s="1"/>
  <c r="A522" i="1" s="1"/>
  <c r="A523" i="1" s="1"/>
  <c r="A524" i="1" s="1"/>
  <c r="A525" i="1" s="1"/>
  <c r="A526" i="1" s="1"/>
  <c r="A527" i="1" s="1"/>
  <c r="A528" i="1" s="1"/>
  <c r="A529" i="1" s="1"/>
  <c r="A530" i="1" s="1"/>
  <c r="A531" i="1" s="1"/>
  <c r="A532" i="1" s="1"/>
  <c r="A533" i="1" s="1"/>
  <c r="A534" i="1" s="1"/>
  <c r="A535" i="1" s="1"/>
  <c r="A536" i="1" s="1"/>
  <c r="A537" i="1" s="1"/>
  <c r="A538" i="1" s="1"/>
  <c r="A539" i="1" s="1"/>
  <c r="A540" i="1" s="1"/>
  <c r="A541" i="1" s="1"/>
  <c r="A542" i="1" s="1"/>
  <c r="A543" i="1" s="1"/>
  <c r="A544" i="1" s="1"/>
  <c r="A545" i="1" s="1"/>
  <c r="A546" i="1" s="1"/>
  <c r="A547" i="1" s="1"/>
  <c r="A548" i="1" s="1"/>
  <c r="A549" i="1" s="1"/>
  <c r="A550" i="1" s="1"/>
  <c r="A551" i="1" s="1"/>
  <c r="A552" i="1" s="1"/>
  <c r="A553" i="1" s="1"/>
  <c r="A554" i="1" s="1"/>
  <c r="A555" i="1" s="1"/>
  <c r="A556" i="1" s="1"/>
  <c r="A557" i="1" s="1"/>
  <c r="A558" i="1" s="1"/>
  <c r="A559" i="1" s="1"/>
  <c r="A560" i="1" s="1"/>
  <c r="A561" i="1" s="1"/>
  <c r="A562" i="1" s="1"/>
  <c r="A563" i="1" s="1"/>
  <c r="A564" i="1" s="1"/>
  <c r="A565" i="1" s="1"/>
  <c r="A566" i="1" s="1"/>
  <c r="A567" i="1" s="1"/>
  <c r="A568" i="1" s="1"/>
  <c r="A569" i="1" s="1"/>
  <c r="A570" i="1" s="1"/>
  <c r="A571" i="1" s="1"/>
  <c r="A572" i="1" s="1"/>
  <c r="A573" i="1" s="1"/>
  <c r="A574" i="1" s="1"/>
  <c r="A575" i="1" s="1"/>
  <c r="A576" i="1" s="1"/>
  <c r="A577" i="1" s="1"/>
  <c r="A578" i="1" s="1"/>
  <c r="A579" i="1" s="1"/>
  <c r="A580" i="1" s="1"/>
  <c r="A581" i="1" s="1"/>
  <c r="A582" i="1" s="1"/>
  <c r="A583" i="1" s="1"/>
  <c r="A584" i="1" s="1"/>
  <c r="A585" i="1" s="1"/>
  <c r="A586" i="1" s="1"/>
  <c r="A587" i="1" s="1"/>
  <c r="A588" i="1" s="1"/>
  <c r="A589" i="1" s="1"/>
  <c r="A590" i="1" s="1"/>
  <c r="A591" i="1" s="1"/>
  <c r="A592" i="1" s="1"/>
  <c r="A593" i="1" s="1"/>
  <c r="A594" i="1" s="1"/>
  <c r="A595" i="1" s="1"/>
  <c r="A596" i="1" s="1"/>
  <c r="A597" i="1" s="1"/>
  <c r="A598" i="1" s="1"/>
  <c r="A599" i="1" s="1"/>
  <c r="A600" i="1" s="1"/>
  <c r="A601" i="1" s="1"/>
  <c r="A602" i="1" s="1"/>
  <c r="A603" i="1" s="1"/>
  <c r="A604" i="1" s="1"/>
  <c r="A605" i="1" s="1"/>
  <c r="A606" i="1" s="1"/>
  <c r="A607" i="1" s="1"/>
  <c r="A608" i="1" s="1"/>
  <c r="A609" i="1" s="1"/>
  <c r="A610" i="1" s="1"/>
  <c r="A611" i="1" s="1"/>
  <c r="A612" i="1" s="1"/>
  <c r="A613" i="1" s="1"/>
  <c r="A614" i="1" s="1"/>
  <c r="A615" i="1" s="1"/>
  <c r="A616" i="1" s="1"/>
  <c r="A617" i="1" s="1"/>
  <c r="A618" i="1" s="1"/>
  <c r="A619" i="1" s="1"/>
  <c r="A620" i="1" s="1"/>
  <c r="A621" i="1" s="1"/>
  <c r="A622" i="1" s="1"/>
  <c r="A623" i="1" s="1"/>
  <c r="A624" i="1" s="1"/>
  <c r="A625" i="1" s="1"/>
  <c r="A626" i="1" s="1"/>
  <c r="A627" i="1" s="1"/>
  <c r="A628" i="1" s="1"/>
  <c r="A629" i="1" s="1"/>
  <c r="A630" i="1" s="1"/>
  <c r="A631" i="1" s="1"/>
  <c r="A632" i="1" s="1"/>
  <c r="A633" i="1" s="1"/>
  <c r="A634" i="1" s="1"/>
  <c r="A635" i="1" s="1"/>
  <c r="A636" i="1" s="1"/>
  <c r="A637" i="1" s="1"/>
  <c r="A638" i="1" s="1"/>
  <c r="A639" i="1" s="1"/>
  <c r="A640" i="1" s="1"/>
  <c r="A641" i="1" s="1"/>
  <c r="A642" i="1" s="1"/>
  <c r="A643" i="1" s="1"/>
  <c r="A644" i="1" s="1"/>
  <c r="A645" i="1" s="1"/>
  <c r="A646" i="1" s="1"/>
  <c r="A647" i="1" s="1"/>
  <c r="A648" i="1" s="1"/>
  <c r="A649" i="1" s="1"/>
  <c r="A650" i="1" s="1"/>
  <c r="A651" i="1" s="1"/>
  <c r="A652" i="1" s="1"/>
  <c r="A653" i="1" s="1"/>
  <c r="A654" i="1" s="1"/>
  <c r="A655" i="1" s="1"/>
  <c r="A656" i="1" s="1"/>
  <c r="A657" i="1" s="1"/>
  <c r="A658" i="1" s="1"/>
  <c r="A659" i="1" s="1"/>
  <c r="A660" i="1" s="1"/>
  <c r="A661" i="1" s="1"/>
  <c r="A662" i="1" s="1"/>
  <c r="A663" i="1" s="1"/>
  <c r="A664" i="1" s="1"/>
  <c r="A665" i="1" s="1"/>
  <c r="A666" i="1" s="1"/>
  <c r="A667" i="1" s="1"/>
  <c r="A668" i="1" s="1"/>
  <c r="A669" i="1" s="1"/>
  <c r="A670" i="1" s="1"/>
  <c r="A671" i="1" s="1"/>
  <c r="A672" i="1" s="1"/>
  <c r="A673" i="1" s="1"/>
  <c r="A674" i="1" s="1"/>
  <c r="A675" i="1" s="1"/>
  <c r="A676" i="1" s="1"/>
  <c r="A677" i="1" s="1"/>
  <c r="A678" i="1" s="1"/>
  <c r="A679" i="1" s="1"/>
  <c r="A680" i="1" s="1"/>
  <c r="A681" i="1" s="1"/>
  <c r="A682" i="1" s="1"/>
  <c r="A683" i="1" s="1"/>
  <c r="A684" i="1" s="1"/>
  <c r="A685" i="1" s="1"/>
  <c r="A686" i="1" s="1"/>
  <c r="A687" i="1" s="1"/>
  <c r="A688" i="1" s="1"/>
  <c r="A689" i="1" s="1"/>
  <c r="A690" i="1" s="1"/>
  <c r="A691" i="1" s="1"/>
  <c r="A692" i="1" s="1"/>
  <c r="A693" i="1" s="1"/>
  <c r="A694" i="1" s="1"/>
  <c r="A695" i="1" s="1"/>
  <c r="A696" i="1" s="1"/>
  <c r="A697" i="1" s="1"/>
  <c r="A698" i="1" s="1"/>
  <c r="A699" i="1" s="1"/>
  <c r="A700" i="1" s="1"/>
  <c r="A701" i="1" s="1"/>
  <c r="A702" i="1" s="1"/>
  <c r="A703" i="1" s="1"/>
  <c r="A704" i="1" s="1"/>
  <c r="A705" i="1" s="1"/>
  <c r="A706" i="1" s="1"/>
  <c r="A707" i="1" s="1"/>
  <c r="A708" i="1" s="1"/>
  <c r="A709" i="1" s="1"/>
  <c r="A710" i="1" s="1"/>
  <c r="A711" i="1" s="1"/>
  <c r="A712" i="1" s="1"/>
  <c r="A713" i="1" s="1"/>
  <c r="A714" i="1" s="1"/>
  <c r="A715" i="1" s="1"/>
  <c r="A716" i="1" s="1"/>
  <c r="A717" i="1" s="1"/>
  <c r="A718" i="1" s="1"/>
  <c r="A719" i="1" s="1"/>
  <c r="A720" i="1" s="1"/>
  <c r="A721" i="1" s="1"/>
  <c r="A722" i="1" s="1"/>
  <c r="A723" i="1" s="1"/>
  <c r="A724" i="1" s="1"/>
  <c r="A725" i="1" s="1"/>
  <c r="A726" i="1" s="1"/>
  <c r="A727" i="1" s="1"/>
  <c r="A728" i="1" s="1"/>
  <c r="A729" i="1" s="1"/>
  <c r="A730" i="1" s="1"/>
  <c r="A731" i="1" s="1"/>
  <c r="A732" i="1" s="1"/>
  <c r="A733" i="1" s="1"/>
  <c r="A734" i="1" s="1"/>
  <c r="A735" i="1" s="1"/>
  <c r="A736" i="1" s="1"/>
  <c r="A737" i="1" s="1"/>
  <c r="A738" i="1" s="1"/>
  <c r="A739" i="1" s="1"/>
  <c r="A740" i="1" s="1"/>
  <c r="A741" i="1" s="1"/>
  <c r="A742" i="1" s="1"/>
  <c r="A743" i="1" s="1"/>
  <c r="A744" i="1" s="1"/>
  <c r="A745" i="1" s="1"/>
  <c r="A746" i="1" s="1"/>
  <c r="A747" i="1" s="1"/>
  <c r="A748" i="1" s="1"/>
  <c r="A749" i="1" s="1"/>
  <c r="A750" i="1" s="1"/>
  <c r="A751" i="1" s="1"/>
  <c r="A752" i="1" s="1"/>
  <c r="A753" i="1" s="1"/>
  <c r="A754" i="1" s="1"/>
  <c r="A755" i="1" s="1"/>
  <c r="A756" i="1" s="1"/>
  <c r="A757" i="1" s="1"/>
  <c r="A758" i="1" s="1"/>
  <c r="A759" i="1" s="1"/>
  <c r="A760" i="1" s="1"/>
  <c r="A761" i="1" s="1"/>
  <c r="A762" i="1" s="1"/>
  <c r="A763" i="1" s="1"/>
  <c r="A764" i="1" s="1"/>
  <c r="A765" i="1" s="1"/>
  <c r="A766" i="1" s="1"/>
  <c r="A767" i="1" s="1"/>
  <c r="A768" i="1" s="1"/>
  <c r="A769" i="1" s="1"/>
  <c r="A770" i="1" s="1"/>
  <c r="A771" i="1" s="1"/>
  <c r="A772" i="1" s="1"/>
  <c r="A773" i="1" s="1"/>
  <c r="A774" i="1" s="1"/>
  <c r="A775" i="1" s="1"/>
  <c r="A776" i="1" s="1"/>
  <c r="A777" i="1" s="1"/>
  <c r="A778" i="1" s="1"/>
  <c r="A779" i="1" s="1"/>
  <c r="A780" i="1" s="1"/>
  <c r="A781" i="1" s="1"/>
  <c r="A782" i="1" s="1"/>
  <c r="A783" i="1" s="1"/>
  <c r="A784" i="1" s="1"/>
  <c r="A785" i="1" s="1"/>
  <c r="A786" i="1" s="1"/>
  <c r="A787" i="1" s="1"/>
  <c r="A788" i="1" s="1"/>
  <c r="A789" i="1" s="1"/>
  <c r="A790" i="1" s="1"/>
  <c r="A791" i="1" s="1"/>
  <c r="A792" i="1" s="1"/>
  <c r="A793" i="1" s="1"/>
  <c r="A794" i="1" s="1"/>
  <c r="A795" i="1" s="1"/>
  <c r="A796" i="1" s="1"/>
  <c r="A797" i="1" s="1"/>
  <c r="A798" i="1" s="1"/>
  <c r="A799" i="1" s="1"/>
  <c r="A800" i="1" s="1"/>
  <c r="A801" i="1" s="1"/>
  <c r="A802" i="1" s="1"/>
  <c r="A803" i="1" s="1"/>
  <c r="A804" i="1" s="1"/>
  <c r="A805" i="1" s="1"/>
  <c r="A806" i="1" s="1"/>
  <c r="A807" i="1" s="1"/>
  <c r="A808" i="1" s="1"/>
  <c r="A809" i="1" s="1"/>
  <c r="A810" i="1" s="1"/>
  <c r="A811" i="1" s="1"/>
  <c r="A812" i="1" s="1"/>
  <c r="A813" i="1" s="1"/>
  <c r="A814" i="1" s="1"/>
  <c r="A815" i="1" s="1"/>
  <c r="A816" i="1" s="1"/>
  <c r="A817" i="1" s="1"/>
  <c r="A818" i="1" s="1"/>
  <c r="A819" i="1" s="1"/>
  <c r="A820" i="1" s="1"/>
  <c r="A821" i="1" s="1"/>
  <c r="A822" i="1" s="1"/>
  <c r="A823" i="1" s="1"/>
  <c r="A824" i="1" s="1"/>
  <c r="A825" i="1" s="1"/>
  <c r="A826" i="1" s="1"/>
  <c r="A827" i="1" s="1"/>
  <c r="A828" i="1" s="1"/>
  <c r="A829" i="1" s="1"/>
  <c r="A830" i="1" s="1"/>
  <c r="A831" i="1" s="1"/>
  <c r="A832" i="1" s="1"/>
  <c r="A833" i="1" s="1"/>
  <c r="A834" i="1" s="1"/>
  <c r="A835" i="1" s="1"/>
  <c r="A836" i="1" s="1"/>
  <c r="A837" i="1" s="1"/>
  <c r="A838" i="1" s="1"/>
  <c r="A839" i="1" s="1"/>
  <c r="A840" i="1" s="1"/>
  <c r="A841" i="1" s="1"/>
  <c r="A842" i="1" s="1"/>
  <c r="A843" i="1" s="1"/>
  <c r="A844" i="1" s="1"/>
  <c r="A845" i="1" s="1"/>
  <c r="A846" i="1" s="1"/>
  <c r="A847" i="1" s="1"/>
  <c r="A848" i="1" s="1"/>
  <c r="A849" i="1" s="1"/>
  <c r="A850" i="1" s="1"/>
  <c r="A851" i="1" s="1"/>
  <c r="A852" i="1" s="1"/>
  <c r="A853" i="1" s="1"/>
  <c r="A854" i="1" s="1"/>
  <c r="A855" i="1" s="1"/>
  <c r="A856" i="1" s="1"/>
  <c r="A857" i="1" s="1"/>
  <c r="A858" i="1" s="1"/>
  <c r="A859" i="1" s="1"/>
  <c r="A860" i="1" s="1"/>
  <c r="A861" i="1" s="1"/>
  <c r="A862" i="1" s="1"/>
  <c r="A863" i="1" s="1"/>
  <c r="A864" i="1" s="1"/>
  <c r="A865" i="1" s="1"/>
  <c r="A866" i="1" s="1"/>
  <c r="A867" i="1" s="1"/>
  <c r="A868" i="1" s="1"/>
  <c r="A869" i="1" s="1"/>
  <c r="A870" i="1" s="1"/>
  <c r="A871" i="1" s="1"/>
  <c r="A872" i="1" s="1"/>
  <c r="A873" i="1" s="1"/>
  <c r="A874" i="1" s="1"/>
  <c r="A875" i="1" s="1"/>
  <c r="A876" i="1" s="1"/>
  <c r="A877" i="1" s="1"/>
  <c r="A878" i="1" s="1"/>
  <c r="A879" i="1" s="1"/>
  <c r="A880" i="1" s="1"/>
  <c r="A881" i="1" s="1"/>
  <c r="A882" i="1" s="1"/>
  <c r="A883" i="1" s="1"/>
  <c r="A884" i="1" s="1"/>
  <c r="A885" i="1" s="1"/>
  <c r="A886" i="1" s="1"/>
  <c r="A887" i="1" s="1"/>
  <c r="A888" i="1" s="1"/>
  <c r="A889" i="1" s="1"/>
  <c r="A890" i="1" s="1"/>
  <c r="A891" i="1" s="1"/>
  <c r="A892" i="1" s="1"/>
  <c r="A893" i="1" s="1"/>
  <c r="A894" i="1" s="1"/>
  <c r="A895" i="1" s="1"/>
  <c r="A896" i="1" s="1"/>
  <c r="A897" i="1" s="1"/>
  <c r="A898" i="1" s="1"/>
  <c r="A899" i="1" s="1"/>
  <c r="A900" i="1" s="1"/>
  <c r="A901" i="1" s="1"/>
  <c r="A902" i="1" s="1"/>
  <c r="A903" i="1" s="1"/>
  <c r="A904" i="1" s="1"/>
  <c r="A905" i="1" s="1"/>
  <c r="A906" i="1" s="1"/>
  <c r="A907" i="1" s="1"/>
  <c r="A908" i="1" s="1"/>
  <c r="A909" i="1" s="1"/>
  <c r="A910" i="1" s="1"/>
  <c r="A911" i="1" s="1"/>
  <c r="A912" i="1" s="1"/>
  <c r="A913" i="1" s="1"/>
  <c r="A914" i="1" s="1"/>
  <c r="A915" i="1" s="1"/>
  <c r="A916" i="1" s="1"/>
  <c r="A917" i="1" s="1"/>
  <c r="A918" i="1" s="1"/>
  <c r="A919" i="1" s="1"/>
  <c r="A920" i="1" s="1"/>
  <c r="A921" i="1" s="1"/>
  <c r="A922" i="1" s="1"/>
  <c r="A923" i="1" s="1"/>
  <c r="A924" i="1" s="1"/>
  <c r="A925" i="1" s="1"/>
  <c r="A926" i="1" s="1"/>
  <c r="A927" i="1" s="1"/>
  <c r="A928" i="1" s="1"/>
  <c r="A929" i="1" s="1"/>
  <c r="C174" i="2"/>
  <c r="D174" i="2"/>
  <c r="I171" i="2" l="1"/>
  <c r="I172" i="2"/>
  <c r="I170" i="2"/>
  <c r="G174" i="2"/>
  <c r="H174" i="2"/>
  <c r="I173" i="2"/>
  <c r="E174" i="2" l="1"/>
  <c r="C175" i="2" s="1"/>
  <c r="F174" i="2"/>
  <c r="F175" i="2" s="1"/>
</calcChain>
</file>

<file path=xl/sharedStrings.xml><?xml version="1.0" encoding="utf-8"?>
<sst xmlns="http://schemas.openxmlformats.org/spreadsheetml/2006/main" count="9116" uniqueCount="571">
  <si>
    <t>REFERENCE</t>
  </si>
  <si>
    <t>Molecule</t>
  </si>
  <si>
    <t>Size</t>
  </si>
  <si>
    <t>State</t>
  </si>
  <si>
    <t>V/R</t>
  </si>
  <si>
    <t>TBE/AVTZ</t>
  </si>
  <si>
    <t>CC2</t>
  </si>
  <si>
    <t>CC3</t>
  </si>
  <si>
    <t>ADC(2)</t>
  </si>
  <si>
    <t>ADC(3)</t>
  </si>
  <si>
    <t>Acetone</t>
  </si>
  <si>
    <t>V</t>
  </si>
  <si>
    <t>npi</t>
  </si>
  <si>
    <t>Y</t>
  </si>
  <si>
    <t>R</t>
  </si>
  <si>
    <t>n3s</t>
  </si>
  <si>
    <t>n3p</t>
  </si>
  <si>
    <t>ppi</t>
  </si>
  <si>
    <t>Acrolein</t>
  </si>
  <si>
    <t>Benzene</t>
  </si>
  <si>
    <t xml:space="preserve">^1B_{2u}   </t>
  </si>
  <si>
    <t xml:space="preserve">^1B_{1u}   </t>
  </si>
  <si>
    <t>p3s</t>
  </si>
  <si>
    <t>p3p</t>
  </si>
  <si>
    <t xml:space="preserve">^3B_{1u}   </t>
  </si>
  <si>
    <t xml:space="preserve">^3B_{2u}   </t>
  </si>
  <si>
    <t>Butadiene</t>
  </si>
  <si>
    <t>Cyanoacetylene</t>
  </si>
  <si>
    <t>Cyanoformaldehyde</t>
  </si>
  <si>
    <t>Cyanogen</t>
  </si>
  <si>
    <t>Cyclopentadiene</t>
  </si>
  <si>
    <t>Cyclopropenone</t>
  </si>
  <si>
    <t>Cyclopropenethione</t>
  </si>
  <si>
    <t>Diacetylene</t>
  </si>
  <si>
    <t>Furan</t>
  </si>
  <si>
    <t>Glyoxal</t>
  </si>
  <si>
    <t>Imidazole</t>
  </si>
  <si>
    <t>Isobutene</t>
  </si>
  <si>
    <t>Propynal</t>
  </si>
  <si>
    <t>Pyrazine</t>
  </si>
  <si>
    <t xml:space="preserve">^1B_{3u}   </t>
  </si>
  <si>
    <t xml:space="preserve">^1B_{2g}   </t>
  </si>
  <si>
    <t xml:space="preserve">^1B_{1g}   </t>
  </si>
  <si>
    <t xml:space="preserve">^3B_{3u}   </t>
  </si>
  <si>
    <t xml:space="preserve">^3B_{2g}   </t>
  </si>
  <si>
    <t>Pyridazine</t>
  </si>
  <si>
    <t>Pyridine</t>
  </si>
  <si>
    <t>Pyrimidine</t>
  </si>
  <si>
    <t>Pyrrole</t>
  </si>
  <si>
    <t>Tetrazine</t>
  </si>
  <si>
    <t xml:space="preserve">^3B_{1g}   </t>
  </si>
  <si>
    <t>Thioacetone</t>
  </si>
  <si>
    <t>Thiophene</t>
  </si>
  <si>
    <t>Thiopropynal</t>
  </si>
  <si>
    <t>Triazine</t>
  </si>
  <si>
    <t>Singlet</t>
  </si>
  <si>
    <t>Max</t>
  </si>
  <si>
    <t>Triplet</t>
  </si>
  <si>
    <t>pipi</t>
  </si>
  <si>
    <t>Min</t>
  </si>
  <si>
    <t>Valence</t>
  </si>
  <si>
    <t>Ryd</t>
  </si>
  <si>
    <t>Safe</t>
  </si>
  <si>
    <t>NB</t>
  </si>
  <si>
    <t>Rydberg</t>
  </si>
  <si>
    <t>Doub</t>
  </si>
  <si>
    <t>Unsafe</t>
  </si>
  <si>
    <t>Und</t>
  </si>
  <si>
    <t>Total</t>
  </si>
  <si>
    <t>Acetaldehyde</t>
  </si>
  <si>
    <t xml:space="preserve">Acetylene </t>
  </si>
  <si>
    <t xml:space="preserve">Ammonia </t>
  </si>
  <si>
    <t xml:space="preserve">Cyclopropene </t>
  </si>
  <si>
    <t xml:space="preserve">Diazomethane </t>
  </si>
  <si>
    <t xml:space="preserve">Dinitrogen </t>
  </si>
  <si>
    <t xml:space="preserve">Ethylene </t>
  </si>
  <si>
    <t xml:space="preserve">Formaldehyde </t>
  </si>
  <si>
    <t xml:space="preserve">Formamide </t>
  </si>
  <si>
    <t xml:space="preserve">Hydrogen chloride </t>
  </si>
  <si>
    <t xml:space="preserve">Hydrogen sulfide  </t>
  </si>
  <si>
    <t xml:space="preserve">Ketene </t>
  </si>
  <si>
    <t xml:space="preserve">Methanimine </t>
  </si>
  <si>
    <t xml:space="preserve">Nitrosomethane </t>
  </si>
  <si>
    <t xml:space="preserve">Thioformaldehyde </t>
  </si>
  <si>
    <t xml:space="preserve">Water </t>
  </si>
  <si>
    <t>^3\Sigma_u^+</t>
  </si>
  <si>
    <t>^1\Sigma_u^-</t>
  </si>
  <si>
    <t>^1\Sigma_g^+</t>
  </si>
  <si>
    <t>^1\Sigma_u^+</t>
  </si>
  <si>
    <t xml:space="preserve">^1A^"  </t>
  </si>
  <si>
    <t xml:space="preserve">^3A^"  </t>
  </si>
  <si>
    <t>p3s </t>
  </si>
  <si>
    <t>Methylenecyclopropene</t>
  </si>
  <si>
    <t>ADC(2.5)</t>
  </si>
  <si>
    <t>SOS-CC2</t>
  </si>
  <si>
    <t>SCS-CC2</t>
  </si>
  <si>
    <t>CCSD</t>
  </si>
  <si>
    <t>CCSDR(3)</t>
  </si>
  <si>
    <t>Thioacrolein</t>
  </si>
  <si>
    <t>CCSDT/AVTZ</t>
  </si>
  <si>
    <t>CIS(D)</t>
  </si>
  <si>
    <t>STEOM-CCSD</t>
  </si>
  <si>
    <t>Method</t>
  </si>
  <si>
    <t>exFCI/AVTZ</t>
  </si>
  <si>
    <t>Group</t>
  </si>
  <si>
    <t>exFCI/AVDZ + [CCSDT/AVTZ - CCSDT/AVDZ]</t>
  </si>
  <si>
    <t>SOS-ADC(2) [TM]</t>
  </si>
  <si>
    <t>^1A_u [F]</t>
  </si>
  <si>
    <t>^1A_2 [F]</t>
  </si>
  <si>
    <t>CCSDTQ/6-31+G(d) + [CCSDT/AVTZ - CCSDT/6-31+G(d)]</t>
  </si>
  <si>
    <t>CCSDT/AVDZ + [CC3/AVTZ - CC3/AVDZ]</t>
  </si>
  <si>
    <t>N</t>
  </si>
  <si>
    <t>%T1 [CC3/AVTZ]</t>
  </si>
  <si>
    <t>CCSDT/6-31+G(d) + [CC3/AVTZ - CC3/6-31+G(d)]</t>
  </si>
  <si>
    <t>CCSDTQ/6-31+G(d) + [CC3/AVTZ - CC3/6-31+G(d)]</t>
  </si>
  <si>
    <t>^1A'' [F]</t>
  </si>
  <si>
    <t> ^1\Sigma_u^-  [F]</t>
  </si>
  <si>
    <t>CCSDTQ/AVDZ + [CCSDT/AVTZ - CCSDT/AVDZ]</t>
  </si>
  <si>
    <t>^1A_1</t>
  </si>
  <si>
    <t>^1A^" [F]</t>
  </si>
  <si>
    <t>^1A_g</t>
  </si>
  <si>
    <t>dou</t>
  </si>
  <si>
    <t xml:space="preserve">^1A^" [F] </t>
  </si>
  <si>
    <t>TM</t>
  </si>
  <si>
    <t xml:space="preserve">^1B_{3g}   </t>
  </si>
  <si>
    <t xml:space="preserve">^3B_{3g}   </t>
  </si>
  <si>
    <t>CCl2</t>
  </si>
  <si>
    <t>CF2</t>
  </si>
  <si>
    <t>^1B_1</t>
  </si>
  <si>
    <t>^3B_1</t>
  </si>
  <si>
    <t>^3A_2</t>
  </si>
  <si>
    <t>^1A_2</t>
  </si>
  <si>
    <t>Type</t>
  </si>
  <si>
    <t>Formylfluoride</t>
  </si>
  <si>
    <t>^3A"</t>
  </si>
  <si>
    <t>HCP</t>
  </si>
  <si>
    <t>^1\Delta</t>
  </si>
  <si>
    <t>^1B_2</t>
  </si>
  <si>
    <t>HPO</t>
  </si>
  <si>
    <t>HPS</t>
  </si>
  <si>
    <t>spi</t>
  </si>
  <si>
    <t>Cyclopentadienone</t>
  </si>
  <si>
    <t>^3B_2</t>
  </si>
  <si>
    <t>^3A_1</t>
  </si>
  <si>
    <t>Cyclopentadienethione</t>
  </si>
  <si>
    <t>SiCl2</t>
  </si>
  <si>
    <t>HCF</t>
  </si>
  <si>
    <t>^1A"</t>
  </si>
  <si>
    <t>Benzoquinone</t>
  </si>
  <si>
    <t>^3A_u</t>
  </si>
  <si>
    <t>^1A_u</t>
  </si>
  <si>
    <t>HSiF</t>
  </si>
  <si>
    <t>CClF</t>
  </si>
  <si>
    <t>HCCl</t>
  </si>
  <si>
    <t>Hexatriene</t>
  </si>
  <si>
    <t>^3\Delta</t>
  </si>
  <si>
    <t>Maleimide</t>
  </si>
  <si>
    <t>Naphthalene</t>
  </si>
  <si>
    <t>CC3/AVTZ</t>
  </si>
  <si>
    <t>Aza-naphthalene</t>
  </si>
  <si>
    <t>^1B_{3g}</t>
  </si>
  <si>
    <t>^1B_{2u}</t>
  </si>
  <si>
    <t>^1B_{1u}</t>
  </si>
  <si>
    <t>^1B_{3u}</t>
  </si>
  <si>
    <t>^3B_{2u}</t>
  </si>
  <si>
    <t>^3B_{3u}</t>
  </si>
  <si>
    <t>^3B_{1u}</t>
  </si>
  <si>
    <t>^3B_{2g}</t>
  </si>
  <si>
    <t xml:space="preserve">^3B_u   </t>
  </si>
  <si>
    <t>^3A_g</t>
  </si>
  <si>
    <t>n.d.</t>
  </si>
  <si>
    <t>Diazirine</t>
  </si>
  <si>
    <t>f [LR-CC3/AVTZ]</t>
  </si>
  <si>
    <t xml:space="preserve">Carbon monoxide </t>
  </si>
  <si>
    <t>Silylidene</t>
  </si>
  <si>
    <t>Difluorodiazirine</t>
  </si>
  <si>
    <t>Octatetraene</t>
  </si>
  <si>
    <t>^3B_u</t>
  </si>
  <si>
    <t>CCSDT-3</t>
  </si>
  <si>
    <t>EOM-MP2</t>
  </si>
  <si>
    <t>SOS-ADC(2) [QC]</t>
  </si>
  <si>
    <t>Beryllium</t>
  </si>
  <si>
    <t>^1D</t>
  </si>
  <si>
    <t>^1\Delta_g</t>
  </si>
  <si>
    <t>CCSDT</t>
  </si>
  <si>
    <t>CCSD(T)(a)*</t>
  </si>
  <si>
    <t>Cyclobutadiene</t>
  </si>
  <si>
    <t>BF</t>
  </si>
  <si>
    <t>BH</t>
  </si>
  <si>
    <t>FCI/AVTZ</t>
  </si>
  <si>
    <t>PC-NEVPT2</t>
  </si>
  <si>
    <t>SC-NEVPT2</t>
  </si>
  <si>
    <t>n4s</t>
  </si>
  <si>
    <t>Streptocyanine-C1</t>
  </si>
  <si>
    <t>Streptocyanine-C3</t>
  </si>
  <si>
    <t>Streptocyanine-C5</t>
  </si>
  <si>
    <t>CASSCF</t>
  </si>
  <si>
    <t>CASPT2</t>
  </si>
  <si>
    <t>CASPT2 (No IPEA)</t>
  </si>
  <si>
    <t>CASPT3</t>
  </si>
  <si>
    <t>CASPT3 (No IPEA)</t>
  </si>
  <si>
    <t>TBE/AVQZ</t>
  </si>
  <si>
    <t>Corr. Method</t>
  </si>
  <si>
    <t>CC4/AVDZ + [CCSDT/AVTZ - CCSDT/AVDZ]</t>
  </si>
  <si>
    <t>CCSDTQP/AVDZ + [CCSDTQ/AVTZ - CCSDTQ/AVDZ]</t>
  </si>
  <si>
    <t xml:space="preserve"> </t>
  </si>
  <si>
    <t>Aniline</t>
  </si>
  <si>
    <t>M</t>
  </si>
  <si>
    <t>wCT</t>
  </si>
  <si>
    <t>Special ?</t>
  </si>
  <si>
    <t>exFCI/AVDZ + [CCSDTQ/AVTZ - CCSDTQ/AVDZ]</t>
  </si>
  <si>
    <t>Benzonitrile</t>
  </si>
  <si>
    <t>CC4/6-31+G(d) + [CCSDT/AVTZ - CCSDT/6-31+G(d)]</t>
  </si>
  <si>
    <t>CC4/6-31+G(d) + [CC3/AVTZ - CC3/6-31+G(d)]</t>
  </si>
  <si>
    <t>p3d</t>
  </si>
  <si>
    <t>nspi</t>
  </si>
  <si>
    <t>CCSDTQ/AVDZ + [CC4/AVTZ - CC4/AVDZ]</t>
  </si>
  <si>
    <t>Chlorobenzene</t>
  </si>
  <si>
    <t>PyrroloPyrrole</t>
  </si>
  <si>
    <t>^1B_g</t>
  </si>
  <si>
    <t>CCSDTQP/6-31+G(d) + [CCSDTQ/AVTZ - CCSDTQ/6-31+G(d)]</t>
  </si>
  <si>
    <t>^3B_g</t>
  </si>
  <si>
    <t>Fluorobenzene</t>
  </si>
  <si>
    <t>^1B_u</t>
  </si>
  <si>
    <t>^1A''</t>
  </si>
  <si>
    <t>^3A''</t>
  </si>
  <si>
    <t>^1\Delta_u</t>
  </si>
  <si>
    <t>^3\Delta_u</t>
  </si>
  <si>
    <t>^3\Sigma_u^-</t>
  </si>
  <si>
    <t>^1A'</t>
  </si>
  <si>
    <t>^3A'</t>
  </si>
  <si>
    <t>^1E</t>
  </si>
  <si>
    <t>^1B_{2g}</t>
  </si>
  <si>
    <t>^3B_{3g}</t>
  </si>
  <si>
    <t>^1E_{1g}</t>
  </si>
  <si>
    <t>^1A_{2u}</t>
  </si>
  <si>
    <t>^1E_{2u}</t>
  </si>
  <si>
    <t>^1E_{2g}</t>
  </si>
  <si>
    <t>^1A_{1g}</t>
  </si>
  <si>
    <t>^3E_{1u}</t>
  </si>
  <si>
    <t>^1B_{1g}</t>
  </si>
  <si>
    <t>^3B_{1g}</t>
  </si>
  <si>
    <t>^1\Pi</t>
  </si>
  <si>
    <t>^1\Sigma^-</t>
  </si>
  <si>
    <t>^1\Sigma^+</t>
  </si>
  <si>
    <t>^3\Pi</t>
  </si>
  <si>
    <t>^3\Sigma^+</t>
  </si>
  <si>
    <t>^3\Sigma^-</t>
  </si>
  <si>
    <t> ^1\Sigma_u^-</t>
  </si>
  <si>
    <t> ^1\Delta_u</t>
  </si>
  <si>
    <t> ^3\Sigma_u^+</t>
  </si>
  <si>
    <t>FL</t>
  </si>
  <si>
    <t>Borole</t>
  </si>
  <si>
    <t>^1A_{1u}</t>
  </si>
  <si>
    <t>^1E_{1u}</t>
  </si>
  <si>
    <t>^3E_{1g}</t>
  </si>
  <si>
    <t>Thioformaldehyde-S-oxide</t>
  </si>
  <si>
    <t>Pyridinium</t>
  </si>
  <si>
    <t>CCSDTQ/AVDZ +  [CCSDT/AVTZ - CCSDT/AVDZ]</t>
  </si>
  <si>
    <t>Azulene</t>
  </si>
  <si>
    <t>CC3/AVDZ + [CCSD/AVTZ - CCSD/AVDZ]</t>
  </si>
  <si>
    <t>Benzothiadiazole</t>
  </si>
  <si>
    <t>Benzoxadiazole</t>
  </si>
  <si>
    <t xml:space="preserve">^1A_2[F]   </t>
  </si>
  <si>
    <t>Aminobenzonitrile</t>
  </si>
  <si>
    <t>Nitrobenzene</t>
  </si>
  <si>
    <t>Tetrathiafulvalene</t>
  </si>
  <si>
    <t>psi</t>
  </si>
  <si>
    <t>Criegee Interm.</t>
  </si>
  <si>
    <t>^1\Pi [F]</t>
  </si>
  <si>
    <t>CCSDTQP/6-31+G(d) + [CCSDTQ/AVDZ - CCSDTQ/6-31+G(d)] + [CCSDT/AVTZ - CCSDT/AVDZ]</t>
  </si>
  <si>
    <t>n3p/ppi</t>
  </si>
  <si>
    <t>Diketopyrrolopyrrole</t>
  </si>
  <si>
    <t>Nitroaniline</t>
  </si>
  <si>
    <t>sCT</t>
  </si>
  <si>
    <t>Phenolate</t>
  </si>
  <si>
    <t>CCSDT/6-31+G(d) + [CCSDT-3/AVTZ - CCSDT-3/6-31+G(d)]</t>
  </si>
  <si>
    <t>Nitroxyl</t>
  </si>
  <si>
    <t>Dimethylaniline</t>
  </si>
  <si>
    <t>Nitropyridine N-oxide</t>
  </si>
  <si>
    <t>Phthalazine</t>
  </si>
  <si>
    <t>Larger</t>
  </si>
  <si>
    <t>n.d</t>
  </si>
  <si>
    <t>1-2 non-H atoms</t>
  </si>
  <si>
    <t>ppi/nsp</t>
  </si>
  <si>
    <t>Dimethylaminobenzonitrile</t>
  </si>
  <si>
    <t>HCN</t>
  </si>
  <si>
    <t>HNC</t>
  </si>
  <si>
    <t>Hydrogen peroxide</t>
  </si>
  <si>
    <t>nsi</t>
  </si>
  <si>
    <t>^1A</t>
  </si>
  <si>
    <t>^1B</t>
  </si>
  <si>
    <t>^3A</t>
  </si>
  <si>
    <t>^3B</t>
  </si>
  <si>
    <t>^1\Pi_g</t>
  </si>
  <si>
    <t>^1\Pi_u</t>
  </si>
  <si>
    <t>^3\Pi_g</t>
  </si>
  <si>
    <t>^3\Pi_u</t>
  </si>
  <si>
    <t>^3\Sigma_g^+</t>
  </si>
  <si>
    <t>^1A_1''</t>
  </si>
  <si>
    <t>^1A_2''</t>
  </si>
  <si>
    <t>^1E''</t>
  </si>
  <si>
    <t>^1A_2'</t>
  </si>
  <si>
    <t>^1A_1'</t>
  </si>
  <si>
    <t>^1E'</t>
  </si>
  <si>
    <t>^3A_2''</t>
  </si>
  <si>
    <t>^3E''</t>
  </si>
  <si>
    <t>^3A_1''</t>
  </si>
  <si>
    <t>^3A_1'</t>
  </si>
  <si>
    <t>^3E'</t>
  </si>
  <si>
    <t>^3A_2'</t>
  </si>
  <si>
    <t>^1A'' [F]</t>
  </si>
  <si>
    <t> ^1A''</t>
  </si>
  <si>
    <t>Triazapentalene</t>
  </si>
  <si>
    <t>Nitrous oxide</t>
  </si>
  <si>
    <t>Carbon dioxyde</t>
  </si>
  <si>
    <t>Carbon dimer</t>
  </si>
  <si>
    <t>Carbon trimer</t>
  </si>
  <si>
    <t>Carbonic acid</t>
  </si>
  <si>
    <t>Nitrodimethylaniline</t>
  </si>
  <si>
    <t>PD</t>
  </si>
  <si>
    <t>GD</t>
  </si>
  <si>
    <t>FCI</t>
  </si>
  <si>
    <t>CCSDTQ/6-31+G(d) + [CC4/AVDZ - CCSDT/6-31+G(d)] + [CCSDT/AVTZ - CCSDT/AVDZ]</t>
  </si>
  <si>
    <t>Quinoxaline</t>
  </si>
  <si>
    <t>Nitrous acid</t>
  </si>
  <si>
    <t>CC13</t>
  </si>
  <si>
    <t>Oxalyl fluoride</t>
  </si>
  <si>
    <t>Phenyl-pyrrole</t>
  </si>
  <si>
    <t>CCSDTQ/6-31+G(d) + [CC4/AVDZ - CC4/6-31+G(d)] + [CCSDT/AVTZ - CCSDT/AVDZ]</t>
  </si>
  <si>
    <t>pis</t>
  </si>
  <si>
    <t>ns</t>
  </si>
  <si>
    <t>^3Pi_u</t>
  </si>
  <si>
    <t>CCSDTQP/Pop + [CCSDTQ/AVTZ - CCSDTQ/Pop]</t>
  </si>
  <si>
    <t>CCSDTQ/6-31+G(d) + [CC4/AVDZ-CC4/6-31+G(d)] +  [CCSDT/AVTZ - CCSDT/AVDZ]</t>
  </si>
  <si>
    <t>Diazete</t>
  </si>
  <si>
    <t>Thienothiophene</t>
  </si>
  <si>
    <t>Furofuran</t>
  </si>
  <si>
    <t>Carbonyl fluoride</t>
  </si>
  <si>
    <t>CC4/6-31+G(d) + [CCSDT/AVDZ - CCSDT/6-31+G(d)] + [CC3/AVTZ - CC3/AVDZ]</t>
  </si>
  <si>
    <t>Pyranone</t>
  </si>
  <si>
    <t>exFCI/AVDZ + [CC4/AVTZ - CC4/AVDZ]</t>
  </si>
  <si>
    <t>PC-NEVPT2/AVTZ</t>
  </si>
  <si>
    <t>exFCI/AVDZ + [CCSDTQ/AVTZ -  CCSDTQ/AVDZ]</t>
  </si>
  <si>
    <t>Tolan</t>
  </si>
  <si>
    <t>%T1 [CC3/AVDZ]</t>
  </si>
  <si>
    <t>f [LR-CCSD/AVTZ]</t>
  </si>
  <si>
    <t>B3LYP</t>
  </si>
  <si>
    <t>TPSSh</t>
  </si>
  <si>
    <t>t-HCTHhyb</t>
  </si>
  <si>
    <t>PBE0</t>
  </si>
  <si>
    <t>M06</t>
  </si>
  <si>
    <t>SOGGA11-X</t>
  </si>
  <si>
    <t>BMK</t>
  </si>
  <si>
    <t>MN15</t>
  </si>
  <si>
    <t>M06-2X</t>
  </si>
  <si>
    <t>M08-HX</t>
  </si>
  <si>
    <t>CAM-BLYP</t>
  </si>
  <si>
    <t>wB97X-D</t>
  </si>
  <si>
    <t>wB97X</t>
  </si>
  <si>
    <t>wB97</t>
  </si>
  <si>
    <t>LC-wPBE</t>
  </si>
  <si>
    <t>M11</t>
  </si>
  <si>
    <t>B2PLYP</t>
  </si>
  <si>
    <t>PBE0-DH</t>
  </si>
  <si>
    <t>PBE-QIDH</t>
  </si>
  <si>
    <t>wB2PLYP</t>
  </si>
  <si>
    <t>RSH-0DH</t>
  </si>
  <si>
    <t>RSX-QIDH</t>
  </si>
  <si>
    <t>SOS-wB88PP86</t>
  </si>
  <si>
    <t>SOS-wPBEPP86</t>
  </si>
  <si>
    <t>Phthalimide</t>
  </si>
  <si>
    <t>Phenazine</t>
  </si>
  <si>
    <t>Napthoquinone</t>
  </si>
  <si>
    <t>Cyclazine</t>
  </si>
  <si>
    <t>^1E"</t>
  </si>
  <si>
    <t>^3E"</t>
  </si>
  <si>
    <t>^1A_1"</t>
  </si>
  <si>
    <t>^3A_1"</t>
  </si>
  <si>
    <t>Heptazine</t>
  </si>
  <si>
    <t>Naphthalimide</t>
  </si>
  <si>
    <t>Coumarin</t>
  </si>
  <si>
    <t>BODIPY</t>
  </si>
  <si>
    <t>CC3/AVDZ + [CCSDR(3)/AVTZ - CCSDR(3)/AVDZ]</t>
  </si>
  <si>
    <t>Azobenzene</t>
  </si>
  <si>
    <t>aza-BODIPY</t>
  </si>
  <si>
    <t>Anthracene</t>
  </si>
  <si>
    <t>Anthraquinone</t>
  </si>
  <si>
    <t>cM06</t>
  </si>
  <si>
    <t>cM06-2X</t>
  </si>
  <si>
    <t>cSCAN0</t>
  </si>
  <si>
    <t>rCAM-B3LYP</t>
  </si>
  <si>
    <t>wB97M-V</t>
  </si>
  <si>
    <t>CC4/6-31+G(d) + [PC-NEVPT2/AVTZ - PC-NEVPT2/6-31+G(d)]</t>
  </si>
  <si>
    <t>cLH12ct-SsirPW92</t>
  </si>
  <si>
    <t>cLH14t-calPBE</t>
  </si>
  <si>
    <t>cLH20t</t>
  </si>
  <si>
    <t>Phenol</t>
  </si>
  <si>
    <t>S</t>
  </si>
  <si>
    <t>T</t>
  </si>
  <si>
    <t>M06-SX</t>
  </si>
  <si>
    <t>cM06-SX</t>
  </si>
  <si>
    <t>tCAM-B3LYP</t>
  </si>
  <si>
    <t>mCAM-B3LYP</t>
  </si>
  <si>
    <t>wB97X-2</t>
  </si>
  <si>
    <t>BSE/G0W0@PBE0</t>
  </si>
  <si>
    <t>BSE/G0W0@CAM-B3LYP</t>
  </si>
  <si>
    <t>BSE/G0W0@HF</t>
  </si>
  <si>
    <t>BSE/evGW@PBE0</t>
  </si>
  <si>
    <t>BSE/evGW@CAM-B3LYP</t>
  </si>
  <si>
    <t>BSE/evGW@HF</t>
  </si>
  <si>
    <t>Bimane (Syn)</t>
  </si>
  <si>
    <t>Bimane (Anti)</t>
  </si>
  <si>
    <t>Pentalene</t>
  </si>
  <si>
    <t>Indacene (C2h)</t>
  </si>
  <si>
    <t>NEVPT2/AVTZ</t>
  </si>
  <si>
    <t>NB Structures</t>
  </si>
  <si>
    <t>Adenine</t>
  </si>
  <si>
    <t>Cytosine</t>
  </si>
  <si>
    <t>Guanine</t>
  </si>
  <si>
    <t>Thymine</t>
  </si>
  <si>
    <t>Uracil</t>
  </si>
  <si>
    <t>CuCl</t>
  </si>
  <si>
    <t>^1Sigma^+</t>
  </si>
  <si>
    <t>^1Pi</t>
  </si>
  <si>
    <t>^1Delta</t>
  </si>
  <si>
    <t>^3Sigma^+</t>
  </si>
  <si>
    <t>^3Pi</t>
  </si>
  <si>
    <t>^3Delta</t>
  </si>
  <si>
    <t>CuF</t>
  </si>
  <si>
    <t>3d4s</t>
  </si>
  <si>
    <t>CCSDTQ/AVDZ + [CASPT2/AVTZ - CASPT2/AVDZ]</t>
  </si>
  <si>
    <t>CASPT2/AVTZ</t>
  </si>
  <si>
    <t>CC4</t>
  </si>
  <si>
    <t>CCSDTQ</t>
  </si>
  <si>
    <t>si4s</t>
  </si>
  <si>
    <t>exFCI/AVDZ + [CASPT2/AVTZ – CASPT2/AVDZ]</t>
  </si>
  <si>
    <t>CuH</t>
  </si>
  <si>
    <t>CCSDTQ/AVTZ</t>
  </si>
  <si>
    <t>ScF</t>
  </si>
  <si>
    <t>ScH</t>
  </si>
  <si>
    <t>4s3d</t>
  </si>
  <si>
    <t>exFCI/AVDZ + [CCSDTQ/AVTZ – CCSDTQ/AVDZ]</t>
  </si>
  <si>
    <t>exFCI/AVDZ + [CCSDT/AVTZ – CCSDT/AVDZ]</t>
  </si>
  <si>
    <t>CCSDTQ/AVDZ + [CCSDT/AVTZ – CCSDT/AVDZ]</t>
  </si>
  <si>
    <t>ZnO</t>
  </si>
  <si>
    <t>ZnS</t>
  </si>
  <si>
    <t>^1Sigma^-</t>
  </si>
  <si>
    <t>2p4s</t>
  </si>
  <si>
    <t>3p4s</t>
  </si>
  <si>
    <t>CCSDTQ/AVDZ + [CC4/AVTZ – CC4/AVDZ]</t>
  </si>
  <si>
    <t>exFCI/AVDZ + [CC4/AVTZ – CC4/AVDZ]</t>
  </si>
  <si>
    <t>ScO</t>
  </si>
  <si>
    <t>ScS</t>
  </si>
  <si>
    <t>TiN</t>
  </si>
  <si>
    <t>ZnH</t>
  </si>
  <si>
    <t>^2Pi</t>
  </si>
  <si>
    <t>^2Delta</t>
  </si>
  <si>
    <t>^2Sigma^+</t>
  </si>
  <si>
    <t>si3d</t>
  </si>
  <si>
    <t>4s4p</t>
  </si>
  <si>
    <t>4s5p</t>
  </si>
  <si>
    <t>4s5s</t>
  </si>
  <si>
    <t>Allyl</t>
  </si>
  <si>
    <t>^2B_1</t>
  </si>
  <si>
    <t>^2A_1</t>
  </si>
  <si>
    <t>^2B_2</t>
  </si>
  <si>
    <t>^4A_2</t>
  </si>
  <si>
    <t>U-ADC(2)</t>
  </si>
  <si>
    <t>Method (all in RO)</t>
  </si>
  <si>
    <t>U-ADC(3)</t>
  </si>
  <si>
    <t>U-CC2</t>
  </si>
  <si>
    <t>U-CCSD</t>
  </si>
  <si>
    <t>RO-CCSD</t>
  </si>
  <si>
    <t>RO-CC2</t>
  </si>
  <si>
    <t>RO-CC3</t>
  </si>
  <si>
    <t>U-CC3</t>
  </si>
  <si>
    <t>BeF</t>
  </si>
  <si>
    <t>^2\Pi</t>
  </si>
  <si>
    <t>^2\Sigma^+</t>
  </si>
  <si>
    <t>BeH</t>
  </si>
  <si>
    <t>^2\Delta</t>
  </si>
  <si>
    <t>BH2</t>
  </si>
  <si>
    <t>^4\Pi</t>
  </si>
  <si>
    <t>^2A_2</t>
  </si>
  <si>
    <t>CH</t>
  </si>
  <si>
    <t>^2\Sigma^-</t>
  </si>
  <si>
    <t>^4\Sigma^-</t>
  </si>
  <si>
    <t>CH2N</t>
  </si>
  <si>
    <t>^4B_1</t>
  </si>
  <si>
    <t>CH2O+</t>
  </si>
  <si>
    <t>CH3</t>
  </si>
  <si>
    <t>^2E'</t>
  </si>
  <si>
    <t>^2A_1'</t>
  </si>
  <si>
    <t>^2A_2"</t>
  </si>
  <si>
    <t>ClO2</t>
  </si>
  <si>
    <t>^4B_2</t>
  </si>
  <si>
    <t>CN</t>
  </si>
  <si>
    <t>^4\Sigma^+</t>
  </si>
  <si>
    <t>^4\Delta</t>
  </si>
  <si>
    <t>NO</t>
  </si>
  <si>
    <t>NO2</t>
  </si>
  <si>
    <t>exFCI/6-31+G(d) + [CCSDTQ/AVDZ - CCSDTQ/6-31+G(d)] + [CCSDT/AVTZ - CCSDT/AVDZ]</t>
  </si>
  <si>
    <t>OH</t>
  </si>
  <si>
    <t>PH2</t>
  </si>
  <si>
    <t>Vinyl</t>
  </si>
  <si>
    <t>^2A"</t>
  </si>
  <si>
    <t>^4A"</t>
  </si>
  <si>
    <t>^2A'</t>
  </si>
  <si>
    <t>^4A'</t>
  </si>
  <si>
    <t>Ethynyl</t>
  </si>
  <si>
    <t>F2BO</t>
  </si>
  <si>
    <t>F2BS</t>
  </si>
  <si>
    <t>CON</t>
  </si>
  <si>
    <t>CO+</t>
  </si>
  <si>
    <t>CNO</t>
  </si>
  <si>
    <t>H2BO</t>
  </si>
  <si>
    <t>HOC</t>
  </si>
  <si>
    <t>HCO</t>
  </si>
  <si>
    <t>^2\Phi</t>
  </si>
  <si>
    <t>BO2</t>
  </si>
  <si>
    <t>HBCl</t>
  </si>
  <si>
    <t>^4A_1</t>
  </si>
  <si>
    <t>AlCH2</t>
  </si>
  <si>
    <t>^4\\Delta</t>
  </si>
  <si>
    <t>H2PO</t>
  </si>
  <si>
    <t>3-5 non-H  atoms</t>
  </si>
  <si>
    <t>6-9 non-H  atoms</t>
  </si>
  <si>
    <t>&gt;85%</t>
  </si>
  <si>
    <t>D</t>
  </si>
  <si>
    <t>Q</t>
  </si>
  <si>
    <t>Safe ? (~50 meV)</t>
  </si>
  <si>
    <t>10+ non-H atoms</t>
  </si>
  <si>
    <t>SV</t>
  </si>
  <si>
    <t>SR</t>
  </si>
  <si>
    <t>TV</t>
  </si>
  <si>
    <t>TR</t>
  </si>
  <si>
    <t>SM</t>
  </si>
  <si>
    <t xml:space="preserve">CCSDTQP/6-31+G(d) + [CCSDTQ/AVTZ - CCSDTQ/6-31+G(d)] </t>
  </si>
  <si>
    <t>Nitromethyl</t>
  </si>
  <si>
    <t>NH2</t>
  </si>
  <si>
    <t>H2PS</t>
  </si>
  <si>
    <t>NCO</t>
  </si>
  <si>
    <t>N2+</t>
  </si>
  <si>
    <t>^2\Pi_u</t>
  </si>
  <si>
    <t>^2\Pi_g</t>
  </si>
  <si>
    <t>^2\Sigma_u^+</t>
  </si>
  <si>
    <t>^4\Sigma_u^+</t>
  </si>
  <si>
    <t>^4\Pi_g</t>
  </si>
  <si>
    <t>^4\Delta_u</t>
  </si>
  <si>
    <t>CCSDTQ/AVDZ  + [CCSDT/AVTZ - CCSDT/AVDZ]</t>
  </si>
  <si>
    <t>Doublet</t>
  </si>
  <si>
    <t>Quartet</t>
  </si>
  <si>
    <t>Mixed</t>
  </si>
  <si>
    <t>CCSDTQ/6-31+G(d) + [CCSDT/AVTZ - CCSDT//6-31+G(d)]</t>
  </si>
  <si>
    <t>CC4/6-31+G(d) + [CCSDT/AVTZ - CCSDT/AVDZ]</t>
  </si>
  <si>
    <t>CCSDTQP/AVTZ</t>
  </si>
  <si>
    <t>CCSDTQP/6-31+G(d) + [CCSDT/AVTZ - CCSDT/6-31+G(d)]</t>
  </si>
  <si>
    <t>Indacene (D2h)</t>
  </si>
  <si>
    <t>Pentalene (D2h)</t>
  </si>
  <si>
    <t>Phenyl-pyrrole (twisted)</t>
  </si>
  <si>
    <t>Dimethylaminobenzonitrile (twisted)</t>
  </si>
  <si>
    <t>Spin</t>
  </si>
  <si>
    <t>Save</t>
  </si>
  <si>
    <t>CASPT3 (No IPEA)/AVTZ</t>
  </si>
  <si>
    <t>CCSDTQ/6-31+G(d) + [CC4/AVDZ - CC4/6-31+G(d)] + [CASPT3 (No IPEA) /AVTZ - CASPT3 (No IPEA)/AVDZ]</t>
  </si>
  <si>
    <t>exFCI/6-31+G(d) + [CC4/AVDZ - CC4/Pop] + [CASPT3 (No IPEA)/AVTZ - CASPT3 (No IPEA)/AVDZ]</t>
  </si>
  <si>
    <t>exFCI/6-31+G(d) +  [CASPT3 (No IPEA)/AVTZ - CASPT3 (No IPEA)/6-31+G(d)]</t>
  </si>
  <si>
    <t>CC4/6-31+G(d) + [CASPT3 (No IPEA)/AVTZ - CASPT3 (No IPEA)/6-31+G(d)]</t>
  </si>
  <si>
    <t>CCSDTQ/6-31+G(d) + [CC4/AVDZ-CC4/6-31+G(d)] +  [CASPT3 (No IPEA)/AVTZ - CASPT3 (No IPEA)/AVDZ]</t>
  </si>
  <si>
    <t>CC4/AVDZ + [CASPT3 (No IPEA)/AVTZ - CASPT3 (No IPEA)/AVDZ]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</si>
</sst>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.0"/>
    <numFmt numFmtId="165" formatCode="0.000"/>
    <numFmt numFmtId="166" formatCode="#,##0.000"/>
    <numFmt numFmtId="167" formatCode="#,##0.0"/>
    <numFmt numFmtId="168" formatCode="0.0000"/>
  </numFmts>
  <fonts count="34">
    <font>
      <sz val="12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i/>
      <sz val="11"/>
      <color theme="9" tint="-0.249977111117893"/>
      <name val="Times New Roman"/>
      <family val="1"/>
    </font>
    <font>
      <i/>
      <sz val="11"/>
      <color rgb="FFE26B0A"/>
      <name val="Times New Roman"/>
      <family val="1"/>
    </font>
    <font>
      <i/>
      <sz val="11"/>
      <color theme="1"/>
      <name val="Times New Roman"/>
      <family val="1"/>
    </font>
    <font>
      <i/>
      <sz val="11"/>
      <color rgb="FF548235"/>
      <name val="Times New Roman"/>
      <family val="1"/>
    </font>
    <font>
      <sz val="11"/>
      <name val="Times New Roman"/>
      <family val="1"/>
    </font>
    <font>
      <sz val="11"/>
      <color rgb="FF000000"/>
      <name val="Times Roman"/>
    </font>
    <font>
      <i/>
      <sz val="11"/>
      <color rgb="FF548235"/>
      <name val="Times Roman"/>
    </font>
    <font>
      <sz val="11"/>
      <color theme="1"/>
      <name val="Times Roman"/>
    </font>
    <font>
      <i/>
      <sz val="11"/>
      <color theme="1"/>
      <name val="Calibri"/>
      <family val="2"/>
      <scheme val="minor"/>
    </font>
    <font>
      <b/>
      <i/>
      <sz val="11"/>
      <color rgb="FFE26B0A"/>
      <name val="Times New Roman"/>
      <family val="1"/>
    </font>
    <font>
      <sz val="11"/>
      <color rgb="FF548235"/>
      <name val="Times New Roman"/>
      <family val="1"/>
    </font>
    <font>
      <sz val="8"/>
      <name val="Calibri"/>
      <family val="2"/>
      <scheme val="minor"/>
    </font>
    <font>
      <i/>
      <sz val="12"/>
      <color rgb="FFE26B0A"/>
      <name val="Calibri"/>
      <family val="2"/>
    </font>
    <font>
      <sz val="11"/>
      <color theme="9" tint="-0.249977111117893"/>
      <name val="Times New Roman"/>
      <family val="1"/>
    </font>
    <font>
      <sz val="11"/>
      <color rgb="FF548235"/>
      <name val="Times Roman"/>
    </font>
    <font>
      <sz val="11"/>
      <color rgb="FFE26B0A"/>
      <name val="Times New Roman"/>
      <family val="1"/>
    </font>
    <font>
      <sz val="11"/>
      <color rgb="FF7030A0"/>
      <name val="Times New Roman"/>
      <family val="1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i/>
      <sz val="11"/>
      <color rgb="FFE26B0A"/>
      <name val="Calibri"/>
      <family val="2"/>
    </font>
    <font>
      <sz val="11"/>
      <color rgb="FF000000"/>
      <name val="Tims"/>
    </font>
    <font>
      <sz val="12"/>
      <color theme="9" tint="0.39997558519241921"/>
      <name val="Calibri"/>
      <family val="2"/>
      <scheme val="minor"/>
    </font>
    <font>
      <sz val="11"/>
      <color theme="7" tint="-0.249977111117893"/>
      <name val="Times New Roman"/>
      <family val="1"/>
    </font>
    <font>
      <sz val="11"/>
      <color theme="7" tint="-0.249977111117893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5" tint="-0.499984740745262"/>
      <name val="Times New Roman"/>
      <family val="1"/>
    </font>
    <font>
      <b/>
      <sz val="12"/>
      <color theme="1"/>
      <name val="Calibri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theme="9" tint="-0.24997711111789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D9D9D9"/>
        <bgColor rgb="FF000000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-0.24994659260841701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C000"/>
        <bgColor rgb="FF000000"/>
      </patternFill>
    </fill>
    <fill>
      <patternFill patternType="solid">
        <fgColor rgb="FF73FB79"/>
        <bgColor indexed="64"/>
      </patternFill>
    </fill>
    <fill>
      <patternFill patternType="darkVertical">
        <fgColor theme="9" tint="0.59996337778862885"/>
        <bgColor theme="9" tint="0.59999389629810485"/>
      </patternFill>
    </fill>
    <fill>
      <patternFill patternType="solid">
        <fgColor rgb="FF00FF9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73FB79"/>
        <bgColor rgb="FF000000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0.49998474074526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1" fillId="0" borderId="0"/>
  </cellStyleXfs>
  <cellXfs count="139">
    <xf numFmtId="0" fontId="0" fillId="0" borderId="0" xfId="0"/>
    <xf numFmtId="0" fontId="1" fillId="0" borderId="0" xfId="0" applyFont="1"/>
    <xf numFmtId="0" fontId="2" fillId="3" borderId="0" xfId="0" applyFont="1" applyFill="1"/>
    <xf numFmtId="0" fontId="3" fillId="0" borderId="0" xfId="0" applyFont="1"/>
    <xf numFmtId="0" fontId="4" fillId="0" borderId="0" xfId="0" applyFont="1"/>
    <xf numFmtId="164" fontId="5" fillId="0" borderId="0" xfId="0" applyNumberFormat="1" applyFont="1"/>
    <xf numFmtId="165" fontId="4" fillId="0" borderId="0" xfId="0" applyNumberFormat="1" applyFont="1"/>
    <xf numFmtId="2" fontId="4" fillId="0" borderId="0" xfId="0" applyNumberFormat="1" applyFont="1"/>
    <xf numFmtId="2" fontId="1" fillId="0" borderId="0" xfId="0" applyNumberFormat="1" applyFont="1"/>
    <xf numFmtId="2" fontId="6" fillId="5" borderId="0" xfId="0" applyNumberFormat="1" applyFont="1" applyFill="1"/>
    <xf numFmtId="0" fontId="1" fillId="7" borderId="0" xfId="0" applyFont="1" applyFill="1"/>
    <xf numFmtId="2" fontId="7" fillId="4" borderId="0" xfId="0" applyNumberFormat="1" applyFont="1" applyFill="1"/>
    <xf numFmtId="164" fontId="8" fillId="0" borderId="0" xfId="0" applyNumberFormat="1" applyFont="1"/>
    <xf numFmtId="0" fontId="8" fillId="0" borderId="0" xfId="0" applyFont="1"/>
    <xf numFmtId="2" fontId="9" fillId="4" borderId="0" xfId="0" applyNumberFormat="1" applyFont="1" applyFill="1"/>
    <xf numFmtId="0" fontId="5" fillId="0" borderId="0" xfId="0" applyFont="1"/>
    <xf numFmtId="4" fontId="4" fillId="0" borderId="0" xfId="0" applyNumberFormat="1" applyFont="1"/>
    <xf numFmtId="164" fontId="4" fillId="0" borderId="0" xfId="0" applyNumberFormat="1" applyFont="1"/>
    <xf numFmtId="0" fontId="2" fillId="0" borderId="0" xfId="0" applyFont="1"/>
    <xf numFmtId="0" fontId="1" fillId="3" borderId="0" xfId="0" applyFont="1" applyFill="1"/>
    <xf numFmtId="0" fontId="2" fillId="3" borderId="0" xfId="0" applyFont="1" applyFill="1" applyAlignment="1">
      <alignment textRotation="90"/>
    </xf>
    <xf numFmtId="165" fontId="2" fillId="3" borderId="0" xfId="0" applyNumberFormat="1" applyFont="1" applyFill="1" applyAlignment="1">
      <alignment textRotation="90"/>
    </xf>
    <xf numFmtId="165" fontId="1" fillId="0" borderId="0" xfId="0" applyNumberFormat="1" applyFont="1"/>
    <xf numFmtId="2" fontId="12" fillId="4" borderId="0" xfId="0" applyNumberFormat="1" applyFont="1" applyFill="1"/>
    <xf numFmtId="164" fontId="14" fillId="0" borderId="0" xfId="0" applyNumberFormat="1" applyFont="1"/>
    <xf numFmtId="0" fontId="4" fillId="8" borderId="0" xfId="0" applyFont="1" applyFill="1"/>
    <xf numFmtId="167" fontId="5" fillId="0" borderId="0" xfId="0" applyNumberFormat="1" applyFont="1"/>
    <xf numFmtId="2" fontId="1" fillId="5" borderId="0" xfId="0" applyNumberFormat="1" applyFont="1" applyFill="1"/>
    <xf numFmtId="2" fontId="1" fillId="0" borderId="0" xfId="0" applyNumberFormat="1" applyFont="1" applyAlignment="1">
      <alignment vertical="center" wrapText="1"/>
    </xf>
    <xf numFmtId="0" fontId="2" fillId="2" borderId="0" xfId="0" applyFont="1" applyFill="1" applyAlignment="1">
      <alignment horizontal="center"/>
    </xf>
    <xf numFmtId="0" fontId="1" fillId="6" borderId="0" xfId="0" applyFont="1" applyFill="1"/>
    <xf numFmtId="0" fontId="3" fillId="3" borderId="0" xfId="0" applyFont="1" applyFill="1"/>
    <xf numFmtId="0" fontId="1" fillId="10" borderId="0" xfId="0" applyFont="1" applyFill="1"/>
    <xf numFmtId="165" fontId="2" fillId="5" borderId="0" xfId="0" applyNumberFormat="1" applyFont="1" applyFill="1" applyAlignment="1">
      <alignment horizontal="right"/>
    </xf>
    <xf numFmtId="165" fontId="10" fillId="0" borderId="0" xfId="0" applyNumberFormat="1" applyFont="1"/>
    <xf numFmtId="165" fontId="1" fillId="5" borderId="0" xfId="0" applyNumberFormat="1" applyFont="1" applyFill="1" applyAlignment="1">
      <alignment horizontal="right"/>
    </xf>
    <xf numFmtId="165" fontId="4" fillId="5" borderId="0" xfId="0" applyNumberFormat="1" applyFont="1" applyFill="1"/>
    <xf numFmtId="165" fontId="1" fillId="9" borderId="0" xfId="0" applyNumberFormat="1" applyFont="1" applyFill="1"/>
    <xf numFmtId="165" fontId="4" fillId="9" borderId="0" xfId="0" applyNumberFormat="1" applyFont="1" applyFill="1"/>
    <xf numFmtId="2" fontId="1" fillId="5" borderId="0" xfId="0" applyNumberFormat="1" applyFont="1" applyFill="1" applyAlignment="1">
      <alignment horizontal="right"/>
    </xf>
    <xf numFmtId="165" fontId="1" fillId="0" borderId="0" xfId="0" applyNumberFormat="1" applyFont="1" applyAlignment="1">
      <alignment horizontal="right" vertical="center"/>
    </xf>
    <xf numFmtId="165" fontId="1" fillId="5" borderId="0" xfId="0" applyNumberFormat="1" applyFont="1" applyFill="1"/>
    <xf numFmtId="165" fontId="1" fillId="0" borderId="0" xfId="0" applyNumberFormat="1" applyFont="1" applyAlignment="1">
      <alignment horizontal="right"/>
    </xf>
    <xf numFmtId="165" fontId="2" fillId="5" borderId="0" xfId="0" applyNumberFormat="1" applyFont="1" applyFill="1"/>
    <xf numFmtId="165" fontId="4" fillId="11" borderId="0" xfId="0" applyNumberFormat="1" applyFont="1" applyFill="1"/>
    <xf numFmtId="165" fontId="4" fillId="12" borderId="0" xfId="0" applyNumberFormat="1" applyFont="1" applyFill="1"/>
    <xf numFmtId="165" fontId="7" fillId="4" borderId="0" xfId="0" applyNumberFormat="1" applyFont="1" applyFill="1"/>
    <xf numFmtId="165" fontId="15" fillId="4" borderId="0" xfId="0" applyNumberFormat="1" applyFont="1" applyFill="1"/>
    <xf numFmtId="165" fontId="10" fillId="0" borderId="0" xfId="0" applyNumberFormat="1" applyFont="1" applyAlignment="1">
      <alignment horizontal="right"/>
    </xf>
    <xf numFmtId="0" fontId="4" fillId="9" borderId="0" xfId="0" applyFont="1" applyFill="1"/>
    <xf numFmtId="165" fontId="1" fillId="12" borderId="0" xfId="0" applyNumberFormat="1" applyFont="1" applyFill="1"/>
    <xf numFmtId="0" fontId="4" fillId="12" borderId="0" xfId="0" applyFont="1" applyFill="1"/>
    <xf numFmtId="165" fontId="3" fillId="4" borderId="0" xfId="0" applyNumberFormat="1" applyFont="1" applyFill="1"/>
    <xf numFmtId="165" fontId="4" fillId="4" borderId="0" xfId="0" applyNumberFormat="1" applyFont="1" applyFill="1"/>
    <xf numFmtId="165" fontId="9" fillId="4" borderId="0" xfId="0" applyNumberFormat="1" applyFont="1" applyFill="1"/>
    <xf numFmtId="0" fontId="1" fillId="0" borderId="0" xfId="0" applyFont="1" applyAlignment="1">
      <alignment vertical="center" wrapText="1"/>
    </xf>
    <xf numFmtId="4" fontId="1" fillId="0" borderId="0" xfId="0" applyNumberFormat="1" applyFont="1" applyAlignment="1">
      <alignment horizontal="right"/>
    </xf>
    <xf numFmtId="0" fontId="1" fillId="12" borderId="0" xfId="0" applyFont="1" applyFill="1"/>
    <xf numFmtId="165" fontId="4" fillId="13" borderId="0" xfId="0" applyNumberFormat="1" applyFont="1" applyFill="1"/>
    <xf numFmtId="165" fontId="18" fillId="4" borderId="0" xfId="0" applyNumberFormat="1" applyFont="1" applyFill="1"/>
    <xf numFmtId="165" fontId="6" fillId="5" borderId="0" xfId="0" applyNumberFormat="1" applyFont="1" applyFill="1"/>
    <xf numFmtId="165" fontId="1" fillId="0" borderId="0" xfId="0" applyNumberFormat="1" applyFont="1" applyAlignment="1">
      <alignment horizontal="right" vertical="center" wrapText="1"/>
    </xf>
    <xf numFmtId="164" fontId="4" fillId="0" borderId="0" xfId="0" applyNumberFormat="1" applyFont="1" applyAlignment="1">
      <alignment horizontal="right"/>
    </xf>
    <xf numFmtId="165" fontId="4" fillId="0" borderId="0" xfId="0" applyNumberFormat="1" applyFont="1" applyAlignment="1">
      <alignment horizontal="right"/>
    </xf>
    <xf numFmtId="0" fontId="1" fillId="0" borderId="0" xfId="0" applyFont="1" applyAlignment="1">
      <alignment horizontal="right"/>
    </xf>
    <xf numFmtId="2" fontId="16" fillId="4" borderId="0" xfId="0" applyNumberFormat="1" applyFont="1" applyFill="1" applyAlignment="1">
      <alignment horizontal="right"/>
    </xf>
    <xf numFmtId="165" fontId="11" fillId="0" borderId="0" xfId="0" applyNumberFormat="1" applyFont="1" applyAlignment="1">
      <alignment horizontal="right"/>
    </xf>
    <xf numFmtId="166" fontId="13" fillId="0" borderId="0" xfId="0" applyNumberFormat="1" applyFont="1" applyAlignment="1">
      <alignment horizontal="right"/>
    </xf>
    <xf numFmtId="2" fontId="19" fillId="5" borderId="0" xfId="0" applyNumberFormat="1" applyFont="1" applyFill="1" applyAlignment="1">
      <alignment horizontal="right"/>
    </xf>
    <xf numFmtId="2" fontId="20" fillId="4" borderId="0" xfId="0" applyNumberFormat="1" applyFont="1" applyFill="1" applyAlignment="1">
      <alignment horizontal="right"/>
    </xf>
    <xf numFmtId="2" fontId="21" fillId="4" borderId="0" xfId="0" applyNumberFormat="1" applyFont="1" applyFill="1" applyAlignment="1">
      <alignment horizontal="right"/>
    </xf>
    <xf numFmtId="165" fontId="12" fillId="4" borderId="0" xfId="0" applyNumberFormat="1" applyFont="1" applyFill="1"/>
    <xf numFmtId="165" fontId="4" fillId="8" borderId="0" xfId="0" applyNumberFormat="1" applyFont="1" applyFill="1"/>
    <xf numFmtId="166" fontId="4" fillId="0" borderId="0" xfId="0" applyNumberFormat="1" applyFont="1"/>
    <xf numFmtId="166" fontId="1" fillId="0" borderId="0" xfId="0" applyNumberFormat="1" applyFont="1"/>
    <xf numFmtId="164" fontId="5" fillId="0" borderId="0" xfId="0" applyNumberFormat="1" applyFont="1" applyAlignment="1">
      <alignment horizontal="right"/>
    </xf>
    <xf numFmtId="166" fontId="1" fillId="0" borderId="0" xfId="0" applyNumberFormat="1" applyFont="1" applyAlignment="1">
      <alignment horizontal="right" vertical="center"/>
    </xf>
    <xf numFmtId="166" fontId="1" fillId="5" borderId="0" xfId="0" applyNumberFormat="1" applyFont="1" applyFill="1"/>
    <xf numFmtId="166" fontId="2" fillId="5" borderId="0" xfId="0" applyNumberFormat="1" applyFont="1" applyFill="1"/>
    <xf numFmtId="166" fontId="1" fillId="0" borderId="0" xfId="0" applyNumberFormat="1" applyFont="1" applyAlignment="1">
      <alignment horizontal="right"/>
    </xf>
    <xf numFmtId="0" fontId="10" fillId="0" borderId="0" xfId="0" applyFont="1"/>
    <xf numFmtId="166" fontId="10" fillId="0" borderId="0" xfId="0" applyNumberFormat="1" applyFont="1"/>
    <xf numFmtId="165" fontId="20" fillId="4" borderId="0" xfId="0" applyNumberFormat="1" applyFont="1" applyFill="1"/>
    <xf numFmtId="2" fontId="20" fillId="4" borderId="0" xfId="0" applyNumberFormat="1" applyFont="1" applyFill="1"/>
    <xf numFmtId="2" fontId="19" fillId="5" borderId="0" xfId="0" applyNumberFormat="1" applyFont="1" applyFill="1"/>
    <xf numFmtId="166" fontId="4" fillId="9" borderId="0" xfId="0" applyNumberFormat="1" applyFont="1" applyFill="1"/>
    <xf numFmtId="0" fontId="1" fillId="0" borderId="0" xfId="0" quotePrefix="1" applyFont="1"/>
    <xf numFmtId="165" fontId="22" fillId="0" borderId="0" xfId="0" applyNumberFormat="1" applyFont="1"/>
    <xf numFmtId="166" fontId="7" fillId="4" borderId="0" xfId="0" applyNumberFormat="1" applyFont="1" applyFill="1"/>
    <xf numFmtId="165" fontId="13" fillId="0" borderId="0" xfId="0" applyNumberFormat="1" applyFont="1"/>
    <xf numFmtId="165" fontId="23" fillId="0" borderId="0" xfId="0" applyNumberFormat="1" applyFont="1"/>
    <xf numFmtId="165" fontId="24" fillId="0" borderId="0" xfId="0" applyNumberFormat="1" applyFont="1"/>
    <xf numFmtId="165" fontId="25" fillId="0" borderId="0" xfId="0" applyNumberFormat="1" applyFont="1"/>
    <xf numFmtId="2" fontId="26" fillId="4" borderId="0" xfId="0" applyNumberFormat="1" applyFont="1" applyFill="1"/>
    <xf numFmtId="167" fontId="8" fillId="0" borderId="0" xfId="0" applyNumberFormat="1" applyFont="1"/>
    <xf numFmtId="165" fontId="10" fillId="12" borderId="0" xfId="0" applyNumberFormat="1" applyFont="1" applyFill="1"/>
    <xf numFmtId="0" fontId="23" fillId="0" borderId="0" xfId="0" applyFont="1"/>
    <xf numFmtId="165" fontId="27" fillId="0" borderId="0" xfId="0" applyNumberFormat="1" applyFont="1"/>
    <xf numFmtId="0" fontId="2" fillId="3" borderId="0" xfId="0" applyFont="1" applyFill="1" applyAlignment="1">
      <alignment horizontal="center" textRotation="90"/>
    </xf>
    <xf numFmtId="165" fontId="1" fillId="14" borderId="0" xfId="0" applyNumberFormat="1" applyFont="1" applyFill="1"/>
    <xf numFmtId="165" fontId="4" fillId="14" borderId="0" xfId="0" applyNumberFormat="1" applyFont="1" applyFill="1"/>
    <xf numFmtId="165" fontId="4" fillId="7" borderId="0" xfId="0" applyNumberFormat="1" applyFont="1" applyFill="1"/>
    <xf numFmtId="2" fontId="0" fillId="0" borderId="0" xfId="0" applyNumberFormat="1"/>
    <xf numFmtId="165" fontId="19" fillId="0" borderId="0" xfId="0" applyNumberFormat="1" applyFont="1"/>
    <xf numFmtId="165" fontId="28" fillId="0" borderId="0" xfId="0" applyNumberFormat="1" applyFont="1"/>
    <xf numFmtId="165" fontId="29" fillId="0" borderId="0" xfId="0" applyNumberFormat="1" applyFont="1"/>
    <xf numFmtId="165" fontId="30" fillId="0" borderId="0" xfId="0" applyNumberFormat="1" applyFont="1"/>
    <xf numFmtId="165" fontId="6" fillId="4" borderId="0" xfId="0" applyNumberFormat="1" applyFont="1" applyFill="1"/>
    <xf numFmtId="165" fontId="19" fillId="5" borderId="0" xfId="0" applyNumberFormat="1" applyFont="1" applyFill="1"/>
    <xf numFmtId="165" fontId="19" fillId="4" borderId="0" xfId="0" applyNumberFormat="1" applyFont="1" applyFill="1"/>
    <xf numFmtId="165" fontId="22" fillId="15" borderId="0" xfId="0" applyNumberFormat="1" applyFont="1" applyFill="1"/>
    <xf numFmtId="165" fontId="22" fillId="0" borderId="0" xfId="0" applyNumberFormat="1" applyFont="1" applyAlignment="1">
      <alignment vertical="center"/>
    </xf>
    <xf numFmtId="165" fontId="22" fillId="0" borderId="0" xfId="1" applyNumberFormat="1" applyFont="1"/>
    <xf numFmtId="165" fontId="22" fillId="0" borderId="0" xfId="0" applyNumberFormat="1" applyFont="1" applyAlignment="1">
      <alignment horizontal="right"/>
    </xf>
    <xf numFmtId="165" fontId="22" fillId="0" borderId="0" xfId="1" applyNumberFormat="1" applyFont="1" applyAlignment="1">
      <alignment horizontal="right"/>
    </xf>
    <xf numFmtId="165" fontId="32" fillId="0" borderId="0" xfId="0" applyNumberFormat="1" applyFont="1"/>
    <xf numFmtId="165" fontId="32" fillId="0" borderId="0" xfId="0" applyNumberFormat="1" applyFont="1" applyAlignment="1">
      <alignment horizontal="right" vertical="center"/>
    </xf>
    <xf numFmtId="165" fontId="4" fillId="4" borderId="0" xfId="0" applyNumberFormat="1" applyFont="1" applyFill="1" applyAlignment="1">
      <alignment horizontal="right"/>
    </xf>
    <xf numFmtId="165" fontId="0" fillId="0" borderId="0" xfId="0" applyNumberFormat="1"/>
    <xf numFmtId="165" fontId="3" fillId="4" borderId="0" xfId="0" applyNumberFormat="1" applyFont="1" applyFill="1" applyAlignment="1">
      <alignment horizontal="right"/>
    </xf>
    <xf numFmtId="0" fontId="1" fillId="9" borderId="0" xfId="0" applyFont="1" applyFill="1"/>
    <xf numFmtId="165" fontId="1" fillId="0" borderId="0" xfId="0" applyNumberFormat="1" applyFont="1" applyAlignment="1">
      <alignment vertical="center" wrapText="1"/>
    </xf>
    <xf numFmtId="165" fontId="4" fillId="0" borderId="0" xfId="0" applyNumberFormat="1" applyFont="1" applyAlignment="1">
      <alignment vertical="center" wrapText="1"/>
    </xf>
    <xf numFmtId="0" fontId="33" fillId="0" borderId="0" xfId="0" applyFont="1"/>
    <xf numFmtId="165" fontId="1" fillId="7" borderId="0" xfId="0" applyNumberFormat="1" applyFont="1" applyFill="1"/>
    <xf numFmtId="0" fontId="1" fillId="9" borderId="0" xfId="0" applyFont="1" applyFill="1" applyAlignment="1">
      <alignment horizontal="right"/>
    </xf>
    <xf numFmtId="165" fontId="4" fillId="0" borderId="0" xfId="0" applyNumberFormat="1" applyFont="1" applyAlignment="1">
      <alignment horizontal="right" vertical="center" wrapText="1"/>
    </xf>
    <xf numFmtId="49" fontId="4" fillId="0" borderId="0" xfId="0" applyNumberFormat="1" applyFont="1"/>
    <xf numFmtId="49" fontId="10" fillId="0" borderId="0" xfId="0" applyNumberFormat="1" applyFont="1"/>
    <xf numFmtId="49" fontId="1" fillId="0" borderId="0" xfId="0" applyNumberFormat="1" applyFont="1"/>
    <xf numFmtId="0" fontId="1" fillId="12" borderId="0" xfId="0" applyFont="1" applyFill="1" applyAlignment="1">
      <alignment horizontal="right"/>
    </xf>
    <xf numFmtId="0" fontId="2" fillId="3" borderId="0" xfId="0" applyFont="1" applyFill="1" applyAlignment="1">
      <alignment horizontal="left" textRotation="90"/>
    </xf>
    <xf numFmtId="0" fontId="10" fillId="0" borderId="0" xfId="0" applyFont="1" applyAlignment="1">
      <alignment horizontal="right"/>
    </xf>
    <xf numFmtId="0" fontId="4" fillId="0" borderId="0" xfId="0" applyFont="1" applyAlignment="1">
      <alignment vertical="center" wrapText="1"/>
    </xf>
    <xf numFmtId="4" fontId="1" fillId="0" borderId="0" xfId="0" applyNumberFormat="1" applyFont="1"/>
    <xf numFmtId="168" fontId="4" fillId="0" borderId="0" xfId="0" applyNumberFormat="1" applyFont="1" applyAlignment="1">
      <alignment horizontal="right"/>
    </xf>
    <xf numFmtId="0" fontId="2" fillId="2" borderId="0" xfId="0" applyFont="1" applyFill="1" applyAlignment="1">
      <alignment horizontal="center"/>
    </xf>
    <xf numFmtId="0" fontId="1" fillId="6" borderId="0" xfId="0" applyFont="1" applyFill="1"/>
    <xf numFmtId="0" fontId="0" fillId="0" borderId="0" xfId="0"/>
  </cellXfs>
  <cellStyles count="2">
    <cellStyle name="Normal" xfId="0" builtinId="0"/>
    <cellStyle name="Normal 2" xfId="1" xr:uid="{5064D287-9AAF-8648-B00D-9DA48218A81D}"/>
  </cellStyles>
  <dxfs count="9">
    <dxf>
      <fill>
        <patternFill>
          <bgColor theme="9" tint="0.59996337778862885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59996337778862885"/>
        </patternFill>
      </fill>
    </dxf>
  </dxfs>
  <tableStyles count="0" defaultTableStyle="TableStyleMedium2" defaultPivotStyle="PivotStyleLight16"/>
  <colors>
    <mruColors>
      <color rgb="FF73FB79"/>
      <color rgb="FF00FF99"/>
      <color rgb="FF76D6FF"/>
      <color rgb="FFFF00B4"/>
      <color rgb="FFBA4D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75778E-E871-9C48-BB49-3857BC20738C}">
  <dimension ref="A1:AQ949"/>
  <sheetViews>
    <sheetView tabSelected="1" topLeftCell="A413" zoomScale="120" zoomScaleNormal="120" workbookViewId="0">
      <selection activeCell="K439" sqref="K439"/>
    </sheetView>
  </sheetViews>
  <sheetFormatPr baseColWidth="10" defaultRowHeight="14"/>
  <cols>
    <col min="1" max="1" width="7.5" style="1" customWidth="1"/>
    <col min="2" max="2" width="13.5" style="1" customWidth="1"/>
    <col min="3" max="3" width="4.83203125" style="1" customWidth="1"/>
    <col min="4" max="4" width="5.1640625" style="1" customWidth="1"/>
    <col min="5" max="5" width="9.1640625" style="1" customWidth="1"/>
    <col min="6" max="8" width="4.6640625" style="1" customWidth="1"/>
    <col min="9" max="9" width="4" style="1" customWidth="1"/>
    <col min="10" max="10" width="5.5" style="1" customWidth="1"/>
    <col min="11" max="12" width="7" style="1" customWidth="1"/>
    <col min="13" max="13" width="53.83203125" style="1" customWidth="1"/>
    <col min="14" max="14" width="2.83203125" style="1" customWidth="1"/>
    <col min="15" max="15" width="6.5" style="1" customWidth="1"/>
    <col min="16" max="16" width="4.1640625" style="1" customWidth="1"/>
    <col min="17" max="17" width="2.33203125" style="1" customWidth="1"/>
    <col min="18" max="34" width="6.83203125" style="1" customWidth="1"/>
    <col min="35" max="35" width="6.6640625" style="1" bestFit="1" customWidth="1"/>
    <col min="36" max="36" width="6.83203125" style="1" bestFit="1" customWidth="1"/>
    <col min="37" max="41" width="6.6640625" style="1" bestFit="1" customWidth="1"/>
    <col min="42" max="42" width="3" style="1" customWidth="1"/>
    <col min="43" max="16384" width="10.83203125" style="1"/>
  </cols>
  <sheetData>
    <row r="1" spans="1:43">
      <c r="B1" s="136" t="s">
        <v>0</v>
      </c>
      <c r="C1" s="136"/>
      <c r="D1" s="136"/>
      <c r="E1" s="136"/>
      <c r="F1" s="136"/>
      <c r="G1" s="136"/>
      <c r="H1" s="136"/>
      <c r="I1" s="136"/>
      <c r="J1" s="136"/>
      <c r="K1" s="136"/>
      <c r="L1" s="136"/>
      <c r="M1" s="136"/>
      <c r="N1" s="136"/>
      <c r="O1" s="29"/>
      <c r="P1" s="29"/>
      <c r="R1" s="137"/>
      <c r="S1" s="137"/>
      <c r="T1" s="137"/>
      <c r="U1" s="137"/>
      <c r="V1" s="137"/>
      <c r="W1" s="137"/>
      <c r="X1" s="137"/>
      <c r="Y1" s="137"/>
      <c r="Z1" s="137"/>
      <c r="AA1" s="137"/>
      <c r="AB1" s="137"/>
      <c r="AC1" s="137"/>
      <c r="AD1" s="137"/>
      <c r="AE1" s="137"/>
      <c r="AF1" s="137"/>
      <c r="AG1" s="137"/>
      <c r="AH1" s="137"/>
      <c r="AI1" s="30"/>
      <c r="AJ1" s="30"/>
      <c r="AK1" s="30"/>
      <c r="AL1" s="30"/>
      <c r="AM1" s="30"/>
      <c r="AN1" s="30"/>
      <c r="AO1" s="30"/>
    </row>
    <row r="2" spans="1:43" ht="104">
      <c r="B2" s="131" t="s">
        <v>1</v>
      </c>
      <c r="C2" s="20" t="s">
        <v>2</v>
      </c>
      <c r="D2" s="20" t="s">
        <v>104</v>
      </c>
      <c r="E2" s="98" t="s">
        <v>3</v>
      </c>
      <c r="F2" s="20" t="s">
        <v>562</v>
      </c>
      <c r="G2" s="20" t="s">
        <v>4</v>
      </c>
      <c r="H2" s="20" t="s">
        <v>132</v>
      </c>
      <c r="I2" s="20" t="s">
        <v>209</v>
      </c>
      <c r="J2" s="20" t="s">
        <v>112</v>
      </c>
      <c r="K2" s="21" t="s">
        <v>172</v>
      </c>
      <c r="L2" s="20" t="s">
        <v>5</v>
      </c>
      <c r="M2" s="98" t="s">
        <v>102</v>
      </c>
      <c r="N2" s="20" t="s">
        <v>531</v>
      </c>
      <c r="O2" s="20" t="s">
        <v>201</v>
      </c>
      <c r="P2" s="20" t="s">
        <v>202</v>
      </c>
      <c r="Q2" s="3"/>
      <c r="R2" s="20" t="s">
        <v>100</v>
      </c>
      <c r="S2" s="20" t="s">
        <v>6</v>
      </c>
      <c r="T2" s="20" t="s">
        <v>179</v>
      </c>
      <c r="U2" s="20" t="s">
        <v>101</v>
      </c>
      <c r="V2" s="20" t="s">
        <v>96</v>
      </c>
      <c r="W2" s="20" t="s">
        <v>185</v>
      </c>
      <c r="X2" s="20" t="s">
        <v>97</v>
      </c>
      <c r="Y2" s="20" t="s">
        <v>178</v>
      </c>
      <c r="Z2" s="20" t="s">
        <v>7</v>
      </c>
      <c r="AA2" s="20" t="s">
        <v>184</v>
      </c>
      <c r="AB2" s="20" t="s">
        <v>106</v>
      </c>
      <c r="AC2" s="20" t="s">
        <v>94</v>
      </c>
      <c r="AD2" s="20" t="s">
        <v>95</v>
      </c>
      <c r="AE2" s="20" t="s">
        <v>180</v>
      </c>
      <c r="AF2" s="20" t="s">
        <v>8</v>
      </c>
      <c r="AG2" s="20" t="s">
        <v>9</v>
      </c>
      <c r="AH2" s="20" t="s">
        <v>93</v>
      </c>
      <c r="AI2" s="20" t="s">
        <v>196</v>
      </c>
      <c r="AJ2" s="20" t="s">
        <v>197</v>
      </c>
      <c r="AK2" s="20" t="s">
        <v>198</v>
      </c>
      <c r="AL2" s="20" t="s">
        <v>199</v>
      </c>
      <c r="AM2" s="20" t="s">
        <v>200</v>
      </c>
      <c r="AN2" s="20" t="s">
        <v>191</v>
      </c>
      <c r="AO2" s="20" t="s">
        <v>190</v>
      </c>
    </row>
    <row r="3" spans="1:43">
      <c r="A3" s="1">
        <v>1</v>
      </c>
      <c r="B3" s="2" t="s">
        <v>69</v>
      </c>
      <c r="C3" s="4">
        <v>3</v>
      </c>
      <c r="D3" s="4">
        <f>_xlfn.SWITCH(C3,1,12,2,12,3,35,4,35,5,35,6,69,7,69,8,69,9,69,1016)</f>
        <v>35</v>
      </c>
      <c r="E3" s="4" t="s">
        <v>147</v>
      </c>
      <c r="F3" s="4">
        <v>1</v>
      </c>
      <c r="G3" s="4" t="s">
        <v>11</v>
      </c>
      <c r="H3" s="4" t="s">
        <v>12</v>
      </c>
      <c r="I3" s="4"/>
      <c r="J3" s="5">
        <v>91.3</v>
      </c>
      <c r="K3" s="63">
        <v>0</v>
      </c>
      <c r="L3" s="37">
        <v>4.3040000000000003</v>
      </c>
      <c r="M3" s="127" t="s">
        <v>117</v>
      </c>
      <c r="N3" s="4" t="s">
        <v>13</v>
      </c>
      <c r="O3" s="22">
        <v>4.3109999999999999</v>
      </c>
      <c r="P3" s="4" t="s">
        <v>7</v>
      </c>
      <c r="Q3" s="3" t="s">
        <v>205</v>
      </c>
      <c r="R3" s="22">
        <v>4.3600000000000003</v>
      </c>
      <c r="S3" s="22">
        <v>4.4109999999999996</v>
      </c>
      <c r="T3" s="22">
        <v>4.3129999999999997</v>
      </c>
      <c r="U3" s="22">
        <v>4.2539999999999996</v>
      </c>
      <c r="V3" s="22">
        <v>4.3620000000000001</v>
      </c>
      <c r="W3" s="22">
        <v>4.3150000000000004</v>
      </c>
      <c r="X3" s="22">
        <v>4.3150000000000004</v>
      </c>
      <c r="Y3" s="22">
        <v>4.3239999999999998</v>
      </c>
      <c r="Z3" s="22">
        <v>4.3140000000000001</v>
      </c>
      <c r="AA3" s="22">
        <v>4.2930000000000001</v>
      </c>
      <c r="AB3" s="22">
        <v>4.3879999999999999</v>
      </c>
      <c r="AC3" s="22">
        <v>4.5380000000000003</v>
      </c>
      <c r="AD3" s="22">
        <v>4.4960000000000004</v>
      </c>
      <c r="AE3" s="6">
        <v>4.1840000000000002</v>
      </c>
      <c r="AF3" s="22">
        <v>4.2370000000000001</v>
      </c>
      <c r="AG3" s="6">
        <v>4.2859999999999996</v>
      </c>
      <c r="AH3" s="22">
        <f t="shared" ref="AH3:AH11" si="0">0.5*(AF3+AG3)</f>
        <v>4.2614999999999998</v>
      </c>
      <c r="AI3" s="8">
        <v>4.62</v>
      </c>
      <c r="AJ3" s="8">
        <v>4.3499999999999996</v>
      </c>
      <c r="AK3" s="8">
        <v>4.13</v>
      </c>
      <c r="AL3" s="8">
        <v>4.4400000000000004</v>
      </c>
      <c r="AM3" s="8">
        <v>4.41</v>
      </c>
      <c r="AN3" s="8">
        <v>4.42</v>
      </c>
      <c r="AO3" s="8">
        <v>4.3899999999999997</v>
      </c>
      <c r="AP3" s="3"/>
      <c r="AQ3" s="8"/>
    </row>
    <row r="4" spans="1:43">
      <c r="A4" s="1">
        <f>A3+1</f>
        <v>2</v>
      </c>
      <c r="B4" s="19"/>
      <c r="C4" s="4">
        <v>3</v>
      </c>
      <c r="D4" s="4">
        <f t="shared" ref="D4:D67" si="1">_xlfn.SWITCH(C4,1,12,2,12,3,35,4,35,5,35,6,69,7,69,8,69,9,69,1016)</f>
        <v>35</v>
      </c>
      <c r="E4" s="4" t="s">
        <v>225</v>
      </c>
      <c r="F4" s="4">
        <v>3</v>
      </c>
      <c r="G4" s="4" t="s">
        <v>11</v>
      </c>
      <c r="H4" s="4" t="s">
        <v>12</v>
      </c>
      <c r="I4" s="4"/>
      <c r="J4" s="5">
        <v>97.9</v>
      </c>
      <c r="K4" s="68"/>
      <c r="L4" s="38">
        <v>3.948</v>
      </c>
      <c r="M4" s="127" t="s">
        <v>109</v>
      </c>
      <c r="N4" s="4" t="s">
        <v>13</v>
      </c>
      <c r="O4" s="6">
        <v>3.9609999999999999</v>
      </c>
      <c r="P4" s="4" t="s">
        <v>7</v>
      </c>
      <c r="Q4" s="3" t="s">
        <v>205</v>
      </c>
      <c r="R4" s="22">
        <v>3.9609999999999999</v>
      </c>
      <c r="S4" s="22">
        <v>3.9809999999999999</v>
      </c>
      <c r="T4" s="22">
        <v>3.9159999999999999</v>
      </c>
      <c r="U4" s="22">
        <v>4.0039999999999996</v>
      </c>
      <c r="V4" s="22">
        <v>3.9510000000000001</v>
      </c>
      <c r="W4" s="33"/>
      <c r="X4" s="33"/>
      <c r="Y4" s="33"/>
      <c r="Z4" s="22">
        <v>3.9540000000000002</v>
      </c>
      <c r="AA4" s="22">
        <v>3.9369999999999998</v>
      </c>
      <c r="AB4" s="22">
        <v>4.0679999999999996</v>
      </c>
      <c r="AC4" s="22">
        <v>4.2</v>
      </c>
      <c r="AD4" s="22">
        <v>4.1260000000000003</v>
      </c>
      <c r="AE4" s="6">
        <v>3.8849999999999998</v>
      </c>
      <c r="AF4" s="22">
        <v>3.8250000000000002</v>
      </c>
      <c r="AG4" s="6">
        <v>3.8940000000000001</v>
      </c>
      <c r="AH4" s="22">
        <f t="shared" si="0"/>
        <v>3.8595000000000002</v>
      </c>
      <c r="AI4" s="8">
        <v>4.28</v>
      </c>
      <c r="AJ4" s="8">
        <v>3.94</v>
      </c>
      <c r="AK4" s="8">
        <v>3.71</v>
      </c>
      <c r="AL4" s="8">
        <v>4.0599999999999996</v>
      </c>
      <c r="AM4" s="8">
        <v>4.03</v>
      </c>
      <c r="AN4" s="8">
        <v>4.03</v>
      </c>
      <c r="AO4" s="8">
        <v>4</v>
      </c>
      <c r="AP4" s="3"/>
      <c r="AQ4" s="8"/>
    </row>
    <row r="5" spans="1:43">
      <c r="A5" s="1">
        <f t="shared" ref="A5:A68" si="2">A4+1</f>
        <v>3</v>
      </c>
      <c r="B5" s="2" t="s">
        <v>10</v>
      </c>
      <c r="C5" s="1">
        <v>4</v>
      </c>
      <c r="D5" s="4">
        <f t="shared" si="1"/>
        <v>35</v>
      </c>
      <c r="E5" s="4" t="s">
        <v>131</v>
      </c>
      <c r="F5" s="4">
        <v>1</v>
      </c>
      <c r="G5" s="4" t="s">
        <v>11</v>
      </c>
      <c r="H5" s="4" t="s">
        <v>12</v>
      </c>
      <c r="I5" s="4"/>
      <c r="J5" s="5">
        <v>91.1</v>
      </c>
      <c r="K5" s="68"/>
      <c r="L5" s="37">
        <v>4.468</v>
      </c>
      <c r="M5" s="127" t="s">
        <v>329</v>
      </c>
      <c r="N5" s="1" t="s">
        <v>13</v>
      </c>
      <c r="O5" s="22">
        <v>4.4779999999999998</v>
      </c>
      <c r="P5" s="4" t="s">
        <v>7</v>
      </c>
      <c r="Q5" s="3" t="s">
        <v>205</v>
      </c>
      <c r="R5" s="22">
        <v>4.5069999999999997</v>
      </c>
      <c r="S5" s="22">
        <v>4.5529999999999999</v>
      </c>
      <c r="T5" s="22">
        <v>4.5209999999999999</v>
      </c>
      <c r="U5" s="22">
        <v>4.3070000000000004</v>
      </c>
      <c r="V5" s="22">
        <v>4.5380000000000003</v>
      </c>
      <c r="W5" s="22">
        <v>4.4820000000000002</v>
      </c>
      <c r="X5" s="22">
        <v>4.4829999999999997</v>
      </c>
      <c r="Y5" s="22">
        <v>4.4939999999999998</v>
      </c>
      <c r="Z5" s="34">
        <v>4.4809999999999999</v>
      </c>
      <c r="AA5" s="34">
        <v>4.4560000000000004</v>
      </c>
      <c r="AB5" s="22">
        <v>4.5199999999999996</v>
      </c>
      <c r="AC5" s="22">
        <v>4.6790000000000003</v>
      </c>
      <c r="AD5" s="22">
        <v>4.6369999999999996</v>
      </c>
      <c r="AE5" s="22">
        <v>4.306</v>
      </c>
      <c r="AF5" s="22">
        <v>4.3659999999999997</v>
      </c>
      <c r="AG5" s="22">
        <v>4.4969999999999999</v>
      </c>
      <c r="AH5" s="22">
        <f t="shared" si="0"/>
        <v>4.4314999999999998</v>
      </c>
      <c r="AI5" s="7">
        <v>4.7699999999999996</v>
      </c>
      <c r="AJ5" s="7">
        <v>4.4400000000000004</v>
      </c>
      <c r="AK5" s="7">
        <v>4.1900000000000004</v>
      </c>
      <c r="AL5" s="28">
        <v>4.57</v>
      </c>
      <c r="AM5" s="28">
        <v>4.55</v>
      </c>
      <c r="AN5" s="7">
        <v>4.5</v>
      </c>
      <c r="AO5" s="7">
        <v>4.4800000000000004</v>
      </c>
      <c r="AP5" s="3"/>
      <c r="AQ5" s="8"/>
    </row>
    <row r="6" spans="1:43">
      <c r="A6" s="1">
        <f t="shared" si="2"/>
        <v>4</v>
      </c>
      <c r="B6" s="19"/>
      <c r="C6" s="1">
        <v>4</v>
      </c>
      <c r="D6" s="4">
        <f t="shared" si="1"/>
        <v>35</v>
      </c>
      <c r="E6" s="4" t="s">
        <v>137</v>
      </c>
      <c r="F6" s="4">
        <v>1</v>
      </c>
      <c r="G6" s="4" t="s">
        <v>14</v>
      </c>
      <c r="H6" s="4" t="s">
        <v>15</v>
      </c>
      <c r="I6" s="4"/>
      <c r="J6" s="5">
        <v>90.5</v>
      </c>
      <c r="K6" s="63">
        <v>0</v>
      </c>
      <c r="L6" s="37">
        <v>6.4790000000000001</v>
      </c>
      <c r="M6" s="127" t="s">
        <v>329</v>
      </c>
      <c r="N6" s="1" t="s">
        <v>13</v>
      </c>
      <c r="O6" s="22">
        <v>6.5279999999999996</v>
      </c>
      <c r="P6" s="4" t="s">
        <v>7</v>
      </c>
      <c r="Q6" s="3" t="s">
        <v>205</v>
      </c>
      <c r="R6" s="22">
        <v>5.9139999999999997</v>
      </c>
      <c r="S6" s="22">
        <v>5.9119999999999999</v>
      </c>
      <c r="T6" s="22">
        <v>6.6</v>
      </c>
      <c r="U6" s="22">
        <v>6.5019999999999998</v>
      </c>
      <c r="V6" s="22">
        <v>6.5860000000000003</v>
      </c>
      <c r="W6" s="22">
        <v>6.4589999999999996</v>
      </c>
      <c r="X6" s="22">
        <v>6.46</v>
      </c>
      <c r="Y6" s="22">
        <v>6.4960000000000004</v>
      </c>
      <c r="Z6" s="34">
        <v>6.4269999999999996</v>
      </c>
      <c r="AA6" s="34">
        <v>6.4219999999999997</v>
      </c>
      <c r="AB6" s="22">
        <v>6.5439999999999996</v>
      </c>
      <c r="AC6" s="22">
        <v>6.5940000000000003</v>
      </c>
      <c r="AD6" s="22">
        <v>6.3659999999999997</v>
      </c>
      <c r="AE6" s="22">
        <v>6.3449999999999998</v>
      </c>
      <c r="AF6" s="22">
        <v>5.8710000000000004</v>
      </c>
      <c r="AG6" s="22">
        <v>6.9109999999999996</v>
      </c>
      <c r="AH6" s="22">
        <f t="shared" si="0"/>
        <v>6.391</v>
      </c>
      <c r="AI6" s="7">
        <v>5.5</v>
      </c>
      <c r="AJ6" s="7">
        <v>6.46</v>
      </c>
      <c r="AK6" s="7">
        <v>6.35</v>
      </c>
      <c r="AL6" s="28">
        <v>6.64</v>
      </c>
      <c r="AM6" s="28">
        <v>6.67</v>
      </c>
      <c r="AN6" s="7">
        <v>6.7</v>
      </c>
      <c r="AO6" s="7">
        <v>6.81</v>
      </c>
      <c r="AP6" s="3"/>
      <c r="AQ6" s="8"/>
    </row>
    <row r="7" spans="1:43">
      <c r="A7" s="1">
        <f t="shared" si="2"/>
        <v>5</v>
      </c>
      <c r="B7" s="19"/>
      <c r="C7" s="1">
        <v>4</v>
      </c>
      <c r="D7" s="4">
        <f t="shared" si="1"/>
        <v>35</v>
      </c>
      <c r="E7" s="4" t="s">
        <v>131</v>
      </c>
      <c r="F7" s="4">
        <v>1</v>
      </c>
      <c r="G7" s="4" t="s">
        <v>14</v>
      </c>
      <c r="H7" s="4" t="s">
        <v>16</v>
      </c>
      <c r="I7" s="4"/>
      <c r="J7" s="5">
        <v>90.9</v>
      </c>
      <c r="K7" s="68"/>
      <c r="L7" s="37">
        <v>7.5030000000000001</v>
      </c>
      <c r="M7" s="127" t="s">
        <v>329</v>
      </c>
      <c r="N7" s="1" t="s">
        <v>13</v>
      </c>
      <c r="O7" s="22">
        <v>7.5359999999999996</v>
      </c>
      <c r="P7" s="4" t="s">
        <v>7</v>
      </c>
      <c r="Q7" s="3" t="s">
        <v>205</v>
      </c>
      <c r="R7" s="22">
        <v>6.827</v>
      </c>
      <c r="S7" s="22">
        <v>6.8419999999999996</v>
      </c>
      <c r="T7" s="22">
        <v>7.5960000000000001</v>
      </c>
      <c r="U7" s="22">
        <v>7.5730000000000004</v>
      </c>
      <c r="V7" s="22">
        <v>7.5670000000000002</v>
      </c>
      <c r="W7" s="22">
        <v>7.4720000000000004</v>
      </c>
      <c r="X7" s="22">
        <v>7.4729999999999999</v>
      </c>
      <c r="Y7" s="22">
        <v>7.51</v>
      </c>
      <c r="Z7" s="34">
        <v>7.4480000000000004</v>
      </c>
      <c r="AA7" s="34">
        <v>7.4390000000000001</v>
      </c>
      <c r="AB7" s="22">
        <v>7.4690000000000003</v>
      </c>
      <c r="AC7" s="22">
        <v>7.5140000000000002</v>
      </c>
      <c r="AD7" s="22">
        <v>7.2880000000000003</v>
      </c>
      <c r="AE7" s="22">
        <v>7.2750000000000004</v>
      </c>
      <c r="AF7" s="22">
        <v>6.8049999999999997</v>
      </c>
      <c r="AG7" s="22">
        <v>7.9020000000000001</v>
      </c>
      <c r="AH7" s="22">
        <f t="shared" si="0"/>
        <v>7.3535000000000004</v>
      </c>
      <c r="AI7" s="7">
        <v>7.46</v>
      </c>
      <c r="AJ7" s="7">
        <v>7.8</v>
      </c>
      <c r="AK7" s="7">
        <v>7.55</v>
      </c>
      <c r="AL7" s="28">
        <v>7.76</v>
      </c>
      <c r="AM7" s="28">
        <v>7.68</v>
      </c>
      <c r="AN7" s="7">
        <v>7.71</v>
      </c>
      <c r="AO7" s="7">
        <v>7.65</v>
      </c>
      <c r="AP7" s="3"/>
      <c r="AQ7" s="8"/>
    </row>
    <row r="8" spans="1:43">
      <c r="A8" s="1">
        <f t="shared" si="2"/>
        <v>6</v>
      </c>
      <c r="B8" s="19"/>
      <c r="C8" s="1">
        <v>4</v>
      </c>
      <c r="D8" s="4">
        <f t="shared" si="1"/>
        <v>35</v>
      </c>
      <c r="E8" s="4" t="s">
        <v>118</v>
      </c>
      <c r="F8" s="4">
        <v>1</v>
      </c>
      <c r="G8" s="4" t="s">
        <v>14</v>
      </c>
      <c r="H8" s="4" t="s">
        <v>16</v>
      </c>
      <c r="I8" s="4"/>
      <c r="J8" s="5">
        <v>90.6</v>
      </c>
      <c r="K8" s="63">
        <v>4.0000000000000001E-3</v>
      </c>
      <c r="L8" s="37">
        <v>7.5369999999999999</v>
      </c>
      <c r="M8" s="127" t="s">
        <v>329</v>
      </c>
      <c r="N8" s="1" t="s">
        <v>13</v>
      </c>
      <c r="O8" s="22">
        <v>7.5780000000000003</v>
      </c>
      <c r="P8" s="4" t="s">
        <v>7</v>
      </c>
      <c r="Q8" s="3" t="s">
        <v>205</v>
      </c>
      <c r="R8" s="22">
        <v>7.0369999999999999</v>
      </c>
      <c r="S8" s="22">
        <v>6.8869999999999996</v>
      </c>
      <c r="T8" s="22">
        <v>7.6539999999999999</v>
      </c>
      <c r="U8" s="22">
        <v>7.5819999999999999</v>
      </c>
      <c r="V8" s="22">
        <v>7.6260000000000003</v>
      </c>
      <c r="W8" s="22">
        <v>7.516</v>
      </c>
      <c r="X8" s="22">
        <v>7.516</v>
      </c>
      <c r="Y8" s="22">
        <v>7.5510000000000002</v>
      </c>
      <c r="Z8" s="34">
        <v>7.484</v>
      </c>
      <c r="AA8" s="34">
        <v>7.4779999999999998</v>
      </c>
      <c r="AB8" s="22">
        <v>7.5170000000000003</v>
      </c>
      <c r="AC8" s="22">
        <v>7.5609999999999999</v>
      </c>
      <c r="AD8" s="22">
        <v>7.3339999999999996</v>
      </c>
      <c r="AE8" s="22">
        <v>7.3209999999999997</v>
      </c>
      <c r="AF8" s="22">
        <v>6.85</v>
      </c>
      <c r="AG8" s="22">
        <v>7.92</v>
      </c>
      <c r="AH8" s="22">
        <f t="shared" si="0"/>
        <v>7.3849999999999998</v>
      </c>
      <c r="AI8" s="7">
        <v>7.03</v>
      </c>
      <c r="AJ8" s="7">
        <v>7.67</v>
      </c>
      <c r="AK8" s="7">
        <v>7.46</v>
      </c>
      <c r="AL8" s="28">
        <v>7.76</v>
      </c>
      <c r="AM8" s="28">
        <v>7.75</v>
      </c>
      <c r="AN8" s="7">
        <v>7.75</v>
      </c>
      <c r="AO8" s="7">
        <v>7.75</v>
      </c>
      <c r="AP8" s="3"/>
      <c r="AQ8" s="8"/>
    </row>
    <row r="9" spans="1:43">
      <c r="A9" s="1">
        <f t="shared" si="2"/>
        <v>7</v>
      </c>
      <c r="B9" s="19"/>
      <c r="C9" s="1">
        <v>4</v>
      </c>
      <c r="D9" s="4">
        <f t="shared" si="1"/>
        <v>35</v>
      </c>
      <c r="E9" s="4" t="s">
        <v>137</v>
      </c>
      <c r="F9" s="4">
        <v>1</v>
      </c>
      <c r="G9" s="4" t="s">
        <v>14</v>
      </c>
      <c r="H9" s="4" t="s">
        <v>16</v>
      </c>
      <c r="I9" s="4"/>
      <c r="J9" s="5">
        <v>91.2</v>
      </c>
      <c r="K9" s="63">
        <v>2.9000000000000001E-2</v>
      </c>
      <c r="L9" s="37">
        <v>7.641</v>
      </c>
      <c r="M9" s="127" t="s">
        <v>329</v>
      </c>
      <c r="N9" s="1" t="s">
        <v>13</v>
      </c>
      <c r="O9" s="22">
        <v>7.6509999999999998</v>
      </c>
      <c r="P9" s="4" t="s">
        <v>7</v>
      </c>
      <c r="Q9" s="3" t="s">
        <v>205</v>
      </c>
      <c r="R9" s="22">
        <v>6.9320000000000004</v>
      </c>
      <c r="S9" s="22">
        <v>7.024</v>
      </c>
      <c r="T9" s="22">
        <v>7.742</v>
      </c>
      <c r="U9" s="22">
        <v>7.6849999999999996</v>
      </c>
      <c r="V9" s="22">
        <v>7.7009999999999996</v>
      </c>
      <c r="W9" s="22">
        <v>7.6130000000000004</v>
      </c>
      <c r="X9" s="22">
        <v>7.6150000000000002</v>
      </c>
      <c r="Y9" s="22">
        <v>7.6509999999999998</v>
      </c>
      <c r="Z9" s="34">
        <v>7.5949999999999998</v>
      </c>
      <c r="AA9" s="34">
        <v>7.5839999999999996</v>
      </c>
      <c r="AB9" s="22">
        <v>7.6050000000000004</v>
      </c>
      <c r="AC9" s="22">
        <v>7.6449999999999996</v>
      </c>
      <c r="AD9" s="22">
        <v>7.4349999999999996</v>
      </c>
      <c r="AE9" s="22">
        <v>7.4139999999999997</v>
      </c>
      <c r="AF9" s="22">
        <v>6.99</v>
      </c>
      <c r="AG9" s="22">
        <v>8.0079999999999991</v>
      </c>
      <c r="AH9" s="22">
        <f t="shared" si="0"/>
        <v>7.4989999999999997</v>
      </c>
      <c r="AI9" s="7">
        <v>6.44</v>
      </c>
      <c r="AJ9" s="7">
        <v>7.56</v>
      </c>
      <c r="AK9" s="7">
        <v>7.47</v>
      </c>
      <c r="AL9" s="28">
        <v>7.73</v>
      </c>
      <c r="AM9" s="28">
        <v>7.76</v>
      </c>
      <c r="AN9" s="7">
        <v>7.8</v>
      </c>
      <c r="AO9" s="7">
        <v>7.91</v>
      </c>
      <c r="AP9" s="3"/>
      <c r="AQ9" s="8"/>
    </row>
    <row r="10" spans="1:43">
      <c r="A10" s="1">
        <f t="shared" si="2"/>
        <v>8</v>
      </c>
      <c r="B10" s="19"/>
      <c r="C10" s="1">
        <v>4</v>
      </c>
      <c r="D10" s="4">
        <f t="shared" si="1"/>
        <v>35</v>
      </c>
      <c r="E10" s="4" t="s">
        <v>130</v>
      </c>
      <c r="F10" s="4">
        <v>3</v>
      </c>
      <c r="G10" s="4" t="s">
        <v>11</v>
      </c>
      <c r="H10" s="4" t="s">
        <v>12</v>
      </c>
      <c r="I10" s="4"/>
      <c r="J10" s="5">
        <v>97.8</v>
      </c>
      <c r="K10" s="68"/>
      <c r="L10" s="37">
        <v>4.1280000000000001</v>
      </c>
      <c r="M10" s="127" t="s">
        <v>110</v>
      </c>
      <c r="N10" s="1" t="s">
        <v>13</v>
      </c>
      <c r="O10" s="22">
        <v>4.1430000000000007</v>
      </c>
      <c r="P10" s="4" t="s">
        <v>7</v>
      </c>
      <c r="Q10" s="3" t="s">
        <v>205</v>
      </c>
      <c r="R10" s="22">
        <v>4.1500000000000004</v>
      </c>
      <c r="S10" s="22">
        <v>4.1639999999999997</v>
      </c>
      <c r="T10" s="22">
        <v>4.1500000000000004</v>
      </c>
      <c r="U10" s="22">
        <v>4.0720000000000001</v>
      </c>
      <c r="V10" s="22">
        <v>4.1529999999999996</v>
      </c>
      <c r="W10" s="33"/>
      <c r="X10" s="33"/>
      <c r="Y10" s="33"/>
      <c r="Z10" s="22">
        <v>4.1500000000000004</v>
      </c>
      <c r="AA10" s="35"/>
      <c r="AB10" s="22">
        <v>4.2359999999999998</v>
      </c>
      <c r="AC10" s="22">
        <v>4.3760000000000003</v>
      </c>
      <c r="AD10" s="22">
        <v>4.3049999999999997</v>
      </c>
      <c r="AE10" s="22">
        <v>4.0430000000000001</v>
      </c>
      <c r="AF10" s="22">
        <v>3.9950000000000001</v>
      </c>
      <c r="AG10" s="22">
        <v>4.1239999999999997</v>
      </c>
      <c r="AH10" s="22">
        <f t="shared" si="0"/>
        <v>4.0594999999999999</v>
      </c>
      <c r="AI10" s="7">
        <v>4.47</v>
      </c>
      <c r="AJ10" s="7">
        <v>4.13</v>
      </c>
      <c r="AK10" s="7">
        <v>3.89</v>
      </c>
      <c r="AL10" s="28">
        <v>4.2699999999999996</v>
      </c>
      <c r="AM10" s="28">
        <v>4.24</v>
      </c>
      <c r="AN10" s="7">
        <v>4.22</v>
      </c>
      <c r="AO10" s="7">
        <v>4.2</v>
      </c>
      <c r="AP10" s="3"/>
      <c r="AQ10" s="8"/>
    </row>
    <row r="11" spans="1:43">
      <c r="A11" s="1">
        <f t="shared" si="2"/>
        <v>9</v>
      </c>
      <c r="B11" s="19"/>
      <c r="C11" s="1">
        <v>4</v>
      </c>
      <c r="D11" s="4">
        <f t="shared" si="1"/>
        <v>35</v>
      </c>
      <c r="E11" s="4" t="s">
        <v>143</v>
      </c>
      <c r="F11" s="4">
        <v>3</v>
      </c>
      <c r="G11" s="4" t="s">
        <v>11</v>
      </c>
      <c r="H11" s="4" t="s">
        <v>17</v>
      </c>
      <c r="I11" s="4"/>
      <c r="J11" s="5">
        <v>98.7</v>
      </c>
      <c r="K11" s="68"/>
      <c r="L11" s="37">
        <v>6.258</v>
      </c>
      <c r="M11" s="127" t="s">
        <v>110</v>
      </c>
      <c r="N11" s="1" t="s">
        <v>13</v>
      </c>
      <c r="O11" s="22">
        <v>6.2720000000000002</v>
      </c>
      <c r="P11" s="4" t="s">
        <v>7</v>
      </c>
      <c r="Q11" s="3" t="s">
        <v>205</v>
      </c>
      <c r="R11" s="22">
        <v>6.4950000000000001</v>
      </c>
      <c r="S11" s="22">
        <v>6.4980000000000002</v>
      </c>
      <c r="T11" s="22">
        <v>6.33</v>
      </c>
      <c r="U11" s="22">
        <v>6.0810000000000004</v>
      </c>
      <c r="V11" s="22">
        <v>6.1879999999999997</v>
      </c>
      <c r="W11" s="33"/>
      <c r="X11" s="33"/>
      <c r="Y11" s="33"/>
      <c r="Z11" s="22">
        <v>6.2789999999999999</v>
      </c>
      <c r="AA11" s="35"/>
      <c r="AB11" s="22">
        <v>6.34</v>
      </c>
      <c r="AC11" s="22">
        <v>6.4329999999999998</v>
      </c>
      <c r="AD11" s="22">
        <v>6.4580000000000002</v>
      </c>
      <c r="AE11" s="22">
        <v>6.2149999999999999</v>
      </c>
      <c r="AF11" s="22">
        <v>6.3659999999999997</v>
      </c>
      <c r="AG11" s="22">
        <v>6.008</v>
      </c>
      <c r="AH11" s="22">
        <f t="shared" si="0"/>
        <v>6.1869999999999994</v>
      </c>
      <c r="AI11" s="7">
        <v>6.22</v>
      </c>
      <c r="AJ11" s="7">
        <v>6.24</v>
      </c>
      <c r="AK11" s="7">
        <v>6.07</v>
      </c>
      <c r="AL11" s="28">
        <v>6.26</v>
      </c>
      <c r="AM11" s="28">
        <v>6.22</v>
      </c>
      <c r="AN11" s="7">
        <v>6.28</v>
      </c>
      <c r="AO11" s="7">
        <v>6.28</v>
      </c>
      <c r="AP11" s="3"/>
      <c r="AQ11" s="8"/>
    </row>
    <row r="12" spans="1:43">
      <c r="A12" s="1">
        <f t="shared" si="2"/>
        <v>10</v>
      </c>
      <c r="B12" s="31" t="s">
        <v>70</v>
      </c>
      <c r="C12" s="1">
        <v>2</v>
      </c>
      <c r="D12" s="4">
        <f t="shared" si="1"/>
        <v>12</v>
      </c>
      <c r="E12" s="4" t="s">
        <v>86</v>
      </c>
      <c r="F12" s="4">
        <v>1</v>
      </c>
      <c r="G12" s="4" t="s">
        <v>11</v>
      </c>
      <c r="H12" s="4" t="s">
        <v>17</v>
      </c>
      <c r="I12" s="4"/>
      <c r="J12" s="5">
        <v>96.5</v>
      </c>
      <c r="K12" s="68"/>
      <c r="L12" s="38">
        <v>7.0860000000000003</v>
      </c>
      <c r="M12" s="127" t="s">
        <v>103</v>
      </c>
      <c r="N12" s="4" t="s">
        <v>13</v>
      </c>
      <c r="O12" s="6">
        <v>7.0839999999999996</v>
      </c>
      <c r="P12" s="4" t="s">
        <v>7</v>
      </c>
      <c r="Q12" s="3" t="s">
        <v>205</v>
      </c>
      <c r="R12" s="22">
        <v>7.28</v>
      </c>
      <c r="S12" s="6">
        <v>7.2590000000000003</v>
      </c>
      <c r="T12" s="6">
        <v>7.1040000000000001</v>
      </c>
      <c r="U12" s="22">
        <v>7.093</v>
      </c>
      <c r="V12" s="22">
        <v>7.15</v>
      </c>
      <c r="W12" s="22">
        <v>7.0940000000000003</v>
      </c>
      <c r="X12" s="22">
        <v>7.0949999999999998</v>
      </c>
      <c r="Y12" s="22">
        <v>7.09</v>
      </c>
      <c r="Z12" s="22">
        <v>7.0890000000000004</v>
      </c>
      <c r="AA12" s="22">
        <v>7.0949999999999998</v>
      </c>
      <c r="AB12" s="6">
        <v>7.3010000000000002</v>
      </c>
      <c r="AC12" s="6">
        <v>7.3259999999999996</v>
      </c>
      <c r="AD12" s="6">
        <v>7.3029999999999999</v>
      </c>
      <c r="AE12" s="6">
        <v>7.1989999999999998</v>
      </c>
      <c r="AF12" s="6">
        <v>7.2350000000000003</v>
      </c>
      <c r="AG12" s="6">
        <v>6.7249999999999996</v>
      </c>
      <c r="AH12" s="6">
        <f t="shared" ref="AH12:AH39" si="3">IF((AF12&lt;&gt;0)*AND(AG12&lt;&gt;0),AVERAGE(AF12:AG12),"")</f>
        <v>6.98</v>
      </c>
      <c r="AI12" s="39"/>
      <c r="AJ12" s="39"/>
      <c r="AK12" s="39"/>
      <c r="AL12" s="39"/>
      <c r="AM12" s="39"/>
      <c r="AN12" s="39"/>
      <c r="AO12" s="39"/>
      <c r="AP12" s="3"/>
      <c r="AQ12" s="8"/>
    </row>
    <row r="13" spans="1:43">
      <c r="A13" s="1">
        <f t="shared" si="2"/>
        <v>11</v>
      </c>
      <c r="B13" s="31"/>
      <c r="C13" s="1">
        <v>2</v>
      </c>
      <c r="D13" s="4">
        <f t="shared" si="1"/>
        <v>12</v>
      </c>
      <c r="E13" s="4" t="s">
        <v>226</v>
      </c>
      <c r="F13" s="4">
        <v>1</v>
      </c>
      <c r="G13" s="4" t="s">
        <v>11</v>
      </c>
      <c r="H13" s="4" t="s">
        <v>17</v>
      </c>
      <c r="I13" s="4"/>
      <c r="J13" s="5">
        <v>93.3</v>
      </c>
      <c r="K13" s="68"/>
      <c r="L13" s="38">
        <v>7.43</v>
      </c>
      <c r="M13" s="127" t="s">
        <v>103</v>
      </c>
      <c r="N13" s="4" t="s">
        <v>13</v>
      </c>
      <c r="O13" s="6">
        <v>7.4239999999999986</v>
      </c>
      <c r="P13" s="4" t="s">
        <v>7</v>
      </c>
      <c r="Q13" s="3" t="s">
        <v>205</v>
      </c>
      <c r="R13" s="22">
        <v>7.6189999999999998</v>
      </c>
      <c r="S13" s="6">
        <v>7.5940000000000003</v>
      </c>
      <c r="T13" s="6">
        <v>7.4349999999999996</v>
      </c>
      <c r="U13" s="22">
        <v>7.43</v>
      </c>
      <c r="V13" s="22">
        <v>7.48</v>
      </c>
      <c r="W13" s="22">
        <v>7.4290000000000003</v>
      </c>
      <c r="X13" s="22">
        <v>7.43</v>
      </c>
      <c r="Y13" s="22">
        <v>7.423</v>
      </c>
      <c r="Z13" s="22">
        <v>7.4210000000000003</v>
      </c>
      <c r="AA13" s="22">
        <v>7.4349999999999996</v>
      </c>
      <c r="AB13" s="6">
        <v>7.5510000000000002</v>
      </c>
      <c r="AC13" s="6">
        <v>7.5789999999999997</v>
      </c>
      <c r="AD13" s="6">
        <v>7.5839999999999996</v>
      </c>
      <c r="AE13" s="6">
        <v>7.4450000000000003</v>
      </c>
      <c r="AF13" s="6">
        <v>7.5640000000000001</v>
      </c>
      <c r="AG13" s="6">
        <v>7.0570000000000004</v>
      </c>
      <c r="AH13" s="6">
        <f t="shared" si="3"/>
        <v>7.3105000000000002</v>
      </c>
      <c r="AI13" s="39"/>
      <c r="AJ13" s="39"/>
      <c r="AK13" s="39"/>
      <c r="AL13" s="39"/>
      <c r="AM13" s="39"/>
      <c r="AN13" s="39"/>
      <c r="AO13" s="39"/>
      <c r="AP13" s="3"/>
      <c r="AQ13" s="8"/>
    </row>
    <row r="14" spans="1:43">
      <c r="A14" s="1">
        <f t="shared" si="2"/>
        <v>12</v>
      </c>
      <c r="B14" s="31"/>
      <c r="C14" s="1">
        <v>2</v>
      </c>
      <c r="D14" s="4">
        <f t="shared" si="1"/>
        <v>12</v>
      </c>
      <c r="E14" s="4" t="s">
        <v>85</v>
      </c>
      <c r="F14" s="4">
        <v>3</v>
      </c>
      <c r="G14" s="4" t="s">
        <v>11</v>
      </c>
      <c r="H14" s="4" t="s">
        <v>17</v>
      </c>
      <c r="I14" s="4"/>
      <c r="J14" s="5">
        <v>99.2</v>
      </c>
      <c r="K14" s="68"/>
      <c r="L14" s="38">
        <v>5.52</v>
      </c>
      <c r="M14" s="127" t="s">
        <v>105</v>
      </c>
      <c r="N14" s="4" t="s">
        <v>13</v>
      </c>
      <c r="O14" s="6">
        <v>5.544999999999999</v>
      </c>
      <c r="P14" s="4" t="s">
        <v>7</v>
      </c>
      <c r="Q14" s="3" t="s">
        <v>205</v>
      </c>
      <c r="R14" s="22">
        <v>5.7880000000000003</v>
      </c>
      <c r="S14" s="6">
        <v>5.7629999999999999</v>
      </c>
      <c r="T14" s="6">
        <v>5.6289999999999996</v>
      </c>
      <c r="U14" s="22">
        <v>5.2370000000000001</v>
      </c>
      <c r="V14" s="22">
        <v>5.4509999999999996</v>
      </c>
      <c r="W14" s="35"/>
      <c r="X14" s="35"/>
      <c r="Y14" s="35"/>
      <c r="Z14" s="22">
        <v>5.5010000000000003</v>
      </c>
      <c r="AA14" s="22">
        <v>5.5090000000000003</v>
      </c>
      <c r="AB14" s="6">
        <v>5.4530000000000003</v>
      </c>
      <c r="AC14" s="6">
        <v>5.4509999999999996</v>
      </c>
      <c r="AD14" s="6">
        <v>5.5570000000000004</v>
      </c>
      <c r="AE14" s="6">
        <v>5.3869999999999996</v>
      </c>
      <c r="AF14" s="6">
        <v>5.7480000000000002</v>
      </c>
      <c r="AG14" s="6">
        <v>5.2430000000000003</v>
      </c>
      <c r="AH14" s="6">
        <f t="shared" si="3"/>
        <v>5.4954999999999998</v>
      </c>
      <c r="AI14" s="39"/>
      <c r="AJ14" s="39"/>
      <c r="AK14" s="39"/>
      <c r="AL14" s="39"/>
      <c r="AM14" s="39"/>
      <c r="AN14" s="39"/>
      <c r="AO14" s="39"/>
      <c r="AP14" s="3"/>
      <c r="AQ14" s="8"/>
    </row>
    <row r="15" spans="1:43">
      <c r="A15" s="1">
        <f t="shared" si="2"/>
        <v>13</v>
      </c>
      <c r="B15" s="31"/>
      <c r="C15" s="1">
        <v>2</v>
      </c>
      <c r="D15" s="4">
        <f t="shared" si="1"/>
        <v>12</v>
      </c>
      <c r="E15" s="4" t="s">
        <v>227</v>
      </c>
      <c r="F15" s="4">
        <v>3</v>
      </c>
      <c r="G15" s="4" t="s">
        <v>11</v>
      </c>
      <c r="H15" s="4" t="s">
        <v>17</v>
      </c>
      <c r="I15" s="4"/>
      <c r="J15" s="5">
        <v>99</v>
      </c>
      <c r="K15" s="68"/>
      <c r="L15" s="38">
        <v>6.399</v>
      </c>
      <c r="M15" s="127" t="s">
        <v>103</v>
      </c>
      <c r="N15" s="4" t="s">
        <v>13</v>
      </c>
      <c r="O15" s="6">
        <v>6.4040000000000008</v>
      </c>
      <c r="P15" s="4" t="s">
        <v>7</v>
      </c>
      <c r="Q15" s="3" t="s">
        <v>205</v>
      </c>
      <c r="R15" s="22">
        <v>6.62</v>
      </c>
      <c r="S15" s="6">
        <v>6.5949999999999998</v>
      </c>
      <c r="T15" s="6">
        <v>6.4409999999999998</v>
      </c>
      <c r="U15" s="22">
        <v>6.1260000000000003</v>
      </c>
      <c r="V15" s="22">
        <v>6.4109999999999996</v>
      </c>
      <c r="W15" s="35"/>
      <c r="X15" s="35"/>
      <c r="Y15" s="35"/>
      <c r="Z15" s="22">
        <v>6.3959999999999999</v>
      </c>
      <c r="AA15" s="22">
        <v>6.3940000000000001</v>
      </c>
      <c r="AB15" s="6">
        <v>6.7009999999999996</v>
      </c>
      <c r="AC15" s="6">
        <v>6.7229999999999999</v>
      </c>
      <c r="AD15" s="6">
        <v>6.68</v>
      </c>
      <c r="AE15" s="6">
        <v>6.6139999999999999</v>
      </c>
      <c r="AF15" s="6">
        <v>6.5750000000000002</v>
      </c>
      <c r="AG15" s="6">
        <v>6.0609999999999999</v>
      </c>
      <c r="AH15" s="6">
        <f t="shared" si="3"/>
        <v>6.3179999999999996</v>
      </c>
      <c r="AI15" s="39"/>
      <c r="AJ15" s="39"/>
      <c r="AK15" s="39"/>
      <c r="AL15" s="39"/>
      <c r="AM15" s="39"/>
      <c r="AN15" s="39"/>
      <c r="AO15" s="39"/>
      <c r="AP15" s="3"/>
      <c r="AQ15" s="8"/>
    </row>
    <row r="16" spans="1:43">
      <c r="A16" s="1">
        <f t="shared" si="2"/>
        <v>14</v>
      </c>
      <c r="B16" s="31"/>
      <c r="C16" s="1">
        <v>2</v>
      </c>
      <c r="D16" s="4">
        <f t="shared" si="1"/>
        <v>12</v>
      </c>
      <c r="E16" s="4" t="s">
        <v>228</v>
      </c>
      <c r="F16" s="4">
        <v>3</v>
      </c>
      <c r="G16" s="4" t="s">
        <v>11</v>
      </c>
      <c r="H16" s="4" t="s">
        <v>17</v>
      </c>
      <c r="I16" s="4"/>
      <c r="J16" s="5">
        <v>98.8</v>
      </c>
      <c r="K16" s="68"/>
      <c r="L16" s="38">
        <v>7.0759999999999996</v>
      </c>
      <c r="M16" s="127" t="s">
        <v>105</v>
      </c>
      <c r="N16" s="4" t="s">
        <v>13</v>
      </c>
      <c r="O16" s="6">
        <v>7.0779999999999985</v>
      </c>
      <c r="P16" s="4" t="s">
        <v>7</v>
      </c>
      <c r="Q16" s="3" t="s">
        <v>205</v>
      </c>
      <c r="R16" s="22">
        <v>7.3140000000000001</v>
      </c>
      <c r="S16" s="6">
        <v>7.2889999999999997</v>
      </c>
      <c r="T16" s="6">
        <v>7.1120000000000001</v>
      </c>
      <c r="U16" s="22">
        <v>6.8360000000000003</v>
      </c>
      <c r="V16" s="22">
        <v>7.125</v>
      </c>
      <c r="W16" s="35"/>
      <c r="X16" s="35"/>
      <c r="Y16" s="35"/>
      <c r="Z16" s="22">
        <v>7.0720000000000001</v>
      </c>
      <c r="AA16" s="22">
        <v>7.0780000000000003</v>
      </c>
      <c r="AB16" s="6">
        <v>7.3419999999999996</v>
      </c>
      <c r="AC16" s="6">
        <v>7.3650000000000002</v>
      </c>
      <c r="AD16" s="6">
        <v>7.3390000000000004</v>
      </c>
      <c r="AE16" s="6">
        <v>7.242</v>
      </c>
      <c r="AF16" s="6">
        <v>7.266</v>
      </c>
      <c r="AG16" s="6">
        <v>6.7160000000000002</v>
      </c>
      <c r="AH16" s="6">
        <f t="shared" si="3"/>
        <v>6.9909999999999997</v>
      </c>
      <c r="AI16" s="39"/>
      <c r="AJ16" s="39"/>
      <c r="AK16" s="39"/>
      <c r="AL16" s="39"/>
      <c r="AM16" s="39"/>
      <c r="AN16" s="39"/>
      <c r="AO16" s="39"/>
      <c r="AP16" s="3"/>
      <c r="AQ16" s="8"/>
    </row>
    <row r="17" spans="1:43">
      <c r="A17" s="1">
        <f t="shared" si="2"/>
        <v>15</v>
      </c>
      <c r="B17" s="31"/>
      <c r="C17" s="1">
        <v>2</v>
      </c>
      <c r="D17" s="4">
        <f t="shared" si="1"/>
        <v>12</v>
      </c>
      <c r="E17" s="4" t="s">
        <v>107</v>
      </c>
      <c r="F17" s="4">
        <v>1</v>
      </c>
      <c r="G17" s="4" t="s">
        <v>11</v>
      </c>
      <c r="H17" s="4" t="s">
        <v>17</v>
      </c>
      <c r="I17" s="4" t="s">
        <v>251</v>
      </c>
      <c r="J17" s="5">
        <v>95.6</v>
      </c>
      <c r="K17" s="68"/>
      <c r="L17" s="38">
        <v>3.641</v>
      </c>
      <c r="M17" s="127" t="s">
        <v>103</v>
      </c>
      <c r="N17" s="4" t="s">
        <v>13</v>
      </c>
      <c r="O17" s="6">
        <v>3.6339999999999999</v>
      </c>
      <c r="P17" s="4" t="s">
        <v>7</v>
      </c>
      <c r="Q17" s="3" t="s">
        <v>205</v>
      </c>
      <c r="R17" s="22">
        <v>3.8490000000000002</v>
      </c>
      <c r="S17" s="6">
        <v>3.9359999999999999</v>
      </c>
      <c r="T17" s="6">
        <v>3.6309999999999998</v>
      </c>
      <c r="U17" s="22">
        <v>3.72</v>
      </c>
      <c r="V17" s="22">
        <v>3.7029999999999998</v>
      </c>
      <c r="W17" s="22">
        <v>3.6549999999999998</v>
      </c>
      <c r="X17" s="22">
        <v>3.6549999999999998</v>
      </c>
      <c r="Y17" s="22">
        <v>3.6349999999999998</v>
      </c>
      <c r="Z17" s="22">
        <v>3.64</v>
      </c>
      <c r="AA17" s="22">
        <v>3.6589999999999998</v>
      </c>
      <c r="AB17" s="6">
        <v>3.77</v>
      </c>
      <c r="AC17" s="6">
        <v>3.9340000000000002</v>
      </c>
      <c r="AD17" s="6">
        <v>3.9340000000000002</v>
      </c>
      <c r="AE17" s="6">
        <v>3.657</v>
      </c>
      <c r="AF17" s="6">
        <v>3.7749999999999999</v>
      </c>
      <c r="AG17" s="6">
        <v>2.851</v>
      </c>
      <c r="AH17" s="6">
        <f t="shared" si="3"/>
        <v>3.3129999999999997</v>
      </c>
      <c r="AI17" s="39"/>
      <c r="AJ17" s="39"/>
      <c r="AK17" s="39"/>
      <c r="AL17" s="39"/>
      <c r="AM17" s="39"/>
      <c r="AN17" s="39"/>
      <c r="AO17" s="39"/>
      <c r="AP17" s="3"/>
      <c r="AQ17" s="8"/>
    </row>
    <row r="18" spans="1:43">
      <c r="A18" s="1">
        <f t="shared" si="2"/>
        <v>16</v>
      </c>
      <c r="B18" s="19"/>
      <c r="C18" s="1">
        <v>2</v>
      </c>
      <c r="D18" s="4">
        <f t="shared" si="1"/>
        <v>12</v>
      </c>
      <c r="E18" s="4" t="s">
        <v>108</v>
      </c>
      <c r="F18" s="4">
        <v>1</v>
      </c>
      <c r="G18" s="4" t="s">
        <v>11</v>
      </c>
      <c r="H18" s="4" t="s">
        <v>17</v>
      </c>
      <c r="I18" s="4" t="s">
        <v>251</v>
      </c>
      <c r="J18" s="5">
        <v>95.5</v>
      </c>
      <c r="K18" s="68"/>
      <c r="L18" s="38">
        <v>3.8439999999999999</v>
      </c>
      <c r="M18" s="127" t="s">
        <v>103</v>
      </c>
      <c r="N18" s="4" t="s">
        <v>13</v>
      </c>
      <c r="O18" s="6">
        <v>3.8400000000000003</v>
      </c>
      <c r="P18" s="4" t="s">
        <v>7</v>
      </c>
      <c r="Q18" s="3" t="s">
        <v>205</v>
      </c>
      <c r="R18" s="22">
        <v>4.0650000000000004</v>
      </c>
      <c r="S18" s="6">
        <v>4.1079999999999997</v>
      </c>
      <c r="T18" s="6">
        <v>3.84</v>
      </c>
      <c r="U18" s="22">
        <v>3.8959999999999999</v>
      </c>
      <c r="V18" s="22">
        <v>3.9249999999999998</v>
      </c>
      <c r="W18" s="22">
        <v>3.8450000000000002</v>
      </c>
      <c r="X18" s="22">
        <v>3.8479999999999999</v>
      </c>
      <c r="Y18" s="22">
        <v>3.839</v>
      </c>
      <c r="Z18" s="22">
        <v>3.839</v>
      </c>
      <c r="AA18" s="22">
        <v>3.8610000000000002</v>
      </c>
      <c r="AB18" s="6">
        <v>3.9729999999999999</v>
      </c>
      <c r="AC18" s="6">
        <v>4.0949999999999998</v>
      </c>
      <c r="AD18" s="6">
        <v>4.0990000000000002</v>
      </c>
      <c r="AE18" s="6">
        <v>3.8580000000000001</v>
      </c>
      <c r="AF18" s="6">
        <v>3.9860000000000002</v>
      </c>
      <c r="AG18" s="6">
        <v>3.08</v>
      </c>
      <c r="AH18" s="6">
        <f t="shared" si="3"/>
        <v>3.5330000000000004</v>
      </c>
      <c r="AI18" s="39"/>
      <c r="AJ18" s="39"/>
      <c r="AK18" s="39"/>
      <c r="AL18" s="39"/>
      <c r="AM18" s="39"/>
      <c r="AN18" s="39"/>
      <c r="AO18" s="39"/>
      <c r="AP18" s="3"/>
      <c r="AQ18" s="8"/>
    </row>
    <row r="19" spans="1:43">
      <c r="A19" s="1">
        <f t="shared" si="2"/>
        <v>17</v>
      </c>
      <c r="B19" s="2" t="s">
        <v>18</v>
      </c>
      <c r="C19" s="1">
        <v>4</v>
      </c>
      <c r="D19" s="4">
        <f t="shared" si="1"/>
        <v>35</v>
      </c>
      <c r="E19" s="4" t="s">
        <v>224</v>
      </c>
      <c r="F19" s="4">
        <v>1</v>
      </c>
      <c r="G19" s="4" t="s">
        <v>11</v>
      </c>
      <c r="H19" s="4" t="s">
        <v>12</v>
      </c>
      <c r="I19" s="4"/>
      <c r="J19" s="5">
        <v>87.6</v>
      </c>
      <c r="K19" s="63">
        <v>0</v>
      </c>
      <c r="L19" s="38">
        <v>3.7229999999999999</v>
      </c>
      <c r="M19" s="127" t="s">
        <v>329</v>
      </c>
      <c r="N19" s="1" t="s">
        <v>13</v>
      </c>
      <c r="O19" s="22">
        <v>3.73</v>
      </c>
      <c r="P19" s="4" t="s">
        <v>7</v>
      </c>
      <c r="Q19" s="3" t="s">
        <v>205</v>
      </c>
      <c r="R19" s="22">
        <v>3.8940000000000001</v>
      </c>
      <c r="S19" s="22">
        <v>3.8530000000000002</v>
      </c>
      <c r="T19" s="22">
        <v>3.8839999999999999</v>
      </c>
      <c r="U19" s="22">
        <v>3.786</v>
      </c>
      <c r="V19" s="22">
        <v>3.9129999999999998</v>
      </c>
      <c r="W19" s="22">
        <v>3.8029999999999999</v>
      </c>
      <c r="X19" s="22">
        <v>3.7989999999999999</v>
      </c>
      <c r="Y19" s="22">
        <v>3.7829999999999999</v>
      </c>
      <c r="Z19" s="22">
        <v>3.7429999999999999</v>
      </c>
      <c r="AA19" s="22">
        <v>3.7250000000000001</v>
      </c>
      <c r="AB19" s="22">
        <v>3.9529999999999998</v>
      </c>
      <c r="AC19" s="22">
        <v>4.1070000000000002</v>
      </c>
      <c r="AD19" s="22">
        <v>4.0259999999999998</v>
      </c>
      <c r="AE19" s="22">
        <v>3.734</v>
      </c>
      <c r="AF19" s="22">
        <v>3.681</v>
      </c>
      <c r="AG19" s="22">
        <v>3.7610000000000001</v>
      </c>
      <c r="AH19" s="6">
        <f t="shared" si="3"/>
        <v>3.7210000000000001</v>
      </c>
      <c r="AI19" s="134">
        <v>3.48</v>
      </c>
      <c r="AJ19" s="134">
        <v>3.58</v>
      </c>
      <c r="AK19" s="134">
        <v>3.46</v>
      </c>
      <c r="AL19" s="56">
        <v>3.66</v>
      </c>
      <c r="AM19" s="56">
        <v>3.66</v>
      </c>
      <c r="AN19" s="134">
        <v>3.83</v>
      </c>
      <c r="AO19" s="134">
        <v>3.84</v>
      </c>
      <c r="AP19" s="3"/>
      <c r="AQ19" s="8"/>
    </row>
    <row r="20" spans="1:43">
      <c r="A20" s="1">
        <f t="shared" si="2"/>
        <v>18</v>
      </c>
      <c r="B20" s="19"/>
      <c r="C20" s="1">
        <v>4</v>
      </c>
      <c r="D20" s="4">
        <f t="shared" si="1"/>
        <v>35</v>
      </c>
      <c r="E20" s="4" t="s">
        <v>229</v>
      </c>
      <c r="F20" s="4">
        <v>1</v>
      </c>
      <c r="G20" s="4" t="s">
        <v>11</v>
      </c>
      <c r="H20" s="4" t="s">
        <v>17</v>
      </c>
      <c r="I20" s="4"/>
      <c r="J20" s="5">
        <v>91.2</v>
      </c>
      <c r="K20" s="63">
        <v>0.34399999999999997</v>
      </c>
      <c r="L20" s="38">
        <v>6.6710000000000003</v>
      </c>
      <c r="M20" s="127" t="s">
        <v>329</v>
      </c>
      <c r="N20" s="1" t="s">
        <v>13</v>
      </c>
      <c r="O20" s="22">
        <v>6.6680000000000001</v>
      </c>
      <c r="P20" s="4" t="s">
        <v>7</v>
      </c>
      <c r="Q20" s="3" t="s">
        <v>205</v>
      </c>
      <c r="R20" s="22">
        <v>6.8760000000000003</v>
      </c>
      <c r="S20" s="22">
        <v>6.8</v>
      </c>
      <c r="T20" s="22">
        <v>6.8529999999999998</v>
      </c>
      <c r="U20" s="22">
        <v>6.6379999999999999</v>
      </c>
      <c r="V20" s="22">
        <v>6.8719999999999999</v>
      </c>
      <c r="W20" s="22">
        <v>6.7519999999999998</v>
      </c>
      <c r="X20" s="22">
        <v>6.6950000000000003</v>
      </c>
      <c r="Y20" s="22">
        <v>6.71</v>
      </c>
      <c r="Z20" s="22">
        <v>6.6529999999999996</v>
      </c>
      <c r="AA20" s="22">
        <v>6.6859999999999999</v>
      </c>
      <c r="AB20" s="22">
        <v>6.8250000000000002</v>
      </c>
      <c r="AC20" s="22">
        <v>6.8840000000000003</v>
      </c>
      <c r="AD20" s="22">
        <v>6.984</v>
      </c>
      <c r="AE20" s="22">
        <v>6.6429999999999998</v>
      </c>
      <c r="AF20" s="22">
        <v>6.7439999999999998</v>
      </c>
      <c r="AG20" s="22">
        <v>6.5069999999999997</v>
      </c>
      <c r="AH20" s="6">
        <f t="shared" si="3"/>
        <v>6.6254999999999997</v>
      </c>
      <c r="AI20" s="134">
        <v>8.85</v>
      </c>
      <c r="AJ20" s="134">
        <v>6.93</v>
      </c>
      <c r="AK20" s="134">
        <v>6.28</v>
      </c>
      <c r="AL20" s="56">
        <v>7.18</v>
      </c>
      <c r="AM20" s="56">
        <v>7.05</v>
      </c>
      <c r="AN20" s="134">
        <v>6.43</v>
      </c>
      <c r="AO20" s="134">
        <v>6.12</v>
      </c>
      <c r="AP20" s="3"/>
      <c r="AQ20" s="8"/>
    </row>
    <row r="21" spans="1:43">
      <c r="A21" s="1">
        <f t="shared" si="2"/>
        <v>19</v>
      </c>
      <c r="B21" s="19"/>
      <c r="C21" s="1">
        <v>4</v>
      </c>
      <c r="D21" s="4">
        <f t="shared" si="1"/>
        <v>35</v>
      </c>
      <c r="E21" s="4" t="s">
        <v>224</v>
      </c>
      <c r="F21" s="4">
        <v>1</v>
      </c>
      <c r="G21" s="4" t="s">
        <v>11</v>
      </c>
      <c r="H21" s="4" t="s">
        <v>12</v>
      </c>
      <c r="I21" s="4"/>
      <c r="J21" s="5">
        <v>79.400000000000006</v>
      </c>
      <c r="K21" s="63">
        <v>0</v>
      </c>
      <c r="L21" s="38">
        <v>6.6719999999999997</v>
      </c>
      <c r="M21" s="127" t="s">
        <v>329</v>
      </c>
      <c r="N21" s="1" t="s">
        <v>13</v>
      </c>
      <c r="O21" s="22">
        <v>6.6970000000000001</v>
      </c>
      <c r="P21" s="4" t="s">
        <v>7</v>
      </c>
      <c r="Q21" s="3" t="s">
        <v>205</v>
      </c>
      <c r="R21" s="22">
        <v>7.7560000000000002</v>
      </c>
      <c r="S21" s="22">
        <v>6.681</v>
      </c>
      <c r="T21" s="22">
        <v>7.1849999999999996</v>
      </c>
      <c r="U21" s="22">
        <v>7.0540000000000003</v>
      </c>
      <c r="V21" s="22">
        <v>7.2690000000000001</v>
      </c>
      <c r="W21" s="22">
        <v>6.9560000000000004</v>
      </c>
      <c r="X21" s="6">
        <v>6.9420000000000002</v>
      </c>
      <c r="Y21" s="22">
        <v>6.8929999999999998</v>
      </c>
      <c r="Z21" s="22">
        <v>6.7519999999999998</v>
      </c>
      <c r="AA21" s="22">
        <v>6.73</v>
      </c>
      <c r="AB21" s="22">
        <v>7.2720000000000002</v>
      </c>
      <c r="AC21" s="22">
        <v>7.3730000000000002</v>
      </c>
      <c r="AD21" s="22">
        <v>7.1420000000000003</v>
      </c>
      <c r="AE21" s="22">
        <v>7.0380000000000003</v>
      </c>
      <c r="AF21" s="22">
        <v>6.59</v>
      </c>
      <c r="AG21" s="22">
        <v>6.82</v>
      </c>
      <c r="AH21" s="6">
        <f t="shared" si="3"/>
        <v>6.7050000000000001</v>
      </c>
      <c r="AI21" s="134">
        <v>6.76</v>
      </c>
      <c r="AJ21" s="134">
        <v>6.79</v>
      </c>
      <c r="AK21" s="134">
        <v>6.34</v>
      </c>
      <c r="AL21" s="56">
        <v>6.88</v>
      </c>
      <c r="AM21" s="56">
        <v>6.8</v>
      </c>
      <c r="AN21" s="134">
        <v>7.1</v>
      </c>
      <c r="AO21" s="134">
        <v>7.07</v>
      </c>
      <c r="AP21" s="3"/>
      <c r="AQ21" s="8"/>
    </row>
    <row r="22" spans="1:43">
      <c r="A22" s="1">
        <f t="shared" si="2"/>
        <v>20</v>
      </c>
      <c r="B22" s="19"/>
      <c r="C22" s="1">
        <v>4</v>
      </c>
      <c r="D22" s="4">
        <f t="shared" si="1"/>
        <v>35</v>
      </c>
      <c r="E22" s="4" t="s">
        <v>229</v>
      </c>
      <c r="F22" s="4">
        <v>1</v>
      </c>
      <c r="G22" s="4" t="s">
        <v>14</v>
      </c>
      <c r="H22" s="4" t="s">
        <v>15</v>
      </c>
      <c r="I22" s="4"/>
      <c r="J22" s="5">
        <v>89.4</v>
      </c>
      <c r="K22" s="63">
        <v>0.109</v>
      </c>
      <c r="L22" s="38">
        <v>7.1079999999999997</v>
      </c>
      <c r="M22" s="127" t="s">
        <v>329</v>
      </c>
      <c r="N22" s="1" t="s">
        <v>13</v>
      </c>
      <c r="O22" s="22">
        <v>7.1459999999999999</v>
      </c>
      <c r="P22" s="4" t="s">
        <v>7</v>
      </c>
      <c r="Q22" s="3" t="s">
        <v>205</v>
      </c>
      <c r="R22" s="22">
        <v>6.9180000000000001</v>
      </c>
      <c r="S22" s="22">
        <v>6.4020000000000001</v>
      </c>
      <c r="T22" s="22">
        <v>7.2329999999999997</v>
      </c>
      <c r="U22" s="22">
        <v>7.2539999999999996</v>
      </c>
      <c r="V22" s="22">
        <v>7.2380000000000004</v>
      </c>
      <c r="W22" s="22">
        <v>7.0819999999999999</v>
      </c>
      <c r="X22" s="22">
        <v>7.117</v>
      </c>
      <c r="Y22" s="22">
        <v>7.1479999999999997</v>
      </c>
      <c r="Z22" s="22">
        <v>7.0670000000000002</v>
      </c>
      <c r="AA22" s="22">
        <v>7.077</v>
      </c>
      <c r="AB22" s="22">
        <v>7.0750000000000002</v>
      </c>
      <c r="AC22" s="22">
        <v>7.1429999999999998</v>
      </c>
      <c r="AD22" s="36"/>
      <c r="AE22" s="22">
        <v>6.8840000000000003</v>
      </c>
      <c r="AF22" s="22">
        <v>6.3520000000000003</v>
      </c>
      <c r="AG22" s="22">
        <v>7.57</v>
      </c>
      <c r="AH22" s="6">
        <f t="shared" si="3"/>
        <v>6.9610000000000003</v>
      </c>
      <c r="AI22" s="134">
        <v>7.2</v>
      </c>
      <c r="AJ22" s="134">
        <v>7.21</v>
      </c>
      <c r="AK22" s="134">
        <v>6.98</v>
      </c>
      <c r="AL22" s="56">
        <v>7.2</v>
      </c>
      <c r="AM22" s="56">
        <v>7.16</v>
      </c>
      <c r="AN22" s="134">
        <v>7.05</v>
      </c>
      <c r="AO22" s="134">
        <v>7.01</v>
      </c>
      <c r="AP22" s="3"/>
      <c r="AQ22" s="8"/>
    </row>
    <row r="23" spans="1:43">
      <c r="A23" s="1">
        <f t="shared" si="2"/>
        <v>21</v>
      </c>
      <c r="B23" s="19"/>
      <c r="C23" s="1">
        <v>4</v>
      </c>
      <c r="D23" s="4">
        <f t="shared" si="1"/>
        <v>35</v>
      </c>
      <c r="E23" s="4" t="s">
        <v>229</v>
      </c>
      <c r="F23" s="4">
        <v>1</v>
      </c>
      <c r="G23" s="4" t="s">
        <v>11</v>
      </c>
      <c r="H23" s="4" t="s">
        <v>17</v>
      </c>
      <c r="I23" s="4" t="s">
        <v>320</v>
      </c>
      <c r="J23" s="5">
        <v>75</v>
      </c>
      <c r="K23" s="63" t="s">
        <v>170</v>
      </c>
      <c r="L23" s="38">
        <v>7.9279999999999999</v>
      </c>
      <c r="M23" s="127" t="s">
        <v>329</v>
      </c>
      <c r="N23" s="1" t="s">
        <v>13</v>
      </c>
      <c r="O23" s="36"/>
      <c r="P23" s="36"/>
      <c r="Q23" s="3" t="s">
        <v>205</v>
      </c>
      <c r="R23" s="36"/>
      <c r="S23" s="36"/>
      <c r="T23" s="36"/>
      <c r="U23" s="36"/>
      <c r="V23" s="36"/>
      <c r="W23" s="36"/>
      <c r="X23" s="36"/>
      <c r="Y23" s="22">
        <v>8.1859999999999999</v>
      </c>
      <c r="Z23" s="22">
        <v>8.0779999999999994</v>
      </c>
      <c r="AA23" s="22">
        <v>8.0120000000000005</v>
      </c>
      <c r="AB23" s="36"/>
      <c r="AC23" s="36"/>
      <c r="AD23" s="36"/>
      <c r="AE23" s="36"/>
      <c r="AF23" s="36"/>
      <c r="AG23" s="22">
        <v>7.27</v>
      </c>
      <c r="AH23" s="36"/>
      <c r="AI23" s="73">
        <v>8.4540000000000006</v>
      </c>
      <c r="AJ23" s="73">
        <v>7.9610000000000003</v>
      </c>
      <c r="AK23" s="73">
        <v>7.5279999999999996</v>
      </c>
      <c r="AL23" s="79">
        <v>7.9790000000000001</v>
      </c>
      <c r="AM23" s="79">
        <v>7.9059999999999997</v>
      </c>
      <c r="AN23" s="73">
        <v>8.0060000000000002</v>
      </c>
      <c r="AO23" s="73">
        <v>7.8460000000000001</v>
      </c>
      <c r="AP23" s="3"/>
      <c r="AQ23" s="8"/>
    </row>
    <row r="24" spans="1:43">
      <c r="A24" s="1">
        <f t="shared" si="2"/>
        <v>22</v>
      </c>
      <c r="B24" s="19"/>
      <c r="C24" s="1">
        <v>4</v>
      </c>
      <c r="D24" s="4">
        <f t="shared" si="1"/>
        <v>35</v>
      </c>
      <c r="E24" s="4" t="s">
        <v>225</v>
      </c>
      <c r="F24" s="4">
        <v>3</v>
      </c>
      <c r="G24" s="4" t="s">
        <v>11</v>
      </c>
      <c r="H24" s="4" t="s">
        <v>12</v>
      </c>
      <c r="I24" s="4"/>
      <c r="J24" s="5">
        <v>97</v>
      </c>
      <c r="K24" s="68"/>
      <c r="L24" s="38">
        <v>3.4449999999999998</v>
      </c>
      <c r="M24" s="127" t="s">
        <v>110</v>
      </c>
      <c r="N24" s="1" t="s">
        <v>13</v>
      </c>
      <c r="O24" s="22">
        <v>3.4570000000000003</v>
      </c>
      <c r="P24" s="4" t="s">
        <v>7</v>
      </c>
      <c r="Q24" s="3" t="s">
        <v>205</v>
      </c>
      <c r="R24" s="22">
        <v>3.556</v>
      </c>
      <c r="S24" s="22">
        <v>3.4849999999999999</v>
      </c>
      <c r="T24" s="22">
        <v>3.5329999999999999</v>
      </c>
      <c r="U24" s="22">
        <v>3.488</v>
      </c>
      <c r="V24" s="22">
        <v>3.5459999999999998</v>
      </c>
      <c r="W24" s="36"/>
      <c r="X24" s="36"/>
      <c r="Y24" s="36"/>
      <c r="Z24" s="22">
        <v>3.4609999999999999</v>
      </c>
      <c r="AA24" s="36"/>
      <c r="AB24" s="34">
        <v>3.6739999999999999</v>
      </c>
      <c r="AC24" s="22">
        <v>3.8090000000000002</v>
      </c>
      <c r="AD24" s="22">
        <v>3.7040000000000002</v>
      </c>
      <c r="AE24" s="22">
        <v>3.476</v>
      </c>
      <c r="AF24" s="22">
        <v>3.3319999999999999</v>
      </c>
      <c r="AG24" s="22">
        <v>3.4489999999999998</v>
      </c>
      <c r="AH24" s="6">
        <f t="shared" si="3"/>
        <v>3.3904999999999998</v>
      </c>
      <c r="AI24" s="16">
        <v>3.25</v>
      </c>
      <c r="AJ24" s="16">
        <v>3.28</v>
      </c>
      <c r="AK24" s="16">
        <v>3.15</v>
      </c>
      <c r="AL24" s="56">
        <v>3.39</v>
      </c>
      <c r="AM24" s="56">
        <v>3.4</v>
      </c>
      <c r="AN24" s="16">
        <v>3.51</v>
      </c>
      <c r="AO24" s="16">
        <v>3.52</v>
      </c>
      <c r="AP24" s="3"/>
      <c r="AQ24" s="8"/>
    </row>
    <row r="25" spans="1:43">
      <c r="A25" s="1">
        <f t="shared" si="2"/>
        <v>23</v>
      </c>
      <c r="B25" s="19"/>
      <c r="C25" s="1">
        <v>4</v>
      </c>
      <c r="D25" s="4">
        <f t="shared" si="1"/>
        <v>35</v>
      </c>
      <c r="E25" s="4" t="s">
        <v>230</v>
      </c>
      <c r="F25" s="4">
        <v>3</v>
      </c>
      <c r="G25" s="4" t="s">
        <v>11</v>
      </c>
      <c r="H25" s="4" t="s">
        <v>17</v>
      </c>
      <c r="I25" s="4"/>
      <c r="J25" s="5">
        <v>98.6</v>
      </c>
      <c r="K25" s="68"/>
      <c r="L25" s="38">
        <v>3.9409999999999998</v>
      </c>
      <c r="M25" s="127" t="s">
        <v>110</v>
      </c>
      <c r="N25" s="1" t="s">
        <v>13</v>
      </c>
      <c r="O25" s="22">
        <v>3.9489999999999998</v>
      </c>
      <c r="P25" s="4" t="s">
        <v>7</v>
      </c>
      <c r="Q25" s="3" t="s">
        <v>205</v>
      </c>
      <c r="R25" s="22">
        <v>4.141</v>
      </c>
      <c r="S25" s="22">
        <v>4.0640000000000001</v>
      </c>
      <c r="T25" s="22">
        <v>3.9910000000000001</v>
      </c>
      <c r="U25" s="22">
        <v>3.7280000000000002</v>
      </c>
      <c r="V25" s="22">
        <v>3.883</v>
      </c>
      <c r="W25" s="36"/>
      <c r="X25" s="36"/>
      <c r="Y25" s="36"/>
      <c r="Z25" s="22">
        <v>3.9420000000000002</v>
      </c>
      <c r="AA25" s="36"/>
      <c r="AB25" s="22">
        <v>4.0970000000000004</v>
      </c>
      <c r="AC25" s="22">
        <v>4.1059999999999999</v>
      </c>
      <c r="AD25" s="22">
        <v>4.093</v>
      </c>
      <c r="AE25" s="22">
        <v>3.9870000000000001</v>
      </c>
      <c r="AF25" s="22">
        <v>4.0510000000000002</v>
      </c>
      <c r="AG25" s="22">
        <v>3.661</v>
      </c>
      <c r="AH25" s="6">
        <f t="shared" si="3"/>
        <v>3.8559999999999999</v>
      </c>
      <c r="AI25" s="16">
        <v>3.89</v>
      </c>
      <c r="AJ25" s="16">
        <v>4.01</v>
      </c>
      <c r="AK25" s="16">
        <v>3.78</v>
      </c>
      <c r="AL25" s="56">
        <v>3.96</v>
      </c>
      <c r="AM25" s="56">
        <v>3.91</v>
      </c>
      <c r="AN25" s="16">
        <v>4.0999999999999996</v>
      </c>
      <c r="AO25" s="16">
        <v>4.09</v>
      </c>
      <c r="AP25" s="3"/>
      <c r="AQ25" s="8"/>
    </row>
    <row r="26" spans="1:43">
      <c r="A26" s="1">
        <f t="shared" si="2"/>
        <v>24</v>
      </c>
      <c r="B26" s="19"/>
      <c r="C26" s="1">
        <v>4</v>
      </c>
      <c r="D26" s="4">
        <f t="shared" si="1"/>
        <v>35</v>
      </c>
      <c r="E26" s="4" t="s">
        <v>230</v>
      </c>
      <c r="F26" s="4">
        <v>3</v>
      </c>
      <c r="G26" s="4" t="s">
        <v>11</v>
      </c>
      <c r="H26" s="4" t="s">
        <v>17</v>
      </c>
      <c r="I26" s="4"/>
      <c r="J26" s="5">
        <v>98.4</v>
      </c>
      <c r="K26" s="68"/>
      <c r="L26" s="38">
        <v>6.1769999999999996</v>
      </c>
      <c r="M26" s="127" t="s">
        <v>110</v>
      </c>
      <c r="N26" s="1" t="s">
        <v>13</v>
      </c>
      <c r="O26" s="22">
        <v>6.1889999999999992</v>
      </c>
      <c r="P26" s="4" t="s">
        <v>7</v>
      </c>
      <c r="Q26" s="3" t="s">
        <v>205</v>
      </c>
      <c r="R26" s="22">
        <v>6.4249999999999998</v>
      </c>
      <c r="S26" s="22">
        <v>6.43</v>
      </c>
      <c r="T26" s="22">
        <v>6.2409999999999997</v>
      </c>
      <c r="U26" s="22">
        <v>6.02</v>
      </c>
      <c r="V26" s="22">
        <v>6.1429999999999998</v>
      </c>
      <c r="W26" s="36"/>
      <c r="X26" s="36"/>
      <c r="Y26" s="36"/>
      <c r="Z26" s="22">
        <v>6.1909999999999998</v>
      </c>
      <c r="AA26" s="36"/>
      <c r="AB26" s="22">
        <v>6.2480000000000002</v>
      </c>
      <c r="AC26" s="22">
        <v>6.3289999999999997</v>
      </c>
      <c r="AD26" s="22">
        <v>6.3650000000000002</v>
      </c>
      <c r="AE26" s="22">
        <v>6.13</v>
      </c>
      <c r="AF26" s="22">
        <v>6.3070000000000004</v>
      </c>
      <c r="AG26" s="22">
        <v>5.8680000000000003</v>
      </c>
      <c r="AH26" s="6">
        <f t="shared" si="3"/>
        <v>6.0875000000000004</v>
      </c>
      <c r="AI26" s="16">
        <v>5.89</v>
      </c>
      <c r="AJ26" s="16">
        <v>6.2</v>
      </c>
      <c r="AK26" s="16">
        <v>5.93</v>
      </c>
      <c r="AL26" s="56">
        <v>6.1</v>
      </c>
      <c r="AM26" s="56">
        <v>6.02</v>
      </c>
      <c r="AN26" s="16">
        <v>6.44</v>
      </c>
      <c r="AO26" s="16">
        <v>6.43</v>
      </c>
      <c r="AP26" s="3"/>
      <c r="AQ26" s="8"/>
    </row>
    <row r="27" spans="1:43">
      <c r="A27" s="1">
        <f t="shared" si="2"/>
        <v>25</v>
      </c>
      <c r="B27" s="19"/>
      <c r="C27" s="1">
        <v>4</v>
      </c>
      <c r="D27" s="4">
        <f t="shared" si="1"/>
        <v>35</v>
      </c>
      <c r="E27" s="4" t="s">
        <v>225</v>
      </c>
      <c r="F27" s="4">
        <v>3</v>
      </c>
      <c r="G27" s="4" t="s">
        <v>11</v>
      </c>
      <c r="H27" s="4" t="s">
        <v>12</v>
      </c>
      <c r="I27" s="4"/>
      <c r="J27" s="5">
        <v>92.7</v>
      </c>
      <c r="K27" s="68"/>
      <c r="L27" s="45">
        <v>6.569</v>
      </c>
      <c r="M27" s="127" t="s">
        <v>110</v>
      </c>
      <c r="N27" s="10" t="s">
        <v>111</v>
      </c>
      <c r="O27" s="22">
        <v>6.585</v>
      </c>
      <c r="P27" s="4" t="s">
        <v>7</v>
      </c>
      <c r="Q27" s="3" t="s">
        <v>205</v>
      </c>
      <c r="R27" s="36"/>
      <c r="S27" s="22">
        <v>6.5490000000000004</v>
      </c>
      <c r="T27" s="22">
        <v>7.0049999999999999</v>
      </c>
      <c r="U27" s="22">
        <v>6.899</v>
      </c>
      <c r="V27" s="22">
        <v>7.085</v>
      </c>
      <c r="W27" s="36"/>
      <c r="X27" s="36"/>
      <c r="Y27" s="36"/>
      <c r="Z27" s="22">
        <v>6.61</v>
      </c>
      <c r="AA27" s="36"/>
      <c r="AB27" s="22">
        <v>7.16</v>
      </c>
      <c r="AC27" s="22">
        <v>7.25</v>
      </c>
      <c r="AD27" s="22">
        <v>7.0170000000000003</v>
      </c>
      <c r="AE27" s="22">
        <v>6.9379999999999997</v>
      </c>
      <c r="AF27" s="22">
        <v>6.4660000000000002</v>
      </c>
      <c r="AG27" s="22">
        <v>6.6660000000000004</v>
      </c>
      <c r="AH27" s="6">
        <f t="shared" si="3"/>
        <v>6.5660000000000007</v>
      </c>
      <c r="AI27" s="16">
        <v>6.67</v>
      </c>
      <c r="AJ27" s="16">
        <v>6.65</v>
      </c>
      <c r="AK27" s="16">
        <v>6.21</v>
      </c>
      <c r="AL27" s="56">
        <v>6.74</v>
      </c>
      <c r="AM27" s="56">
        <v>6.66</v>
      </c>
      <c r="AN27" s="16">
        <v>6.94</v>
      </c>
      <c r="AO27" s="16">
        <v>6.91</v>
      </c>
      <c r="AP27" s="3"/>
      <c r="AQ27" s="8"/>
    </row>
    <row r="28" spans="1:43">
      <c r="A28" s="1">
        <f t="shared" si="2"/>
        <v>26</v>
      </c>
      <c r="B28" s="2" t="s">
        <v>264</v>
      </c>
      <c r="C28" s="1">
        <v>9</v>
      </c>
      <c r="D28" s="4">
        <f t="shared" si="1"/>
        <v>69</v>
      </c>
      <c r="E28" s="4" t="s">
        <v>137</v>
      </c>
      <c r="F28" s="4">
        <v>1</v>
      </c>
      <c r="G28" s="4" t="s">
        <v>11</v>
      </c>
      <c r="H28" s="4" t="s">
        <v>17</v>
      </c>
      <c r="I28" s="4"/>
      <c r="J28" s="5">
        <v>86.8</v>
      </c>
      <c r="K28" s="63">
        <v>1.7999999999999999E-2</v>
      </c>
      <c r="L28" s="38">
        <v>4.4479999999999995</v>
      </c>
      <c r="M28" s="127" t="s">
        <v>113</v>
      </c>
      <c r="N28" s="1" t="s">
        <v>13</v>
      </c>
      <c r="O28" s="36"/>
      <c r="P28" s="36"/>
      <c r="Q28" s="3"/>
      <c r="R28" s="22">
        <v>4.6429999999999998</v>
      </c>
      <c r="S28" s="22">
        <v>4.5620000000000003</v>
      </c>
      <c r="T28" s="22">
        <v>4.9000000000000004</v>
      </c>
      <c r="U28" s="22">
        <v>4.3070000000000004</v>
      </c>
      <c r="V28" s="22">
        <v>4.63</v>
      </c>
      <c r="W28" s="22">
        <v>4.524</v>
      </c>
      <c r="X28" s="22">
        <v>4.5270000000000001</v>
      </c>
      <c r="Y28" s="22">
        <v>4.5049999999999999</v>
      </c>
      <c r="Z28" s="22">
        <v>4.4569999999999999</v>
      </c>
      <c r="AA28" s="41"/>
      <c r="AB28" s="22">
        <v>4.4969999999999999</v>
      </c>
      <c r="AC28" s="22">
        <v>4.5030000000000001</v>
      </c>
      <c r="AD28" s="22">
        <v>4.5279999999999996</v>
      </c>
      <c r="AE28" s="22">
        <v>4.2729999999999997</v>
      </c>
      <c r="AF28" s="22">
        <v>4.5439999999999996</v>
      </c>
      <c r="AG28" s="22">
        <v>4.41</v>
      </c>
      <c r="AH28" s="22">
        <f t="shared" ref="AH28:AH34" si="4">SUM(AF28:AG28)/2</f>
        <v>4.4770000000000003</v>
      </c>
      <c r="AI28" s="35"/>
      <c r="AJ28" s="35"/>
      <c r="AK28" s="35"/>
      <c r="AL28" s="35"/>
      <c r="AM28" s="35"/>
      <c r="AN28" s="35"/>
      <c r="AO28" s="35"/>
      <c r="AP28" s="3"/>
      <c r="AQ28" s="8"/>
    </row>
    <row r="29" spans="1:43">
      <c r="A29" s="1">
        <f t="shared" si="2"/>
        <v>27</v>
      </c>
      <c r="B29" s="19"/>
      <c r="C29" s="1">
        <v>9</v>
      </c>
      <c r="D29" s="4">
        <f t="shared" si="1"/>
        <v>69</v>
      </c>
      <c r="E29" s="4" t="s">
        <v>128</v>
      </c>
      <c r="F29" s="4">
        <v>1</v>
      </c>
      <c r="G29" s="4" t="s">
        <v>14</v>
      </c>
      <c r="H29" s="4" t="s">
        <v>170</v>
      </c>
      <c r="I29" s="4"/>
      <c r="J29" s="5">
        <v>92.3</v>
      </c>
      <c r="K29" s="63">
        <v>2E-3</v>
      </c>
      <c r="L29" s="38">
        <v>5.0320000000000009</v>
      </c>
      <c r="M29" s="127" t="s">
        <v>113</v>
      </c>
      <c r="N29" s="1" t="s">
        <v>13</v>
      </c>
      <c r="O29" s="36"/>
      <c r="P29" s="36"/>
      <c r="Q29" s="3"/>
      <c r="R29" s="22">
        <v>5.13</v>
      </c>
      <c r="S29" s="22">
        <v>5</v>
      </c>
      <c r="T29" s="22">
        <v>5.415</v>
      </c>
      <c r="U29" s="22">
        <v>5.1929999999999996</v>
      </c>
      <c r="V29" s="22">
        <v>5.1379999999999999</v>
      </c>
      <c r="W29" s="22">
        <v>5.0659999999999998</v>
      </c>
      <c r="X29" s="22">
        <v>5.07</v>
      </c>
      <c r="Y29" s="22">
        <v>5.056</v>
      </c>
      <c r="Z29" s="22">
        <v>5.016</v>
      </c>
      <c r="AA29" s="41"/>
      <c r="AB29" s="22">
        <v>5.3310000000000004</v>
      </c>
      <c r="AC29" s="22">
        <v>5.2370000000000001</v>
      </c>
      <c r="AD29" s="22">
        <v>5.1580000000000004</v>
      </c>
      <c r="AE29" s="22">
        <v>5.1950000000000003</v>
      </c>
      <c r="AF29" s="22">
        <v>5.0880000000000001</v>
      </c>
      <c r="AG29" s="22">
        <v>4.9109999999999996</v>
      </c>
      <c r="AH29" s="22">
        <f t="shared" si="4"/>
        <v>4.9994999999999994</v>
      </c>
      <c r="AI29" s="35"/>
      <c r="AJ29" s="35"/>
      <c r="AK29" s="35"/>
      <c r="AL29" s="35"/>
      <c r="AM29" s="35"/>
      <c r="AN29" s="35"/>
      <c r="AO29" s="35"/>
      <c r="AP29" s="3"/>
      <c r="AQ29" s="8"/>
    </row>
    <row r="30" spans="1:43">
      <c r="A30" s="1">
        <f t="shared" si="2"/>
        <v>28</v>
      </c>
      <c r="B30" s="19"/>
      <c r="C30" s="1">
        <v>9</v>
      </c>
      <c r="D30" s="4">
        <f t="shared" si="1"/>
        <v>69</v>
      </c>
      <c r="E30" s="4" t="s">
        <v>118</v>
      </c>
      <c r="F30" s="4">
        <v>1</v>
      </c>
      <c r="G30" s="4" t="s">
        <v>11</v>
      </c>
      <c r="H30" s="4" t="s">
        <v>17</v>
      </c>
      <c r="I30" s="4" t="s">
        <v>208</v>
      </c>
      <c r="J30" s="5">
        <v>89.2</v>
      </c>
      <c r="K30" s="63">
        <v>0.42699999999999999</v>
      </c>
      <c r="L30" s="38">
        <v>5.0919999999999996</v>
      </c>
      <c r="M30" s="127" t="s">
        <v>113</v>
      </c>
      <c r="N30" s="1" t="s">
        <v>13</v>
      </c>
      <c r="O30" s="36"/>
      <c r="P30" s="36"/>
      <c r="Q30" s="3"/>
      <c r="R30" s="22">
        <v>5.3609999999999998</v>
      </c>
      <c r="S30" s="22">
        <v>5.0860000000000003</v>
      </c>
      <c r="T30" s="22">
        <v>5.45</v>
      </c>
      <c r="U30" s="22">
        <v>4.9859999999999998</v>
      </c>
      <c r="V30" s="22">
        <v>5.2270000000000003</v>
      </c>
      <c r="W30" s="22">
        <v>5.1449999999999996</v>
      </c>
      <c r="X30" s="22">
        <v>5.133</v>
      </c>
      <c r="Y30" s="22">
        <v>5.1280000000000001</v>
      </c>
      <c r="Z30" s="22">
        <v>5.0839999999999996</v>
      </c>
      <c r="AA30" s="41"/>
      <c r="AB30" s="22">
        <v>5.077</v>
      </c>
      <c r="AC30" s="22">
        <v>5.1360000000000001</v>
      </c>
      <c r="AD30" s="22">
        <v>5.1210000000000004</v>
      </c>
      <c r="AE30" s="22">
        <v>4.8659999999999997</v>
      </c>
      <c r="AF30" s="22">
        <v>5.0049999999999999</v>
      </c>
      <c r="AG30" s="22">
        <v>4.9219999999999997</v>
      </c>
      <c r="AH30" s="22">
        <f t="shared" si="4"/>
        <v>4.9634999999999998</v>
      </c>
      <c r="AI30" s="35"/>
      <c r="AJ30" s="35"/>
      <c r="AK30" s="35"/>
      <c r="AL30" s="35"/>
      <c r="AM30" s="35"/>
      <c r="AN30" s="35"/>
      <c r="AO30" s="35"/>
      <c r="AP30" s="3"/>
      <c r="AQ30" s="8"/>
    </row>
    <row r="31" spans="1:43">
      <c r="A31" s="1">
        <f t="shared" si="2"/>
        <v>29</v>
      </c>
      <c r="B31" s="19"/>
      <c r="C31" s="1">
        <v>9</v>
      </c>
      <c r="D31" s="4">
        <f t="shared" si="1"/>
        <v>69</v>
      </c>
      <c r="E31" s="4" t="s">
        <v>131</v>
      </c>
      <c r="F31" s="4">
        <v>1</v>
      </c>
      <c r="G31" s="4" t="s">
        <v>14</v>
      </c>
      <c r="H31" s="4" t="s">
        <v>170</v>
      </c>
      <c r="I31" s="4"/>
      <c r="J31" s="5">
        <v>92.4</v>
      </c>
      <c r="K31" s="68"/>
      <c r="L31" s="38">
        <v>5.7829999999999995</v>
      </c>
      <c r="M31" s="127" t="s">
        <v>113</v>
      </c>
      <c r="N31" s="1" t="s">
        <v>13</v>
      </c>
      <c r="O31" s="36"/>
      <c r="P31" s="36"/>
      <c r="Q31" s="3"/>
      <c r="R31" s="22">
        <v>5.85</v>
      </c>
      <c r="S31" s="22">
        <v>5.6980000000000004</v>
      </c>
      <c r="T31" s="22">
        <v>6.1609999999999996</v>
      </c>
      <c r="U31" s="22">
        <v>5.9690000000000003</v>
      </c>
      <c r="V31" s="22">
        <v>5.8710000000000004</v>
      </c>
      <c r="W31" s="22">
        <v>5.8049999999999997</v>
      </c>
      <c r="X31" s="22">
        <v>5.8109999999999999</v>
      </c>
      <c r="Y31" s="22">
        <v>5.8</v>
      </c>
      <c r="Z31" s="22">
        <v>5.76</v>
      </c>
      <c r="AA31" s="41"/>
      <c r="AB31" s="22">
        <v>6.0330000000000004</v>
      </c>
      <c r="AC31" s="22">
        <v>5.94</v>
      </c>
      <c r="AD31" s="22">
        <v>5.859</v>
      </c>
      <c r="AE31" s="22">
        <v>5.8979999999999997</v>
      </c>
      <c r="AF31" s="22">
        <v>5.7839999999999998</v>
      </c>
      <c r="AG31" s="22">
        <v>5.6539999999999999</v>
      </c>
      <c r="AH31" s="22">
        <f t="shared" si="4"/>
        <v>5.7189999999999994</v>
      </c>
      <c r="AI31" s="35"/>
      <c r="AJ31" s="35"/>
      <c r="AK31" s="35"/>
      <c r="AL31" s="35"/>
      <c r="AM31" s="35"/>
      <c r="AN31" s="35"/>
      <c r="AO31" s="35"/>
      <c r="AP31" s="3"/>
      <c r="AQ31" s="8"/>
    </row>
    <row r="32" spans="1:43">
      <c r="A32" s="1">
        <f t="shared" si="2"/>
        <v>30</v>
      </c>
      <c r="B32" s="19"/>
      <c r="C32" s="1">
        <v>9</v>
      </c>
      <c r="D32" s="4">
        <f t="shared" si="1"/>
        <v>69</v>
      </c>
      <c r="E32" s="4" t="s">
        <v>128</v>
      </c>
      <c r="F32" s="4">
        <v>1</v>
      </c>
      <c r="G32" s="4" t="s">
        <v>14</v>
      </c>
      <c r="H32" s="4" t="s">
        <v>170</v>
      </c>
      <c r="I32" s="4"/>
      <c r="J32" s="5">
        <v>92.1</v>
      </c>
      <c r="K32" s="63" t="s">
        <v>170</v>
      </c>
      <c r="L32" s="38">
        <v>5.8269999999999991</v>
      </c>
      <c r="M32" s="127" t="s">
        <v>113</v>
      </c>
      <c r="N32" s="1" t="s">
        <v>13</v>
      </c>
      <c r="O32" s="36"/>
      <c r="P32" s="36"/>
      <c r="Q32" s="3"/>
      <c r="R32" s="22">
        <v>5.91</v>
      </c>
      <c r="S32" s="22">
        <v>5.7569999999999997</v>
      </c>
      <c r="T32" s="22">
        <v>6.2149999999999999</v>
      </c>
      <c r="U32" s="22">
        <v>6.0069999999999997</v>
      </c>
      <c r="V32" s="22">
        <v>5.923</v>
      </c>
      <c r="W32" s="22">
        <v>5.8479999999999999</v>
      </c>
      <c r="X32" s="22">
        <v>5.8550000000000004</v>
      </c>
      <c r="Y32" s="22">
        <v>5.8479999999999999</v>
      </c>
      <c r="Z32" s="22">
        <v>5.8049999999999997</v>
      </c>
      <c r="AA32" s="41"/>
      <c r="AB32" s="22">
        <v>6.0629999999999997</v>
      </c>
      <c r="AC32" s="22">
        <v>5.9770000000000003</v>
      </c>
      <c r="AD32" s="22">
        <v>5.9039999999999999</v>
      </c>
      <c r="AE32" s="22">
        <v>5.9260000000000002</v>
      </c>
      <c r="AF32" s="22">
        <v>5.8330000000000002</v>
      </c>
      <c r="AG32" s="22">
        <v>5.7060000000000004</v>
      </c>
      <c r="AH32" s="22">
        <f t="shared" si="4"/>
        <v>5.7695000000000007</v>
      </c>
      <c r="AI32" s="35"/>
      <c r="AJ32" s="35"/>
      <c r="AK32" s="35"/>
      <c r="AL32" s="35"/>
      <c r="AM32" s="35"/>
      <c r="AN32" s="35"/>
      <c r="AO32" s="35"/>
      <c r="AP32" s="3"/>
      <c r="AQ32" s="8"/>
    </row>
    <row r="33" spans="1:43">
      <c r="A33" s="1">
        <f t="shared" si="2"/>
        <v>31</v>
      </c>
      <c r="B33" s="19"/>
      <c r="C33" s="1">
        <v>9</v>
      </c>
      <c r="D33" s="4">
        <f t="shared" si="1"/>
        <v>69</v>
      </c>
      <c r="E33" s="4" t="s">
        <v>143</v>
      </c>
      <c r="F33" s="4">
        <v>3</v>
      </c>
      <c r="G33" s="4" t="s">
        <v>11</v>
      </c>
      <c r="H33" s="4" t="s">
        <v>17</v>
      </c>
      <c r="I33" s="4"/>
      <c r="J33" s="5">
        <v>97.6</v>
      </c>
      <c r="K33" s="68"/>
      <c r="L33" s="45">
        <v>3.6349999999999998</v>
      </c>
      <c r="M33" s="127" t="s">
        <v>158</v>
      </c>
      <c r="N33" s="10" t="s">
        <v>111</v>
      </c>
      <c r="O33" s="36"/>
      <c r="P33" s="36"/>
      <c r="Q33" s="3"/>
      <c r="R33" s="22">
        <v>4.0640000000000001</v>
      </c>
      <c r="S33" s="22">
        <v>3.8029999999999999</v>
      </c>
      <c r="T33" s="22">
        <v>3.968</v>
      </c>
      <c r="U33" s="22">
        <v>3.3570000000000002</v>
      </c>
      <c r="V33" s="22">
        <v>3.5739999999999998</v>
      </c>
      <c r="W33" s="41"/>
      <c r="X33" s="41"/>
      <c r="Y33" s="41"/>
      <c r="Z33" s="41"/>
      <c r="AA33" s="41"/>
      <c r="AB33" s="22">
        <v>3.8490000000000002</v>
      </c>
      <c r="AC33" s="22">
        <v>3.8540000000000001</v>
      </c>
      <c r="AD33" s="22">
        <v>3.8380000000000001</v>
      </c>
      <c r="AE33" s="22">
        <v>3.6850000000000001</v>
      </c>
      <c r="AF33" s="22">
        <v>3.7810000000000001</v>
      </c>
      <c r="AG33" s="22">
        <v>3.3820000000000001</v>
      </c>
      <c r="AH33" s="22">
        <f t="shared" si="4"/>
        <v>3.5815000000000001</v>
      </c>
      <c r="AI33" s="35"/>
      <c r="AJ33" s="35"/>
      <c r="AK33" s="35"/>
      <c r="AL33" s="35"/>
      <c r="AM33" s="35"/>
      <c r="AN33" s="35"/>
      <c r="AO33" s="35"/>
      <c r="AP33" s="3"/>
      <c r="AQ33" s="8"/>
    </row>
    <row r="34" spans="1:43">
      <c r="A34" s="1">
        <f t="shared" si="2"/>
        <v>32</v>
      </c>
      <c r="B34" s="19"/>
      <c r="C34" s="1">
        <v>9</v>
      </c>
      <c r="D34" s="4">
        <f t="shared" si="1"/>
        <v>69</v>
      </c>
      <c r="E34" s="4" t="s">
        <v>142</v>
      </c>
      <c r="F34" s="4">
        <v>3</v>
      </c>
      <c r="G34" s="4" t="s">
        <v>11</v>
      </c>
      <c r="H34" s="4" t="s">
        <v>17</v>
      </c>
      <c r="I34" s="4"/>
      <c r="J34" s="5">
        <v>97</v>
      </c>
      <c r="K34" s="68"/>
      <c r="L34" s="45">
        <v>4.1260000000000003</v>
      </c>
      <c r="M34" s="127" t="s">
        <v>158</v>
      </c>
      <c r="N34" s="10" t="s">
        <v>111</v>
      </c>
      <c r="O34" s="36"/>
      <c r="P34" s="36"/>
      <c r="Q34" s="3"/>
      <c r="R34" s="22">
        <v>4.4269999999999996</v>
      </c>
      <c r="S34" s="22">
        <v>4.2380000000000004</v>
      </c>
      <c r="T34" s="22">
        <v>4.4800000000000004</v>
      </c>
      <c r="U34" s="22">
        <v>4.0110000000000001</v>
      </c>
      <c r="V34" s="22">
        <v>4.2160000000000002</v>
      </c>
      <c r="W34" s="43"/>
      <c r="X34" s="43"/>
      <c r="Y34" s="43"/>
      <c r="Z34" s="41"/>
      <c r="AA34" s="41"/>
      <c r="AB34" s="22">
        <v>4.3360000000000003</v>
      </c>
      <c r="AC34" s="22">
        <v>4.3380000000000001</v>
      </c>
      <c r="AD34" s="22">
        <v>4.3070000000000004</v>
      </c>
      <c r="AE34" s="22">
        <v>4.1550000000000002</v>
      </c>
      <c r="AF34" s="22">
        <v>4.2270000000000003</v>
      </c>
      <c r="AG34" s="22">
        <v>3.927</v>
      </c>
      <c r="AH34" s="22">
        <f t="shared" si="4"/>
        <v>4.077</v>
      </c>
      <c r="AI34" s="35"/>
      <c r="AJ34" s="35"/>
      <c r="AK34" s="35"/>
      <c r="AL34" s="35"/>
      <c r="AM34" s="35"/>
      <c r="AN34" s="35"/>
      <c r="AO34" s="35"/>
      <c r="AP34" s="3"/>
      <c r="AQ34" s="8"/>
    </row>
    <row r="35" spans="1:43">
      <c r="A35" s="1">
        <f t="shared" si="2"/>
        <v>33</v>
      </c>
      <c r="B35" s="31" t="s">
        <v>71</v>
      </c>
      <c r="C35" s="1">
        <v>1</v>
      </c>
      <c r="D35" s="4">
        <f t="shared" si="1"/>
        <v>12</v>
      </c>
      <c r="E35" s="4" t="s">
        <v>118</v>
      </c>
      <c r="F35" s="4">
        <v>1</v>
      </c>
      <c r="G35" s="4" t="s">
        <v>14</v>
      </c>
      <c r="H35" s="4" t="s">
        <v>15</v>
      </c>
      <c r="I35" s="4"/>
      <c r="J35" s="5">
        <v>93.5</v>
      </c>
      <c r="K35" s="63">
        <v>8.5999999999999993E-2</v>
      </c>
      <c r="L35" s="38">
        <v>6.588000000000001</v>
      </c>
      <c r="M35" s="127" t="s">
        <v>204</v>
      </c>
      <c r="N35" s="4" t="s">
        <v>13</v>
      </c>
      <c r="O35" s="6">
        <v>6.6270000000000007</v>
      </c>
      <c r="P35" s="4" t="s">
        <v>184</v>
      </c>
      <c r="Q35" s="3" t="s">
        <v>205</v>
      </c>
      <c r="R35" s="22">
        <v>6.3730000000000002</v>
      </c>
      <c r="S35" s="6">
        <v>6.3869999999999996</v>
      </c>
      <c r="T35" s="6">
        <v>6.5720000000000001</v>
      </c>
      <c r="U35" s="22">
        <v>6.55</v>
      </c>
      <c r="V35" s="22">
        <v>6.6</v>
      </c>
      <c r="W35" s="22">
        <v>6.57</v>
      </c>
      <c r="X35" s="22">
        <v>6.5720000000000001</v>
      </c>
      <c r="Y35" s="22">
        <v>6.58</v>
      </c>
      <c r="Z35" s="22">
        <v>6.5730000000000004</v>
      </c>
      <c r="AA35" s="22">
        <v>6.5709999999999997</v>
      </c>
      <c r="AB35" s="6">
        <v>6.56</v>
      </c>
      <c r="AC35" s="6">
        <v>6.5419999999999998</v>
      </c>
      <c r="AD35" s="6">
        <v>6.49</v>
      </c>
      <c r="AE35" s="6">
        <v>6.4219999999999997</v>
      </c>
      <c r="AF35" s="6">
        <v>6.4050000000000002</v>
      </c>
      <c r="AG35" s="6">
        <v>6.6269999999999998</v>
      </c>
      <c r="AH35" s="6">
        <f t="shared" si="3"/>
        <v>6.516</v>
      </c>
      <c r="AI35" s="35"/>
      <c r="AJ35" s="35"/>
      <c r="AK35" s="35"/>
      <c r="AL35" s="35"/>
      <c r="AM35" s="35"/>
      <c r="AN35" s="35"/>
      <c r="AO35" s="35"/>
      <c r="AP35" s="3"/>
      <c r="AQ35" s="8"/>
    </row>
    <row r="36" spans="1:43">
      <c r="A36" s="1">
        <f t="shared" si="2"/>
        <v>34</v>
      </c>
      <c r="B36" s="31"/>
      <c r="C36" s="1">
        <v>1</v>
      </c>
      <c r="D36" s="4">
        <f t="shared" si="1"/>
        <v>12</v>
      </c>
      <c r="E36" s="4" t="s">
        <v>231</v>
      </c>
      <c r="F36" s="4">
        <v>1</v>
      </c>
      <c r="G36" s="4" t="s">
        <v>14</v>
      </c>
      <c r="H36" s="4" t="s">
        <v>16</v>
      </c>
      <c r="I36" s="4"/>
      <c r="J36" s="5">
        <v>93.7</v>
      </c>
      <c r="K36" s="63">
        <v>6.0000000000000001E-3</v>
      </c>
      <c r="L36" s="38">
        <v>8.1629999999999967</v>
      </c>
      <c r="M36" s="127" t="s">
        <v>204</v>
      </c>
      <c r="N36" s="4" t="s">
        <v>13</v>
      </c>
      <c r="O36" s="6">
        <v>8.1899999999999977</v>
      </c>
      <c r="P36" s="4" t="s">
        <v>184</v>
      </c>
      <c r="Q36" s="3" t="s">
        <v>205</v>
      </c>
      <c r="R36" s="22">
        <v>7.8559999999999999</v>
      </c>
      <c r="S36" s="6">
        <v>7.8479999999999999</v>
      </c>
      <c r="T36" s="6">
        <v>8.1370000000000005</v>
      </c>
      <c r="U36" s="22">
        <v>8.1449999999999996</v>
      </c>
      <c r="V36" s="22">
        <v>8.1479999999999997</v>
      </c>
      <c r="W36" s="22">
        <v>8.1419999999999995</v>
      </c>
      <c r="X36" s="22">
        <v>8.1449999999999996</v>
      </c>
      <c r="Y36" s="22">
        <v>8.15</v>
      </c>
      <c r="Z36" s="22">
        <v>8.1460000000000008</v>
      </c>
      <c r="AA36" s="22">
        <v>8.1430000000000007</v>
      </c>
      <c r="AB36" s="6">
        <v>8.0660000000000007</v>
      </c>
      <c r="AC36" s="6">
        <v>8.0459999999999994</v>
      </c>
      <c r="AD36" s="6">
        <v>7.9790000000000001</v>
      </c>
      <c r="AE36" s="6">
        <v>7.9329999999999998</v>
      </c>
      <c r="AF36" s="6">
        <v>7.867</v>
      </c>
      <c r="AG36" s="6">
        <v>8.2110000000000003</v>
      </c>
      <c r="AH36" s="6">
        <f t="shared" si="3"/>
        <v>8.0389999999999997</v>
      </c>
      <c r="AI36" s="35"/>
      <c r="AJ36" s="35"/>
      <c r="AK36" s="35"/>
      <c r="AL36" s="35"/>
      <c r="AM36" s="35"/>
      <c r="AN36" s="35"/>
      <c r="AO36" s="35"/>
      <c r="AP36" s="3"/>
      <c r="AQ36" s="8"/>
    </row>
    <row r="37" spans="1:43">
      <c r="A37" s="1">
        <f t="shared" si="2"/>
        <v>35</v>
      </c>
      <c r="B37" s="31"/>
      <c r="C37" s="1">
        <v>1</v>
      </c>
      <c r="D37" s="4">
        <f t="shared" si="1"/>
        <v>12</v>
      </c>
      <c r="E37" s="4" t="s">
        <v>118</v>
      </c>
      <c r="F37" s="4">
        <v>1</v>
      </c>
      <c r="G37" s="4" t="s">
        <v>14</v>
      </c>
      <c r="H37" s="4" t="s">
        <v>16</v>
      </c>
      <c r="I37" s="4"/>
      <c r="J37" s="5">
        <v>94</v>
      </c>
      <c r="K37" s="63">
        <v>3.0000000000000001E-3</v>
      </c>
      <c r="L37" s="38">
        <v>9.3339999999999996</v>
      </c>
      <c r="M37" s="127" t="s">
        <v>204</v>
      </c>
      <c r="N37" s="4" t="s">
        <v>13</v>
      </c>
      <c r="O37" s="6">
        <v>9.1199999999999974</v>
      </c>
      <c r="P37" s="4" t="s">
        <v>184</v>
      </c>
      <c r="Q37" s="3" t="s">
        <v>205</v>
      </c>
      <c r="R37" s="22">
        <v>9.0350000000000001</v>
      </c>
      <c r="S37" s="6">
        <v>9.0510000000000002</v>
      </c>
      <c r="T37" s="6">
        <v>9.3089999999999993</v>
      </c>
      <c r="U37" s="22">
        <v>9.3339999999999996</v>
      </c>
      <c r="V37" s="22">
        <v>9.3339999999999996</v>
      </c>
      <c r="W37" s="22">
        <v>9.3179999999999996</v>
      </c>
      <c r="X37" s="22">
        <v>9.3170000000000002</v>
      </c>
      <c r="Y37" s="22">
        <v>9.3230000000000004</v>
      </c>
      <c r="Z37" s="22">
        <v>9.3179999999999996</v>
      </c>
      <c r="AA37" s="22">
        <v>9.3140000000000001</v>
      </c>
      <c r="AB37" s="6">
        <v>9.1859999999999999</v>
      </c>
      <c r="AC37" s="6">
        <v>9.1780000000000008</v>
      </c>
      <c r="AD37" s="6">
        <v>9.1349999999999998</v>
      </c>
      <c r="AE37" s="6">
        <v>9.0530000000000008</v>
      </c>
      <c r="AF37" s="6">
        <v>9.0519999999999996</v>
      </c>
      <c r="AG37" s="6">
        <v>9.3819999999999997</v>
      </c>
      <c r="AH37" s="6">
        <f t="shared" si="3"/>
        <v>9.2169999999999987</v>
      </c>
      <c r="AI37" s="35"/>
      <c r="AJ37" s="35"/>
      <c r="AK37" s="35"/>
      <c r="AL37" s="35"/>
      <c r="AM37" s="35"/>
      <c r="AN37" s="35"/>
      <c r="AO37" s="35"/>
      <c r="AP37" s="3"/>
      <c r="AQ37" s="8"/>
    </row>
    <row r="38" spans="1:43">
      <c r="A38" s="1">
        <f t="shared" si="2"/>
        <v>36</v>
      </c>
      <c r="B38" s="31"/>
      <c r="C38" s="1">
        <v>1</v>
      </c>
      <c r="D38" s="4">
        <f t="shared" si="1"/>
        <v>12</v>
      </c>
      <c r="E38" s="4" t="s">
        <v>118</v>
      </c>
      <c r="F38" s="4">
        <v>1</v>
      </c>
      <c r="G38" s="4" t="s">
        <v>14</v>
      </c>
      <c r="H38" s="4" t="s">
        <v>192</v>
      </c>
      <c r="I38" s="4"/>
      <c r="J38" s="5">
        <v>93.6</v>
      </c>
      <c r="K38" s="63">
        <v>8.0000000000000002E-3</v>
      </c>
      <c r="L38" s="38">
        <v>9.9590000000000014</v>
      </c>
      <c r="M38" s="127" t="s">
        <v>204</v>
      </c>
      <c r="N38" s="4" t="s">
        <v>13</v>
      </c>
      <c r="O38" s="6">
        <v>9.7899999999999991</v>
      </c>
      <c r="P38" s="4" t="s">
        <v>184</v>
      </c>
      <c r="Q38" s="3" t="s">
        <v>205</v>
      </c>
      <c r="R38" s="22">
        <v>9.5920000000000005</v>
      </c>
      <c r="S38" s="6">
        <v>9.6539999999999999</v>
      </c>
      <c r="T38" s="6">
        <v>9.9320000000000004</v>
      </c>
      <c r="U38" s="22">
        <v>9.9909999999999997</v>
      </c>
      <c r="V38" s="22">
        <v>9.9529999999999994</v>
      </c>
      <c r="W38" s="22">
        <v>9.94</v>
      </c>
      <c r="X38" s="22">
        <v>9.9440000000000008</v>
      </c>
      <c r="Y38" s="22">
        <v>9.9499999999999993</v>
      </c>
      <c r="Z38" s="22">
        <v>9.9450000000000003</v>
      </c>
      <c r="AA38" s="22">
        <v>9.9390000000000001</v>
      </c>
      <c r="AB38" s="6">
        <v>9.85</v>
      </c>
      <c r="AC38" s="6">
        <v>9.8309999999999995</v>
      </c>
      <c r="AD38" s="6">
        <v>9.7710000000000008</v>
      </c>
      <c r="AE38" s="6">
        <v>9.7140000000000004</v>
      </c>
      <c r="AF38" s="6">
        <v>9.6739999999999995</v>
      </c>
      <c r="AG38" s="6">
        <v>10.01</v>
      </c>
      <c r="AH38" s="6">
        <f t="shared" si="3"/>
        <v>9.8419999999999987</v>
      </c>
      <c r="AI38" s="35"/>
      <c r="AJ38" s="35"/>
      <c r="AK38" s="35"/>
      <c r="AL38" s="35"/>
      <c r="AM38" s="35"/>
      <c r="AN38" s="35"/>
      <c r="AO38" s="35"/>
      <c r="AP38" s="3"/>
      <c r="AQ38" s="8"/>
    </row>
    <row r="39" spans="1:43">
      <c r="A39" s="1">
        <f t="shared" si="2"/>
        <v>37</v>
      </c>
      <c r="B39" s="31"/>
      <c r="C39" s="1">
        <v>1</v>
      </c>
      <c r="D39" s="4">
        <f t="shared" si="1"/>
        <v>12</v>
      </c>
      <c r="E39" s="4" t="s">
        <v>143</v>
      </c>
      <c r="F39" s="4">
        <v>3</v>
      </c>
      <c r="G39" s="4" t="s">
        <v>14</v>
      </c>
      <c r="H39" s="4" t="s">
        <v>15</v>
      </c>
      <c r="I39" s="4"/>
      <c r="J39" s="5">
        <v>98.2</v>
      </c>
      <c r="K39" s="68"/>
      <c r="L39" s="38">
        <v>6.3090000000000002</v>
      </c>
      <c r="M39" s="127" t="s">
        <v>103</v>
      </c>
      <c r="N39" s="4" t="s">
        <v>13</v>
      </c>
      <c r="O39" s="6">
        <v>6.3490000000000002</v>
      </c>
      <c r="P39" s="4" t="s">
        <v>184</v>
      </c>
      <c r="Q39" s="3" t="s">
        <v>205</v>
      </c>
      <c r="R39" s="22">
        <v>6.1840000000000002</v>
      </c>
      <c r="S39" s="6">
        <v>6.1379999999999999</v>
      </c>
      <c r="T39" s="6">
        <v>6.2750000000000004</v>
      </c>
      <c r="U39" s="6">
        <v>6.3550000000000004</v>
      </c>
      <c r="V39" s="22">
        <v>6.3</v>
      </c>
      <c r="W39" s="60"/>
      <c r="X39" s="60"/>
      <c r="Y39" s="60"/>
      <c r="Z39" s="22">
        <v>6.2919999999999998</v>
      </c>
      <c r="AA39" s="22">
        <v>6.29</v>
      </c>
      <c r="AB39" s="6">
        <v>6.3559999999999999</v>
      </c>
      <c r="AC39" s="6">
        <v>6.3369999999999997</v>
      </c>
      <c r="AD39" s="6">
        <v>6.27</v>
      </c>
      <c r="AE39" s="6">
        <v>6.23</v>
      </c>
      <c r="AF39" s="6">
        <v>6.1589999999999998</v>
      </c>
      <c r="AG39" s="6">
        <v>6.3120000000000003</v>
      </c>
      <c r="AH39" s="6">
        <f t="shared" si="3"/>
        <v>6.2355</v>
      </c>
      <c r="AI39" s="35"/>
      <c r="AJ39" s="35"/>
      <c r="AK39" s="35"/>
      <c r="AL39" s="35"/>
      <c r="AM39" s="35"/>
      <c r="AN39" s="35"/>
      <c r="AO39" s="35"/>
      <c r="AP39" s="3"/>
      <c r="AQ39" s="8"/>
    </row>
    <row r="40" spans="1:43">
      <c r="A40" s="1">
        <f t="shared" si="2"/>
        <v>38</v>
      </c>
      <c r="B40" s="31" t="s">
        <v>206</v>
      </c>
      <c r="C40" s="1">
        <v>7</v>
      </c>
      <c r="D40" s="4">
        <f t="shared" si="1"/>
        <v>69</v>
      </c>
      <c r="E40" s="4" t="s">
        <v>137</v>
      </c>
      <c r="F40" s="4">
        <v>1</v>
      </c>
      <c r="G40" s="4" t="s">
        <v>11</v>
      </c>
      <c r="H40" s="4" t="s">
        <v>17</v>
      </c>
      <c r="I40" s="4"/>
      <c r="J40" s="12">
        <v>87.3</v>
      </c>
      <c r="K40" s="63">
        <v>2.9000000000000001E-2</v>
      </c>
      <c r="L40" s="38">
        <v>4.4859999999999998</v>
      </c>
      <c r="M40" s="127" t="s">
        <v>339</v>
      </c>
      <c r="N40" s="4" t="s">
        <v>13</v>
      </c>
      <c r="O40" s="36"/>
      <c r="P40" s="36"/>
      <c r="Q40" s="3"/>
      <c r="R40" s="22">
        <v>4.7039999999999997</v>
      </c>
      <c r="S40" s="22">
        <v>4.6029999999999998</v>
      </c>
      <c r="T40" s="22">
        <v>4.8959999999999999</v>
      </c>
      <c r="U40" s="22">
        <v>4.4420000000000002</v>
      </c>
      <c r="V40" s="40">
        <v>4.665</v>
      </c>
      <c r="W40" s="22">
        <v>4.569</v>
      </c>
      <c r="X40" s="22">
        <v>4.5709999999999997</v>
      </c>
      <c r="Y40" s="22">
        <v>4.5529999999999999</v>
      </c>
      <c r="Z40" s="22">
        <v>4.5129999999999999</v>
      </c>
      <c r="AA40" s="41"/>
      <c r="AB40" s="22">
        <v>4.53</v>
      </c>
      <c r="AC40" s="22">
        <v>4.53</v>
      </c>
      <c r="AD40" s="22">
        <v>4.5599999999999996</v>
      </c>
      <c r="AE40" s="22">
        <v>4.3120000000000003</v>
      </c>
      <c r="AF40" s="22">
        <v>4.593</v>
      </c>
      <c r="AG40" s="22">
        <v>4.4790000000000001</v>
      </c>
      <c r="AH40" s="22">
        <f t="shared" ref="AH40:AH49" si="5">SUM(AF40:AG40)/2</f>
        <v>4.5359999999999996</v>
      </c>
      <c r="AI40" s="35"/>
      <c r="AJ40" s="35"/>
      <c r="AK40" s="35"/>
      <c r="AL40" s="35"/>
      <c r="AM40" s="35"/>
      <c r="AN40" s="35"/>
      <c r="AO40" s="35"/>
      <c r="AP40" s="3"/>
      <c r="AQ40" s="8"/>
    </row>
    <row r="41" spans="1:43">
      <c r="A41" s="1">
        <f t="shared" si="2"/>
        <v>39</v>
      </c>
      <c r="B41" s="31"/>
      <c r="C41" s="1">
        <v>7</v>
      </c>
      <c r="D41" s="4">
        <f t="shared" si="1"/>
        <v>69</v>
      </c>
      <c r="E41" s="4" t="s">
        <v>128</v>
      </c>
      <c r="F41" s="4">
        <v>1</v>
      </c>
      <c r="G41" s="4" t="s">
        <v>14</v>
      </c>
      <c r="H41" s="4" t="s">
        <v>170</v>
      </c>
      <c r="I41" s="4"/>
      <c r="J41" s="12">
        <v>92.6</v>
      </c>
      <c r="K41" s="63">
        <v>4.0000000000000001E-3</v>
      </c>
      <c r="L41" s="38">
        <v>4.7140000000000004</v>
      </c>
      <c r="M41" s="127" t="s">
        <v>339</v>
      </c>
      <c r="N41" s="4" t="s">
        <v>13</v>
      </c>
      <c r="O41" s="36"/>
      <c r="P41" s="36"/>
      <c r="Q41" s="3"/>
      <c r="R41" s="22">
        <v>4.7699999999999996</v>
      </c>
      <c r="S41" s="22">
        <v>4.6539999999999999</v>
      </c>
      <c r="T41" s="22">
        <v>5.0190000000000001</v>
      </c>
      <c r="U41" s="22">
        <v>4.7889999999999997</v>
      </c>
      <c r="V41" s="40">
        <v>4.8010000000000002</v>
      </c>
      <c r="W41" s="22">
        <v>4.758</v>
      </c>
      <c r="X41" s="22">
        <v>4.7619999999999996</v>
      </c>
      <c r="Y41" s="22">
        <v>4.7510000000000003</v>
      </c>
      <c r="Z41" s="22">
        <v>4.7249999999999996</v>
      </c>
      <c r="AA41" s="41"/>
      <c r="AB41" s="22">
        <v>4.9329999999999998</v>
      </c>
      <c r="AC41" s="22">
        <v>4.8730000000000002</v>
      </c>
      <c r="AD41" s="22">
        <v>4.8</v>
      </c>
      <c r="AE41" s="22">
        <v>4.8019999999999996</v>
      </c>
      <c r="AF41" s="22">
        <v>4.7119999999999997</v>
      </c>
      <c r="AG41" s="22">
        <v>4.6520000000000001</v>
      </c>
      <c r="AH41" s="22">
        <f t="shared" si="5"/>
        <v>4.6820000000000004</v>
      </c>
      <c r="AI41" s="35"/>
      <c r="AJ41" s="35"/>
      <c r="AK41" s="35"/>
      <c r="AL41" s="35"/>
      <c r="AM41" s="35"/>
      <c r="AN41" s="35"/>
      <c r="AO41" s="35"/>
      <c r="AP41" s="3"/>
      <c r="AQ41" s="8"/>
    </row>
    <row r="42" spans="1:43">
      <c r="A42" s="1">
        <f t="shared" si="2"/>
        <v>40</v>
      </c>
      <c r="B42" s="31"/>
      <c r="C42" s="1">
        <v>7</v>
      </c>
      <c r="D42" s="4">
        <f t="shared" si="1"/>
        <v>69</v>
      </c>
      <c r="E42" s="4" t="s">
        <v>128</v>
      </c>
      <c r="F42" s="4">
        <v>1</v>
      </c>
      <c r="G42" s="4" t="s">
        <v>14</v>
      </c>
      <c r="H42" s="4" t="s">
        <v>170</v>
      </c>
      <c r="I42" s="4"/>
      <c r="J42" s="12">
        <v>92.4</v>
      </c>
      <c r="K42" s="63">
        <v>0</v>
      </c>
      <c r="L42" s="38">
        <v>5.4119999999999999</v>
      </c>
      <c r="M42" s="127" t="s">
        <v>339</v>
      </c>
      <c r="N42" s="4" t="s">
        <v>13</v>
      </c>
      <c r="O42" s="36"/>
      <c r="P42" s="36"/>
      <c r="Q42" s="3"/>
      <c r="R42" s="22">
        <v>5.4459999999999997</v>
      </c>
      <c r="S42" s="22">
        <v>5.2949999999999999</v>
      </c>
      <c r="T42" s="22">
        <v>5.7160000000000002</v>
      </c>
      <c r="U42" s="22">
        <v>5.5019999999999998</v>
      </c>
      <c r="V42" s="40">
        <v>5.4870000000000001</v>
      </c>
      <c r="W42" s="22">
        <v>5.4429999999999996</v>
      </c>
      <c r="X42" s="22">
        <v>5.45</v>
      </c>
      <c r="Y42" s="22">
        <v>5.4429999999999996</v>
      </c>
      <c r="Z42" s="22">
        <v>5.4139999999999997</v>
      </c>
      <c r="AA42" s="41"/>
      <c r="AB42" s="22">
        <v>5.5519999999999996</v>
      </c>
      <c r="AC42" s="22">
        <v>5.4969999999999999</v>
      </c>
      <c r="AD42" s="22">
        <v>5.431</v>
      </c>
      <c r="AE42" s="22">
        <v>5.4210000000000003</v>
      </c>
      <c r="AF42" s="22">
        <v>5.3440000000000003</v>
      </c>
      <c r="AG42" s="22">
        <v>5.343</v>
      </c>
      <c r="AH42" s="22">
        <f t="shared" si="5"/>
        <v>5.3435000000000006</v>
      </c>
      <c r="AI42" s="35"/>
      <c r="AJ42" s="35"/>
      <c r="AK42" s="35"/>
      <c r="AL42" s="35"/>
      <c r="AM42" s="35"/>
      <c r="AN42" s="35"/>
      <c r="AO42" s="35"/>
      <c r="AP42" s="3"/>
      <c r="AQ42" s="8"/>
    </row>
    <row r="43" spans="1:43">
      <c r="A43" s="1">
        <f t="shared" si="2"/>
        <v>41</v>
      </c>
      <c r="B43" s="31"/>
      <c r="C43" s="1">
        <v>7</v>
      </c>
      <c r="D43" s="4">
        <f t="shared" si="1"/>
        <v>69</v>
      </c>
      <c r="E43" s="4" t="s">
        <v>131</v>
      </c>
      <c r="F43" s="4">
        <v>1</v>
      </c>
      <c r="G43" s="4" t="s">
        <v>14</v>
      </c>
      <c r="H43" s="4" t="s">
        <v>170</v>
      </c>
      <c r="I43" s="4"/>
      <c r="J43" s="12">
        <v>92.7</v>
      </c>
      <c r="K43" s="68"/>
      <c r="L43" s="38">
        <v>5.4329999999999998</v>
      </c>
      <c r="M43" s="127" t="s">
        <v>339</v>
      </c>
      <c r="N43" s="4" t="s">
        <v>13</v>
      </c>
      <c r="O43" s="36"/>
      <c r="P43" s="36"/>
      <c r="Q43" s="3"/>
      <c r="R43" s="22">
        <v>5.4470000000000001</v>
      </c>
      <c r="S43" s="22">
        <v>5.3179999999999996</v>
      </c>
      <c r="T43" s="22">
        <v>5.73</v>
      </c>
      <c r="U43" s="22">
        <v>5.5739999999999998</v>
      </c>
      <c r="V43" s="40">
        <v>5.5019999999999998</v>
      </c>
      <c r="W43" s="22">
        <v>5.4669999999999996</v>
      </c>
      <c r="X43" s="22">
        <v>5.4729999999999999</v>
      </c>
      <c r="Y43" s="22">
        <v>5.4640000000000004</v>
      </c>
      <c r="Z43" s="22">
        <v>5.4379999999999997</v>
      </c>
      <c r="AA43" s="41"/>
      <c r="AB43" s="22">
        <v>5.5979999999999999</v>
      </c>
      <c r="AC43" s="22">
        <v>5.5389999999999997</v>
      </c>
      <c r="AD43" s="22">
        <v>5.4649999999999999</v>
      </c>
      <c r="AE43" s="22">
        <v>5.468</v>
      </c>
      <c r="AF43" s="22">
        <v>5.3719999999999999</v>
      </c>
      <c r="AG43" s="22">
        <v>5.3650000000000002</v>
      </c>
      <c r="AH43" s="22">
        <f t="shared" si="5"/>
        <v>5.3685</v>
      </c>
      <c r="AI43" s="35"/>
      <c r="AJ43" s="35"/>
      <c r="AK43" s="35"/>
      <c r="AL43" s="35"/>
      <c r="AM43" s="35"/>
      <c r="AN43" s="35"/>
      <c r="AO43" s="35"/>
      <c r="AP43" s="3"/>
      <c r="AQ43" s="8"/>
    </row>
    <row r="44" spans="1:43">
      <c r="A44" s="1">
        <f t="shared" si="2"/>
        <v>42</v>
      </c>
      <c r="B44" s="31"/>
      <c r="C44" s="1">
        <v>7</v>
      </c>
      <c r="D44" s="4">
        <f t="shared" si="1"/>
        <v>69</v>
      </c>
      <c r="E44" s="4" t="s">
        <v>118</v>
      </c>
      <c r="F44" s="4">
        <v>1</v>
      </c>
      <c r="G44" s="4" t="s">
        <v>207</v>
      </c>
      <c r="H44" s="4" t="s">
        <v>170</v>
      </c>
      <c r="I44" s="4"/>
      <c r="J44" s="12">
        <v>91</v>
      </c>
      <c r="K44" s="63">
        <v>0.17699999999999999</v>
      </c>
      <c r="L44" s="38">
        <v>5.4939999999999998</v>
      </c>
      <c r="M44" s="127" t="s">
        <v>339</v>
      </c>
      <c r="N44" s="4" t="s">
        <v>13</v>
      </c>
      <c r="O44" s="36"/>
      <c r="P44" s="36"/>
      <c r="Q44" s="3"/>
      <c r="R44" s="22">
        <v>5.7560000000000002</v>
      </c>
      <c r="S44" s="22">
        <v>5.4749999999999996</v>
      </c>
      <c r="T44" s="22">
        <v>5.774</v>
      </c>
      <c r="U44" s="22">
        <v>5.5919999999999996</v>
      </c>
      <c r="V44" s="40">
        <v>5.5970000000000004</v>
      </c>
      <c r="W44" s="22">
        <v>5.54</v>
      </c>
      <c r="X44" s="22">
        <v>5.5309999999999997</v>
      </c>
      <c r="Y44" s="22">
        <v>5.5270000000000001</v>
      </c>
      <c r="Z44" s="22">
        <v>5.4969999999999999</v>
      </c>
      <c r="AA44" s="41"/>
      <c r="AB44" s="22">
        <v>5.4960000000000004</v>
      </c>
      <c r="AC44" s="22">
        <v>5.5209999999999999</v>
      </c>
      <c r="AD44" s="22">
        <v>5.5090000000000003</v>
      </c>
      <c r="AE44" s="22">
        <v>5.3109999999999999</v>
      </c>
      <c r="AF44" s="22">
        <v>5.4420000000000002</v>
      </c>
      <c r="AG44" s="22">
        <v>5.3929999999999998</v>
      </c>
      <c r="AH44" s="22">
        <f t="shared" si="5"/>
        <v>5.4175000000000004</v>
      </c>
      <c r="AI44" s="35"/>
      <c r="AJ44" s="35"/>
      <c r="AK44" s="35"/>
      <c r="AL44" s="35"/>
      <c r="AM44" s="35"/>
      <c r="AN44" s="35"/>
      <c r="AO44" s="35"/>
      <c r="AP44" s="3"/>
      <c r="AQ44" s="8"/>
    </row>
    <row r="45" spans="1:43">
      <c r="A45" s="1">
        <f t="shared" si="2"/>
        <v>43</v>
      </c>
      <c r="B45" s="31"/>
      <c r="C45" s="1">
        <v>7</v>
      </c>
      <c r="D45" s="4">
        <f t="shared" si="1"/>
        <v>69</v>
      </c>
      <c r="E45" s="4" t="s">
        <v>143</v>
      </c>
      <c r="F45" s="4">
        <v>3</v>
      </c>
      <c r="G45" s="4" t="s">
        <v>11</v>
      </c>
      <c r="H45" s="4" t="s">
        <v>17</v>
      </c>
      <c r="I45" s="4"/>
      <c r="J45" s="12">
        <v>98.1</v>
      </c>
      <c r="K45" s="68"/>
      <c r="L45" s="38">
        <v>3.9509999999999996</v>
      </c>
      <c r="M45" s="127" t="s">
        <v>113</v>
      </c>
      <c r="N45" s="4" t="s">
        <v>13</v>
      </c>
      <c r="O45" s="36"/>
      <c r="P45" s="36"/>
      <c r="Q45" s="3"/>
      <c r="R45" s="22">
        <v>4.3280000000000003</v>
      </c>
      <c r="S45" s="22">
        <v>4.1260000000000003</v>
      </c>
      <c r="T45" s="22">
        <v>4.194</v>
      </c>
      <c r="U45" s="22">
        <v>3.6669999999999998</v>
      </c>
      <c r="V45" s="40">
        <v>3.85</v>
      </c>
      <c r="W45" s="41"/>
      <c r="X45" s="41"/>
      <c r="Y45" s="41"/>
      <c r="Z45" s="22">
        <v>3.9710000000000001</v>
      </c>
      <c r="AA45" s="41"/>
      <c r="AB45" s="22">
        <v>4.1440000000000001</v>
      </c>
      <c r="AC45" s="22">
        <v>4.141</v>
      </c>
      <c r="AD45" s="22">
        <v>4.1369999999999996</v>
      </c>
      <c r="AE45" s="22">
        <v>4.0049999999999999</v>
      </c>
      <c r="AF45" s="22">
        <v>4.1159999999999997</v>
      </c>
      <c r="AG45" s="22">
        <v>3.7559999999999998</v>
      </c>
      <c r="AH45" s="22">
        <f t="shared" si="5"/>
        <v>3.9359999999999999</v>
      </c>
      <c r="AI45" s="35"/>
      <c r="AJ45" s="35"/>
      <c r="AK45" s="35"/>
      <c r="AL45" s="35"/>
      <c r="AM45" s="35"/>
      <c r="AN45" s="35"/>
      <c r="AO45" s="35"/>
      <c r="AP45" s="3"/>
      <c r="AQ45" s="8"/>
    </row>
    <row r="46" spans="1:43">
      <c r="A46" s="1">
        <f t="shared" si="2"/>
        <v>44</v>
      </c>
      <c r="B46" s="31"/>
      <c r="C46" s="1">
        <v>7</v>
      </c>
      <c r="D46" s="4">
        <f t="shared" si="1"/>
        <v>69</v>
      </c>
      <c r="E46" s="4" t="s">
        <v>142</v>
      </c>
      <c r="F46" s="4">
        <v>3</v>
      </c>
      <c r="G46" s="4" t="s">
        <v>11</v>
      </c>
      <c r="H46" s="4" t="s">
        <v>17</v>
      </c>
      <c r="I46" s="4"/>
      <c r="J46" s="12">
        <v>97.3</v>
      </c>
      <c r="K46" s="68"/>
      <c r="L46" s="38">
        <v>4.1079999999999997</v>
      </c>
      <c r="M46" s="127" t="s">
        <v>113</v>
      </c>
      <c r="N46" s="4" t="s">
        <v>13</v>
      </c>
      <c r="O46" s="36"/>
      <c r="P46" s="36"/>
      <c r="Q46" s="3"/>
      <c r="R46" s="22">
        <v>4.375</v>
      </c>
      <c r="S46" s="22">
        <v>4.2069999999999999</v>
      </c>
      <c r="T46" s="22">
        <v>4.3840000000000003</v>
      </c>
      <c r="U46" s="22">
        <v>4.08</v>
      </c>
      <c r="V46" s="40">
        <v>4.1619999999999999</v>
      </c>
      <c r="W46" s="41"/>
      <c r="X46" s="41"/>
      <c r="Y46" s="41"/>
      <c r="Z46" s="22">
        <v>4.1070000000000002</v>
      </c>
      <c r="AA46" s="41"/>
      <c r="AB46" s="22">
        <v>4.2640000000000002</v>
      </c>
      <c r="AC46" s="22">
        <v>4.274</v>
      </c>
      <c r="AD46" s="22">
        <v>4.2539999999999996</v>
      </c>
      <c r="AE46" s="22">
        <v>4.0919999999999996</v>
      </c>
      <c r="AF46" s="22">
        <v>4.1929999999999996</v>
      </c>
      <c r="AG46" s="22">
        <v>3.9089999999999998</v>
      </c>
      <c r="AH46" s="22">
        <f t="shared" si="5"/>
        <v>4.0510000000000002</v>
      </c>
      <c r="AI46" s="35"/>
      <c r="AJ46" s="35"/>
      <c r="AK46" s="35"/>
      <c r="AL46" s="35"/>
      <c r="AM46" s="35"/>
      <c r="AN46" s="35"/>
      <c r="AO46" s="35"/>
      <c r="AP46" s="3"/>
      <c r="AQ46" s="8"/>
    </row>
    <row r="47" spans="1:43">
      <c r="A47" s="1">
        <f t="shared" si="2"/>
        <v>45</v>
      </c>
      <c r="B47" s="31"/>
      <c r="C47" s="1">
        <v>7</v>
      </c>
      <c r="D47" s="4">
        <f t="shared" si="1"/>
        <v>69</v>
      </c>
      <c r="E47" s="4" t="s">
        <v>129</v>
      </c>
      <c r="F47" s="4">
        <v>3</v>
      </c>
      <c r="G47" s="4" t="s">
        <v>14</v>
      </c>
      <c r="H47" s="4" t="s">
        <v>170</v>
      </c>
      <c r="I47" s="4"/>
      <c r="J47" s="12">
        <v>97.4</v>
      </c>
      <c r="K47" s="68"/>
      <c r="L47" s="38">
        <v>4.6370000000000005</v>
      </c>
      <c r="M47" s="127" t="s">
        <v>113</v>
      </c>
      <c r="N47" s="4" t="s">
        <v>13</v>
      </c>
      <c r="O47" s="36"/>
      <c r="P47" s="36"/>
      <c r="Q47" s="3"/>
      <c r="R47" s="22">
        <v>4.6849999999999996</v>
      </c>
      <c r="S47" s="22">
        <v>4.57</v>
      </c>
      <c r="T47" s="22">
        <v>4.907</v>
      </c>
      <c r="U47" s="22">
        <v>4.6280000000000001</v>
      </c>
      <c r="V47" s="40">
        <v>4.6959999999999997</v>
      </c>
      <c r="W47" s="41"/>
      <c r="X47" s="41"/>
      <c r="Y47" s="41"/>
      <c r="Z47" s="22">
        <v>4.6310000000000002</v>
      </c>
      <c r="AA47" s="41"/>
      <c r="AB47" s="22">
        <v>4.8659999999999997</v>
      </c>
      <c r="AC47" s="22">
        <v>4.806</v>
      </c>
      <c r="AD47" s="22">
        <v>4.7270000000000003</v>
      </c>
      <c r="AE47" s="22">
        <v>4.7370000000000001</v>
      </c>
      <c r="AF47" s="22">
        <v>4.6269999999999998</v>
      </c>
      <c r="AG47" s="22">
        <v>4.5549999999999997</v>
      </c>
      <c r="AH47" s="22">
        <f t="shared" si="5"/>
        <v>4.5909999999999993</v>
      </c>
      <c r="AI47" s="35"/>
      <c r="AJ47" s="35"/>
      <c r="AK47" s="35"/>
      <c r="AL47" s="35"/>
      <c r="AM47" s="35"/>
      <c r="AN47" s="35"/>
      <c r="AO47" s="35"/>
      <c r="AP47" s="3"/>
      <c r="AQ47" s="8"/>
    </row>
    <row r="48" spans="1:43">
      <c r="A48" s="1">
        <f t="shared" si="2"/>
        <v>46</v>
      </c>
      <c r="B48" s="31"/>
      <c r="C48" s="1">
        <v>7</v>
      </c>
      <c r="D48" s="4">
        <f t="shared" si="1"/>
        <v>69</v>
      </c>
      <c r="E48" s="4" t="s">
        <v>143</v>
      </c>
      <c r="F48" s="4">
        <v>3</v>
      </c>
      <c r="G48" s="4" t="s">
        <v>11</v>
      </c>
      <c r="H48" s="4" t="s">
        <v>17</v>
      </c>
      <c r="I48" s="4"/>
      <c r="J48" s="12">
        <v>97.3</v>
      </c>
      <c r="K48" s="68"/>
      <c r="L48" s="38">
        <v>4.6530000000000005</v>
      </c>
      <c r="M48" s="127" t="s">
        <v>113</v>
      </c>
      <c r="N48" s="4" t="s">
        <v>13</v>
      </c>
      <c r="O48" s="36"/>
      <c r="P48" s="36"/>
      <c r="Q48" s="3"/>
      <c r="R48" s="22">
        <v>4.8609999999999998</v>
      </c>
      <c r="S48" s="22">
        <v>4.8479999999999999</v>
      </c>
      <c r="T48" s="1">
        <v>4.9269999999999996</v>
      </c>
      <c r="U48" s="22">
        <v>4.6369999999999996</v>
      </c>
      <c r="V48" s="40">
        <v>4.6980000000000004</v>
      </c>
      <c r="W48" s="41"/>
      <c r="X48" s="41"/>
      <c r="Y48" s="41"/>
      <c r="Z48" s="22">
        <v>4.66</v>
      </c>
      <c r="AA48" s="41"/>
      <c r="AB48" s="22">
        <v>4.79</v>
      </c>
      <c r="AC48" s="22">
        <v>4.7960000000000003</v>
      </c>
      <c r="AD48" s="22">
        <v>4.8150000000000004</v>
      </c>
      <c r="AE48" s="22">
        <v>4.6349999999999998</v>
      </c>
      <c r="AF48" s="22">
        <v>4.8360000000000003</v>
      </c>
      <c r="AG48" s="22">
        <v>4.423</v>
      </c>
      <c r="AH48" s="22">
        <f t="shared" si="5"/>
        <v>4.6295000000000002</v>
      </c>
      <c r="AI48" s="35"/>
      <c r="AJ48" s="35"/>
      <c r="AK48" s="35"/>
      <c r="AL48" s="35"/>
      <c r="AM48" s="35"/>
      <c r="AN48" s="35"/>
      <c r="AO48" s="35"/>
      <c r="AP48" s="3"/>
      <c r="AQ48" s="8"/>
    </row>
    <row r="49" spans="1:43">
      <c r="A49" s="1">
        <f t="shared" si="2"/>
        <v>47</v>
      </c>
      <c r="B49" s="31"/>
      <c r="C49" s="1">
        <v>7</v>
      </c>
      <c r="D49" s="4">
        <f t="shared" si="1"/>
        <v>69</v>
      </c>
      <c r="E49" s="4" t="s">
        <v>129</v>
      </c>
      <c r="F49" s="4">
        <v>3</v>
      </c>
      <c r="G49" s="4" t="s">
        <v>14</v>
      </c>
      <c r="H49" s="4" t="s">
        <v>170</v>
      </c>
      <c r="I49" s="4"/>
      <c r="J49" s="12">
        <v>97.3</v>
      </c>
      <c r="K49" s="68"/>
      <c r="L49" s="38">
        <v>5.3870000000000013</v>
      </c>
      <c r="M49" s="127" t="s">
        <v>113</v>
      </c>
      <c r="N49" s="4" t="s">
        <v>13</v>
      </c>
      <c r="O49" s="36"/>
      <c r="P49" s="36"/>
      <c r="Q49" s="3"/>
      <c r="R49" s="22">
        <v>5.4249999999999998</v>
      </c>
      <c r="S49" s="22">
        <v>5.26</v>
      </c>
      <c r="T49" s="22">
        <v>5.6630000000000003</v>
      </c>
      <c r="U49" s="22">
        <v>5.4749999999999996</v>
      </c>
      <c r="V49" s="42">
        <v>5.4370000000000003</v>
      </c>
      <c r="W49" s="43"/>
      <c r="X49" s="43"/>
      <c r="Y49" s="43"/>
      <c r="Z49" s="22">
        <v>5.3719999999999999</v>
      </c>
      <c r="AA49" s="41"/>
      <c r="AB49" s="22">
        <v>5.524</v>
      </c>
      <c r="AC49" s="22">
        <v>5.47</v>
      </c>
      <c r="AD49" s="22">
        <v>5.4009999999999998</v>
      </c>
      <c r="AE49" s="22">
        <v>5.3949999999999996</v>
      </c>
      <c r="AF49" s="22">
        <v>5.3079999999999998</v>
      </c>
      <c r="AG49" s="22">
        <v>5.2969999999999997</v>
      </c>
      <c r="AH49" s="22">
        <f t="shared" si="5"/>
        <v>5.3025000000000002</v>
      </c>
      <c r="AI49" s="35"/>
      <c r="AJ49" s="35"/>
      <c r="AK49" s="35"/>
      <c r="AL49" s="35"/>
      <c r="AM49" s="35"/>
      <c r="AN49" s="35"/>
      <c r="AO49" s="35"/>
      <c r="AP49" s="3"/>
      <c r="AQ49" s="8"/>
    </row>
    <row r="50" spans="1:43">
      <c r="A50" s="1">
        <f t="shared" si="2"/>
        <v>48</v>
      </c>
      <c r="B50" s="2" t="s">
        <v>159</v>
      </c>
      <c r="C50" s="1">
        <v>10</v>
      </c>
      <c r="D50" s="4">
        <f t="shared" si="1"/>
        <v>1016</v>
      </c>
      <c r="E50" s="4" t="s">
        <v>160</v>
      </c>
      <c r="F50" s="4">
        <v>1</v>
      </c>
      <c r="G50" s="4" t="s">
        <v>11</v>
      </c>
      <c r="H50" s="4" t="s">
        <v>12</v>
      </c>
      <c r="I50" s="4"/>
      <c r="J50" s="5">
        <v>88.5</v>
      </c>
      <c r="K50" s="68"/>
      <c r="L50" s="38">
        <v>3.145</v>
      </c>
      <c r="M50" s="127" t="s">
        <v>110</v>
      </c>
      <c r="N50" s="4" t="s">
        <v>13</v>
      </c>
      <c r="O50" s="36"/>
      <c r="P50" s="36"/>
      <c r="Q50" s="3" t="s">
        <v>205</v>
      </c>
      <c r="R50" s="22">
        <v>3.359</v>
      </c>
      <c r="S50" s="22">
        <v>3.0009999999999999</v>
      </c>
      <c r="T50" s="22">
        <v>3.76</v>
      </c>
      <c r="U50" s="22">
        <v>3.117</v>
      </c>
      <c r="V50" s="22">
        <v>3.4129999999999998</v>
      </c>
      <c r="W50" s="22">
        <v>3.2410000000000001</v>
      </c>
      <c r="X50" s="22">
        <v>3.2370000000000001</v>
      </c>
      <c r="Y50" s="22">
        <v>3.2149999999999999</v>
      </c>
      <c r="Z50" s="22">
        <v>3.109</v>
      </c>
      <c r="AA50" s="33"/>
      <c r="AB50" s="22">
        <v>3.5539999999999998</v>
      </c>
      <c r="AC50" s="22">
        <v>3.52</v>
      </c>
      <c r="AD50" s="22">
        <v>3.3519999999999999</v>
      </c>
      <c r="AE50" s="22">
        <v>3.3069999999999999</v>
      </c>
      <c r="AF50" s="22">
        <v>3.0510000000000002</v>
      </c>
      <c r="AG50" s="22">
        <v>3.246</v>
      </c>
      <c r="AH50" s="22">
        <f t="shared" ref="AH50:AH70" si="6">SUM(AF50:AG50)/2</f>
        <v>3.1485000000000003</v>
      </c>
      <c r="AI50" s="35"/>
      <c r="AJ50" s="35"/>
      <c r="AK50" s="35"/>
      <c r="AL50" s="35"/>
      <c r="AM50" s="35"/>
      <c r="AN50" s="35"/>
      <c r="AO50" s="35"/>
      <c r="AP50" s="3"/>
      <c r="AQ50" s="8"/>
    </row>
    <row r="51" spans="1:43">
      <c r="A51" s="1">
        <f t="shared" si="2"/>
        <v>49</v>
      </c>
      <c r="B51" s="19"/>
      <c r="C51" s="1">
        <v>10</v>
      </c>
      <c r="D51" s="4">
        <f t="shared" si="1"/>
        <v>1016</v>
      </c>
      <c r="E51" s="4" t="s">
        <v>161</v>
      </c>
      <c r="F51" s="4">
        <v>1</v>
      </c>
      <c r="G51" s="4" t="s">
        <v>11</v>
      </c>
      <c r="H51" s="4" t="s">
        <v>17</v>
      </c>
      <c r="I51" s="4"/>
      <c r="J51" s="5">
        <v>86.5</v>
      </c>
      <c r="K51" s="63">
        <v>0.19</v>
      </c>
      <c r="L51" s="38">
        <v>4.2750000000000004</v>
      </c>
      <c r="M51" s="127" t="s">
        <v>110</v>
      </c>
      <c r="N51" s="4" t="s">
        <v>13</v>
      </c>
      <c r="O51" s="36"/>
      <c r="P51" s="36"/>
      <c r="Q51" s="3" t="s">
        <v>205</v>
      </c>
      <c r="R51" s="22">
        <v>4.4640000000000004</v>
      </c>
      <c r="S51" s="22">
        <v>4.3819999999999997</v>
      </c>
      <c r="T51" s="22">
        <v>4.9569999999999999</v>
      </c>
      <c r="U51" s="22">
        <v>4.0590000000000002</v>
      </c>
      <c r="V51" s="22">
        <v>4.4480000000000004</v>
      </c>
      <c r="W51" s="22">
        <v>4.375</v>
      </c>
      <c r="X51" s="22">
        <v>4.3789999999999996</v>
      </c>
      <c r="Y51" s="22">
        <v>4.3230000000000004</v>
      </c>
      <c r="Z51" s="22">
        <v>4.2789999999999999</v>
      </c>
      <c r="AA51" s="33"/>
      <c r="AB51" s="22">
        <v>4.3319999999999999</v>
      </c>
      <c r="AC51" s="22">
        <v>4.3159999999999998</v>
      </c>
      <c r="AD51" s="22">
        <v>4.3380000000000001</v>
      </c>
      <c r="AE51" s="22">
        <v>4.0890000000000004</v>
      </c>
      <c r="AF51" s="22">
        <v>4.4109999999999996</v>
      </c>
      <c r="AG51" s="22">
        <v>4.0830000000000002</v>
      </c>
      <c r="AH51" s="22">
        <f t="shared" si="6"/>
        <v>4.2469999999999999</v>
      </c>
      <c r="AI51" s="35"/>
      <c r="AJ51" s="35"/>
      <c r="AK51" s="35"/>
      <c r="AL51" s="35"/>
      <c r="AM51" s="35"/>
      <c r="AN51" s="35"/>
      <c r="AO51" s="35"/>
      <c r="AP51" s="3"/>
      <c r="AQ51" s="8"/>
    </row>
    <row r="52" spans="1:43">
      <c r="A52" s="1">
        <f t="shared" si="2"/>
        <v>50</v>
      </c>
      <c r="B52" s="19"/>
      <c r="C52" s="1">
        <v>10</v>
      </c>
      <c r="D52" s="4">
        <f t="shared" si="1"/>
        <v>1016</v>
      </c>
      <c r="E52" s="4" t="s">
        <v>162</v>
      </c>
      <c r="F52" s="4">
        <v>1</v>
      </c>
      <c r="G52" s="4" t="s">
        <v>11</v>
      </c>
      <c r="H52" s="4" t="s">
        <v>12</v>
      </c>
      <c r="I52" s="4"/>
      <c r="J52" s="5">
        <v>88.5</v>
      </c>
      <c r="K52" s="63">
        <v>0.01</v>
      </c>
      <c r="L52" s="38">
        <v>4.343</v>
      </c>
      <c r="M52" s="127" t="s">
        <v>110</v>
      </c>
      <c r="N52" s="4" t="s">
        <v>13</v>
      </c>
      <c r="O52" s="36"/>
      <c r="P52" s="36"/>
      <c r="Q52" s="3" t="s">
        <v>205</v>
      </c>
      <c r="R52" s="22">
        <v>4.6050000000000004</v>
      </c>
      <c r="S52" s="22">
        <v>4.3520000000000003</v>
      </c>
      <c r="T52" s="22">
        <v>4.8339999999999996</v>
      </c>
      <c r="U52" s="22">
        <v>4.2350000000000003</v>
      </c>
      <c r="V52" s="22">
        <v>4.5519999999999996</v>
      </c>
      <c r="W52" s="22">
        <v>4.4429999999999996</v>
      </c>
      <c r="X52" s="22">
        <v>4.4370000000000003</v>
      </c>
      <c r="Y52" s="22">
        <v>4.4089999999999998</v>
      </c>
      <c r="Z52" s="22">
        <v>4.3380000000000001</v>
      </c>
      <c r="AA52" s="33"/>
      <c r="AB52" s="22">
        <v>4.67</v>
      </c>
      <c r="AC52" s="22">
        <v>4.6509999999999998</v>
      </c>
      <c r="AD52" s="22">
        <v>4.5549999999999997</v>
      </c>
      <c r="AE52" s="22">
        <v>4.4420000000000002</v>
      </c>
      <c r="AF52" s="22">
        <v>4.3639999999999999</v>
      </c>
      <c r="AG52" s="22">
        <v>4.3460000000000001</v>
      </c>
      <c r="AH52" s="22">
        <f t="shared" si="6"/>
        <v>4.3550000000000004</v>
      </c>
      <c r="AI52" s="35"/>
      <c r="AJ52" s="35"/>
      <c r="AK52" s="35"/>
      <c r="AL52" s="35"/>
      <c r="AM52" s="35"/>
      <c r="AN52" s="35"/>
      <c r="AO52" s="35"/>
      <c r="AP52" s="3"/>
      <c r="AQ52" s="8"/>
    </row>
    <row r="53" spans="1:43">
      <c r="A53" s="1">
        <f t="shared" si="2"/>
        <v>51</v>
      </c>
      <c r="B53" s="19"/>
      <c r="C53" s="1">
        <v>10</v>
      </c>
      <c r="D53" s="4">
        <f t="shared" si="1"/>
        <v>1016</v>
      </c>
      <c r="E53" s="4" t="s">
        <v>232</v>
      </c>
      <c r="F53" s="4">
        <v>1</v>
      </c>
      <c r="G53" s="4" t="s">
        <v>11</v>
      </c>
      <c r="H53" s="4" t="s">
        <v>12</v>
      </c>
      <c r="I53" s="4"/>
      <c r="J53" s="5">
        <v>87.3</v>
      </c>
      <c r="K53" s="68"/>
      <c r="L53" s="38">
        <v>4.5570000000000004</v>
      </c>
      <c r="M53" s="127" t="s">
        <v>110</v>
      </c>
      <c r="N53" s="1" t="s">
        <v>13</v>
      </c>
      <c r="O53" s="36"/>
      <c r="P53" s="36"/>
      <c r="Q53" s="3" t="s">
        <v>205</v>
      </c>
      <c r="R53" s="22">
        <v>4.7610000000000001</v>
      </c>
      <c r="S53" s="22">
        <v>4.4400000000000004</v>
      </c>
      <c r="T53" s="22">
        <v>5.1340000000000003</v>
      </c>
      <c r="U53" s="22">
        <v>4.5419999999999998</v>
      </c>
      <c r="V53" s="22">
        <v>4.8550000000000004</v>
      </c>
      <c r="W53" s="22">
        <v>4.6509999999999998</v>
      </c>
      <c r="X53" s="22">
        <v>4.6509999999999998</v>
      </c>
      <c r="Y53" s="22">
        <v>4.6520000000000001</v>
      </c>
      <c r="Z53" s="22">
        <v>4.5350000000000001</v>
      </c>
      <c r="AA53" s="33"/>
      <c r="AB53" s="22">
        <v>4.9059999999999997</v>
      </c>
      <c r="AC53" s="22">
        <v>4.8849999999999998</v>
      </c>
      <c r="AD53" s="22">
        <v>4.7430000000000003</v>
      </c>
      <c r="AE53" s="22">
        <v>4.6539999999999999</v>
      </c>
      <c r="AF53" s="22">
        <v>4.46</v>
      </c>
      <c r="AG53" s="22">
        <v>4.7830000000000004</v>
      </c>
      <c r="AH53" s="22">
        <f t="shared" si="6"/>
        <v>4.6215000000000002</v>
      </c>
      <c r="AI53" s="35"/>
      <c r="AJ53" s="35"/>
      <c r="AK53" s="35"/>
      <c r="AL53" s="35"/>
      <c r="AM53" s="35"/>
      <c r="AN53" s="35"/>
      <c r="AO53" s="35"/>
      <c r="AP53" s="3"/>
      <c r="AQ53" s="8"/>
    </row>
    <row r="54" spans="1:43">
      <c r="A54" s="1">
        <f t="shared" si="2"/>
        <v>52</v>
      </c>
      <c r="B54" s="19"/>
      <c r="C54" s="1">
        <v>10</v>
      </c>
      <c r="D54" s="4">
        <f t="shared" si="1"/>
        <v>1016</v>
      </c>
      <c r="E54" s="4" t="s">
        <v>232</v>
      </c>
      <c r="F54" s="4">
        <v>1</v>
      </c>
      <c r="G54" s="4" t="s">
        <v>11</v>
      </c>
      <c r="H54" s="4" t="s">
        <v>12</v>
      </c>
      <c r="I54" s="4"/>
      <c r="J54" s="5">
        <v>84.1</v>
      </c>
      <c r="K54" s="68"/>
      <c r="L54" s="38">
        <v>4.899</v>
      </c>
      <c r="M54" s="127" t="s">
        <v>110</v>
      </c>
      <c r="N54" s="1" t="s">
        <v>13</v>
      </c>
      <c r="O54" s="36"/>
      <c r="P54" s="36"/>
      <c r="Q54" s="3" t="s">
        <v>205</v>
      </c>
      <c r="R54" s="22">
        <v>5.1230000000000002</v>
      </c>
      <c r="S54" s="22">
        <v>4.835</v>
      </c>
      <c r="T54" s="22">
        <v>5.6429999999999998</v>
      </c>
      <c r="U54" s="22">
        <v>4.9779999999999998</v>
      </c>
      <c r="V54" s="22">
        <v>5.3289999999999997</v>
      </c>
      <c r="W54" s="22">
        <v>5.0720000000000001</v>
      </c>
      <c r="X54" s="22">
        <v>5.0590000000000002</v>
      </c>
      <c r="Y54" s="22">
        <v>5.0220000000000002</v>
      </c>
      <c r="Z54" s="22">
        <v>4.8620000000000001</v>
      </c>
      <c r="AA54" s="33"/>
      <c r="AB54" s="22">
        <v>5.4</v>
      </c>
      <c r="AC54" s="22">
        <v>5.3780000000000001</v>
      </c>
      <c r="AD54" s="22">
        <v>5.1980000000000004</v>
      </c>
      <c r="AE54" s="22">
        <v>5.1379999999999999</v>
      </c>
      <c r="AF54" s="22">
        <v>4.8710000000000004</v>
      </c>
      <c r="AG54" s="22">
        <v>5.165</v>
      </c>
      <c r="AH54" s="22">
        <f t="shared" si="6"/>
        <v>5.0180000000000007</v>
      </c>
      <c r="AI54" s="35"/>
      <c r="AJ54" s="35"/>
      <c r="AK54" s="35"/>
      <c r="AL54" s="35"/>
      <c r="AM54" s="35"/>
      <c r="AN54" s="35"/>
      <c r="AO54" s="35"/>
      <c r="AP54" s="3"/>
      <c r="AQ54" s="8"/>
    </row>
    <row r="55" spans="1:43">
      <c r="A55" s="1">
        <f t="shared" si="2"/>
        <v>53</v>
      </c>
      <c r="B55" s="19"/>
      <c r="C55" s="1">
        <v>10</v>
      </c>
      <c r="D55" s="4">
        <f t="shared" si="1"/>
        <v>1016</v>
      </c>
      <c r="E55" s="4" t="s">
        <v>162</v>
      </c>
      <c r="F55" s="4">
        <v>1</v>
      </c>
      <c r="G55" s="4" t="s">
        <v>11</v>
      </c>
      <c r="H55" s="4" t="s">
        <v>12</v>
      </c>
      <c r="I55" s="4"/>
      <c r="J55" s="5">
        <v>82.6</v>
      </c>
      <c r="K55" s="63">
        <v>1E-3</v>
      </c>
      <c r="L55" s="45">
        <v>5.2489999999999997</v>
      </c>
      <c r="M55" s="127" t="s">
        <v>110</v>
      </c>
      <c r="N55" s="10" t="s">
        <v>111</v>
      </c>
      <c r="O55" s="36"/>
      <c r="P55" s="36"/>
      <c r="Q55" s="3" t="s">
        <v>205</v>
      </c>
      <c r="R55" s="22">
        <v>4.8680000000000003</v>
      </c>
      <c r="S55" s="22">
        <v>5.03</v>
      </c>
      <c r="T55" s="22">
        <v>6.2530000000000001</v>
      </c>
      <c r="U55" s="33"/>
      <c r="V55" s="22">
        <v>5.8860000000000001</v>
      </c>
      <c r="W55" s="22">
        <v>5.407</v>
      </c>
      <c r="X55" s="22">
        <v>5.4029999999999996</v>
      </c>
      <c r="Y55" s="22">
        <v>5.4</v>
      </c>
      <c r="Z55" s="22">
        <v>5.133</v>
      </c>
      <c r="AA55" s="33"/>
      <c r="AB55" s="22">
        <v>5.9279999999999999</v>
      </c>
      <c r="AC55" s="22">
        <v>5.8730000000000002</v>
      </c>
      <c r="AD55" s="22">
        <v>5.5880000000000001</v>
      </c>
      <c r="AE55" s="22">
        <v>5.6349999999999998</v>
      </c>
      <c r="AF55" s="22">
        <v>5.1100000000000003</v>
      </c>
      <c r="AG55" s="22">
        <v>5.7560000000000002</v>
      </c>
      <c r="AH55" s="22">
        <f t="shared" si="6"/>
        <v>5.4329999999999998</v>
      </c>
      <c r="AI55" s="35"/>
      <c r="AJ55" s="35"/>
      <c r="AK55" s="35"/>
      <c r="AL55" s="35"/>
      <c r="AM55" s="35"/>
      <c r="AN55" s="35"/>
      <c r="AO55" s="35"/>
      <c r="AP55" s="3"/>
      <c r="AQ55" s="8"/>
    </row>
    <row r="56" spans="1:43">
      <c r="A56" s="1">
        <f t="shared" si="2"/>
        <v>54</v>
      </c>
      <c r="B56" s="19"/>
      <c r="C56" s="1">
        <v>10</v>
      </c>
      <c r="D56" s="4">
        <f t="shared" si="1"/>
        <v>1016</v>
      </c>
      <c r="E56" s="4" t="s">
        <v>150</v>
      </c>
      <c r="F56" s="4">
        <v>1</v>
      </c>
      <c r="G56" s="4" t="s">
        <v>11</v>
      </c>
      <c r="H56" s="4" t="s">
        <v>12</v>
      </c>
      <c r="I56" s="4"/>
      <c r="J56" s="5">
        <v>83.1</v>
      </c>
      <c r="K56" s="68"/>
      <c r="L56" s="45">
        <v>5.3460000000000001</v>
      </c>
      <c r="M56" s="127" t="s">
        <v>110</v>
      </c>
      <c r="N56" s="10" t="s">
        <v>111</v>
      </c>
      <c r="O56" s="36"/>
      <c r="P56" s="36"/>
      <c r="Q56" s="3" t="s">
        <v>205</v>
      </c>
      <c r="R56" s="22">
        <v>5.86</v>
      </c>
      <c r="S56" s="22">
        <v>5.4850000000000003</v>
      </c>
      <c r="T56" s="22">
        <v>5.9119999999999999</v>
      </c>
      <c r="U56" s="22">
        <v>5.2869999999999999</v>
      </c>
      <c r="V56" s="22">
        <v>5.6749999999999998</v>
      </c>
      <c r="W56" s="22">
        <v>5.532</v>
      </c>
      <c r="X56" s="22">
        <v>5.5149999999999997</v>
      </c>
      <c r="Y56" s="22">
        <v>5.4539999999999997</v>
      </c>
      <c r="Z56" s="22">
        <v>5.3419999999999996</v>
      </c>
      <c r="AA56" s="33"/>
      <c r="AB56" s="22">
        <v>5.7640000000000002</v>
      </c>
      <c r="AC56" s="22">
        <v>5.766</v>
      </c>
      <c r="AD56" s="22">
        <v>5.6829999999999998</v>
      </c>
      <c r="AE56" s="22">
        <v>5.532</v>
      </c>
      <c r="AF56" s="22">
        <v>5.484</v>
      </c>
      <c r="AG56" s="22">
        <v>5.3280000000000003</v>
      </c>
      <c r="AH56" s="22">
        <f t="shared" si="6"/>
        <v>5.4060000000000006</v>
      </c>
      <c r="AI56" s="35"/>
      <c r="AJ56" s="35"/>
      <c r="AK56" s="35"/>
      <c r="AL56" s="35"/>
      <c r="AM56" s="35"/>
      <c r="AN56" s="35"/>
      <c r="AO56" s="35"/>
      <c r="AP56" s="3"/>
      <c r="AQ56" s="8"/>
    </row>
    <row r="57" spans="1:43">
      <c r="A57" s="1">
        <f t="shared" si="2"/>
        <v>55</v>
      </c>
      <c r="B57" s="19"/>
      <c r="C57" s="1">
        <v>10</v>
      </c>
      <c r="D57" s="4">
        <f t="shared" si="1"/>
        <v>1016</v>
      </c>
      <c r="E57" s="4" t="s">
        <v>163</v>
      </c>
      <c r="F57" s="4">
        <v>1</v>
      </c>
      <c r="G57" s="4" t="s">
        <v>11</v>
      </c>
      <c r="H57" s="4" t="s">
        <v>17</v>
      </c>
      <c r="I57" s="4"/>
      <c r="J57" s="5">
        <v>88.5</v>
      </c>
      <c r="K57" s="63">
        <v>2.8000000000000001E-2</v>
      </c>
      <c r="L57" s="45">
        <v>5.6769999999999996</v>
      </c>
      <c r="M57" s="127" t="s">
        <v>110</v>
      </c>
      <c r="N57" s="10" t="s">
        <v>111</v>
      </c>
      <c r="O57" s="36"/>
      <c r="P57" s="36"/>
      <c r="Q57" s="3" t="s">
        <v>205</v>
      </c>
      <c r="R57" s="22">
        <v>6.0750000000000002</v>
      </c>
      <c r="S57" s="22">
        <v>5.665</v>
      </c>
      <c r="T57" s="22">
        <v>6.2590000000000003</v>
      </c>
      <c r="U57" s="22">
        <v>5.7439999999999998</v>
      </c>
      <c r="V57" s="22">
        <v>5.8840000000000003</v>
      </c>
      <c r="W57" s="22">
        <v>5.7690000000000001</v>
      </c>
      <c r="X57" s="22">
        <v>5.7560000000000002</v>
      </c>
      <c r="Y57" s="22">
        <v>5.7030000000000003</v>
      </c>
      <c r="Z57" s="22">
        <v>5.6260000000000003</v>
      </c>
      <c r="AA57" s="33"/>
      <c r="AB57" s="22">
        <v>5.7210000000000001</v>
      </c>
      <c r="AC57" s="22">
        <v>5.766</v>
      </c>
      <c r="AD57" s="22">
        <v>5.7430000000000003</v>
      </c>
      <c r="AE57" s="22">
        <v>5.5</v>
      </c>
      <c r="AF57" s="22">
        <v>5.6390000000000002</v>
      </c>
      <c r="AG57" s="22">
        <v>5.5060000000000002</v>
      </c>
      <c r="AH57" s="22">
        <f t="shared" si="6"/>
        <v>5.5724999999999998</v>
      </c>
      <c r="AI57" s="35"/>
      <c r="AJ57" s="35"/>
      <c r="AK57" s="35"/>
      <c r="AL57" s="35"/>
      <c r="AM57" s="35"/>
      <c r="AN57" s="35"/>
      <c r="AO57" s="35"/>
      <c r="AP57" s="3"/>
      <c r="AQ57" s="8"/>
    </row>
    <row r="58" spans="1:43">
      <c r="A58" s="1">
        <f t="shared" si="2"/>
        <v>56</v>
      </c>
      <c r="B58" s="19"/>
      <c r="C58" s="1">
        <v>10</v>
      </c>
      <c r="D58" s="4">
        <f t="shared" si="1"/>
        <v>1016</v>
      </c>
      <c r="E58" s="4" t="s">
        <v>120</v>
      </c>
      <c r="F58" s="4">
        <v>1</v>
      </c>
      <c r="G58" s="4" t="s">
        <v>11</v>
      </c>
      <c r="H58" s="4" t="s">
        <v>17</v>
      </c>
      <c r="I58" s="4"/>
      <c r="J58" s="5">
        <v>85.3</v>
      </c>
      <c r="K58" s="68"/>
      <c r="L58" s="38">
        <v>5.8159999999999998</v>
      </c>
      <c r="M58" s="127" t="s">
        <v>110</v>
      </c>
      <c r="N58" s="1" t="s">
        <v>13</v>
      </c>
      <c r="O58" s="36"/>
      <c r="P58" s="36"/>
      <c r="Q58" s="3" t="s">
        <v>205</v>
      </c>
      <c r="R58" s="22">
        <v>6.1109999999999998</v>
      </c>
      <c r="S58" s="22">
        <v>5.9169999999999998</v>
      </c>
      <c r="T58" s="22">
        <v>6.5419999999999998</v>
      </c>
      <c r="U58" s="22">
        <v>5.6760000000000002</v>
      </c>
      <c r="V58" s="22">
        <v>6.085</v>
      </c>
      <c r="W58" s="22">
        <v>5.9470000000000001</v>
      </c>
      <c r="X58" s="22">
        <v>5.9450000000000003</v>
      </c>
      <c r="Y58" s="22">
        <v>5.8979999999999997</v>
      </c>
      <c r="Z58" s="22">
        <v>5.8109999999999999</v>
      </c>
      <c r="AA58" s="33"/>
      <c r="AB58" s="22">
        <v>5.8819999999999997</v>
      </c>
      <c r="AC58" s="22">
        <v>5.851</v>
      </c>
      <c r="AD58" s="22">
        <v>5.8760000000000003</v>
      </c>
      <c r="AE58" s="22">
        <v>5.6379999999999999</v>
      </c>
      <c r="AF58" s="22">
        <v>5.9619999999999997</v>
      </c>
      <c r="AG58" s="22">
        <v>5.6669999999999998</v>
      </c>
      <c r="AH58" s="22">
        <f t="shared" si="6"/>
        <v>5.8144999999999998</v>
      </c>
      <c r="AI58" s="35"/>
      <c r="AJ58" s="35"/>
      <c r="AK58" s="35"/>
      <c r="AL58" s="35"/>
      <c r="AM58" s="35"/>
      <c r="AN58" s="35"/>
      <c r="AO58" s="35"/>
      <c r="AP58" s="3"/>
      <c r="AQ58" s="8"/>
    </row>
    <row r="59" spans="1:43">
      <c r="A59" s="1">
        <f t="shared" si="2"/>
        <v>57</v>
      </c>
      <c r="B59" s="19"/>
      <c r="C59" s="1">
        <v>10</v>
      </c>
      <c r="D59" s="4">
        <f t="shared" si="1"/>
        <v>1016</v>
      </c>
      <c r="E59" s="4" t="s">
        <v>150</v>
      </c>
      <c r="F59" s="4">
        <v>1</v>
      </c>
      <c r="G59" s="4" t="s">
        <v>11</v>
      </c>
      <c r="H59" s="4" t="s">
        <v>12</v>
      </c>
      <c r="I59" s="4"/>
      <c r="J59" s="5">
        <v>84.8</v>
      </c>
      <c r="K59" s="68"/>
      <c r="L59" s="38">
        <v>5.9189999999999996</v>
      </c>
      <c r="M59" s="127" t="s">
        <v>110</v>
      </c>
      <c r="N59" s="1" t="s">
        <v>13</v>
      </c>
      <c r="O59" s="36"/>
      <c r="P59" s="36"/>
      <c r="Q59" s="3" t="s">
        <v>205</v>
      </c>
      <c r="R59" s="22">
        <v>5.9039999999999999</v>
      </c>
      <c r="S59" s="22">
        <v>5.83</v>
      </c>
      <c r="T59" s="22">
        <v>6.6379999999999999</v>
      </c>
      <c r="U59" s="33"/>
      <c r="V59" s="22">
        <v>6.3659999999999997</v>
      </c>
      <c r="W59" s="22">
        <v>6.0670000000000002</v>
      </c>
      <c r="X59" s="22">
        <v>6.0640000000000001</v>
      </c>
      <c r="Y59" s="22">
        <v>6.0579999999999998</v>
      </c>
      <c r="Z59" s="22">
        <v>5.8920000000000003</v>
      </c>
      <c r="AA59" s="33"/>
      <c r="AB59" s="22">
        <v>6.391</v>
      </c>
      <c r="AC59" s="22">
        <v>6.3680000000000003</v>
      </c>
      <c r="AD59" s="22">
        <v>6.1859999999999999</v>
      </c>
      <c r="AE59" s="22">
        <v>6.1210000000000004</v>
      </c>
      <c r="AF59" s="22">
        <v>5.8419999999999996</v>
      </c>
      <c r="AG59" s="22">
        <v>6.2569999999999997</v>
      </c>
      <c r="AH59" s="22">
        <f t="shared" si="6"/>
        <v>6.0495000000000001</v>
      </c>
      <c r="AI59" s="35"/>
      <c r="AJ59" s="35"/>
      <c r="AK59" s="35"/>
      <c r="AL59" s="35"/>
      <c r="AM59" s="35"/>
      <c r="AN59" s="35"/>
      <c r="AO59" s="35"/>
      <c r="AP59" s="3"/>
      <c r="AQ59" s="8"/>
    </row>
    <row r="60" spans="1:43">
      <c r="A60" s="1">
        <f t="shared" si="2"/>
        <v>58</v>
      </c>
      <c r="B60" s="19"/>
      <c r="C60" s="1">
        <v>10</v>
      </c>
      <c r="D60" s="4">
        <f t="shared" si="1"/>
        <v>1016</v>
      </c>
      <c r="E60" s="4" t="s">
        <v>160</v>
      </c>
      <c r="F60" s="4">
        <v>1</v>
      </c>
      <c r="G60" s="4" t="s">
        <v>11</v>
      </c>
      <c r="H60" s="4" t="s">
        <v>12</v>
      </c>
      <c r="I60" s="4"/>
      <c r="J60" s="5">
        <v>82.3</v>
      </c>
      <c r="K60" s="68"/>
      <c r="L60" s="45">
        <v>6.3819999999999997</v>
      </c>
      <c r="M60" s="127" t="s">
        <v>110</v>
      </c>
      <c r="N60" s="10" t="s">
        <v>111</v>
      </c>
      <c r="O60" s="36"/>
      <c r="P60" s="36"/>
      <c r="Q60" s="3"/>
      <c r="R60" s="33"/>
      <c r="S60" s="22">
        <v>6.3470000000000004</v>
      </c>
      <c r="T60" s="22">
        <v>7.3659999999999997</v>
      </c>
      <c r="U60" s="33"/>
      <c r="V60" s="22">
        <v>7.0519999999999996</v>
      </c>
      <c r="W60" s="22">
        <v>6.6059999999999999</v>
      </c>
      <c r="X60" s="22">
        <v>6.6020000000000003</v>
      </c>
      <c r="Y60" s="22">
        <v>6.5510000000000002</v>
      </c>
      <c r="Z60" s="22">
        <v>6.34</v>
      </c>
      <c r="AA60" s="33"/>
      <c r="AB60" s="22">
        <v>7.0919999999999996</v>
      </c>
      <c r="AC60" s="22">
        <v>7.05</v>
      </c>
      <c r="AD60" s="22">
        <v>6.8079999999999998</v>
      </c>
      <c r="AE60" s="22">
        <v>6.8120000000000003</v>
      </c>
      <c r="AF60" s="22">
        <v>6.3920000000000003</v>
      </c>
      <c r="AG60" s="22">
        <v>6.8869999999999996</v>
      </c>
      <c r="AH60" s="22">
        <f t="shared" si="6"/>
        <v>6.6395</v>
      </c>
      <c r="AI60" s="35"/>
      <c r="AJ60" s="35"/>
      <c r="AK60" s="35"/>
      <c r="AL60" s="35"/>
      <c r="AM60" s="35"/>
      <c r="AN60" s="35"/>
      <c r="AO60" s="35"/>
      <c r="AP60" s="3"/>
      <c r="AQ60" s="8"/>
    </row>
    <row r="61" spans="1:43">
      <c r="A61" s="1">
        <f t="shared" si="2"/>
        <v>59</v>
      </c>
      <c r="B61" s="19"/>
      <c r="C61" s="1">
        <v>10</v>
      </c>
      <c r="D61" s="4">
        <f t="shared" si="1"/>
        <v>1016</v>
      </c>
      <c r="E61" s="4" t="s">
        <v>160</v>
      </c>
      <c r="F61" s="4">
        <v>1</v>
      </c>
      <c r="G61" s="4" t="s">
        <v>11</v>
      </c>
      <c r="H61" s="4" t="s">
        <v>12</v>
      </c>
      <c r="I61" s="4"/>
      <c r="J61" s="75">
        <v>83.7</v>
      </c>
      <c r="K61" s="68"/>
      <c r="L61" s="45">
        <v>6.452</v>
      </c>
      <c r="M61" s="127" t="s">
        <v>110</v>
      </c>
      <c r="N61" s="10" t="s">
        <v>111</v>
      </c>
      <c r="O61" s="36"/>
      <c r="P61" s="36"/>
      <c r="Q61" s="3"/>
      <c r="R61" s="33"/>
      <c r="S61" s="22">
        <v>6.2770000000000001</v>
      </c>
      <c r="T61" s="22">
        <v>7.15</v>
      </c>
      <c r="U61" s="33"/>
      <c r="V61" s="22">
        <v>6.8849999999999998</v>
      </c>
      <c r="W61" s="22">
        <v>6.5430000000000001</v>
      </c>
      <c r="X61" s="22">
        <v>6.5419999999999998</v>
      </c>
      <c r="Y61" s="22">
        <v>6.601</v>
      </c>
      <c r="Z61" s="22">
        <v>6.3719999999999999</v>
      </c>
      <c r="AA61" s="33"/>
      <c r="AB61" s="22">
        <v>6.8230000000000004</v>
      </c>
      <c r="AC61" s="22">
        <v>6.8070000000000004</v>
      </c>
      <c r="AD61" s="22">
        <v>6.6310000000000002</v>
      </c>
      <c r="AE61" s="22">
        <v>6.5350000000000001</v>
      </c>
      <c r="AF61" s="22">
        <v>6.2919999999999998</v>
      </c>
      <c r="AG61" s="22">
        <v>6.968</v>
      </c>
      <c r="AH61" s="22">
        <f t="shared" si="6"/>
        <v>6.63</v>
      </c>
      <c r="AI61" s="35"/>
      <c r="AJ61" s="35"/>
      <c r="AK61" s="35"/>
      <c r="AL61" s="35"/>
      <c r="AM61" s="35"/>
      <c r="AN61" s="35"/>
      <c r="AO61" s="35"/>
      <c r="AP61" s="3"/>
      <c r="AQ61" s="8"/>
    </row>
    <row r="62" spans="1:43">
      <c r="A62" s="1">
        <f t="shared" si="2"/>
        <v>60</v>
      </c>
      <c r="B62" s="19"/>
      <c r="C62" s="1">
        <v>10</v>
      </c>
      <c r="D62" s="4">
        <f t="shared" si="1"/>
        <v>1016</v>
      </c>
      <c r="E62" s="4" t="s">
        <v>120</v>
      </c>
      <c r="F62" s="4">
        <v>1</v>
      </c>
      <c r="G62" s="4" t="s">
        <v>14</v>
      </c>
      <c r="H62" s="4" t="s">
        <v>15</v>
      </c>
      <c r="I62" s="4"/>
      <c r="J62" s="5">
        <v>90.5</v>
      </c>
      <c r="K62" s="68"/>
      <c r="L62" s="58">
        <v>6.4870000000000001</v>
      </c>
      <c r="M62" s="127" t="s">
        <v>110</v>
      </c>
      <c r="N62" s="1" t="s">
        <v>13</v>
      </c>
      <c r="O62" s="36"/>
      <c r="P62" s="36"/>
      <c r="Q62" s="3" t="s">
        <v>205</v>
      </c>
      <c r="R62" s="22">
        <v>5.9260000000000002</v>
      </c>
      <c r="S62" s="22">
        <v>5.9640000000000004</v>
      </c>
      <c r="T62" s="22">
        <v>6.9820000000000002</v>
      </c>
      <c r="U62" s="33"/>
      <c r="V62" s="22">
        <v>6.718</v>
      </c>
      <c r="W62" s="22">
        <v>6.5629999999999997</v>
      </c>
      <c r="X62" s="22">
        <v>6.5670000000000002</v>
      </c>
      <c r="Y62" s="22">
        <v>6.6079999999999997</v>
      </c>
      <c r="Z62" s="22">
        <v>6.4880000000000004</v>
      </c>
      <c r="AA62" s="33"/>
      <c r="AB62" s="22">
        <v>6.8689999999999998</v>
      </c>
      <c r="AC62" s="22">
        <v>6.7610000000000001</v>
      </c>
      <c r="AD62" s="22">
        <v>6.4939999999999998</v>
      </c>
      <c r="AE62" s="22">
        <v>6.6829999999999998</v>
      </c>
      <c r="AF62" s="22">
        <v>6.0679999999999996</v>
      </c>
      <c r="AG62" s="22">
        <v>6.8860000000000001</v>
      </c>
      <c r="AH62" s="22">
        <f t="shared" si="6"/>
        <v>6.4770000000000003</v>
      </c>
      <c r="AI62" s="9"/>
      <c r="AJ62" s="9"/>
      <c r="AK62" s="9"/>
      <c r="AL62" s="9"/>
      <c r="AM62" s="9"/>
      <c r="AN62" s="9"/>
      <c r="AO62" s="9"/>
      <c r="AP62" s="3"/>
      <c r="AQ62" s="8"/>
    </row>
    <row r="63" spans="1:43">
      <c r="A63" s="1">
        <f t="shared" si="2"/>
        <v>61</v>
      </c>
      <c r="B63" s="19"/>
      <c r="C63" s="1">
        <v>10</v>
      </c>
      <c r="D63" s="4">
        <f t="shared" si="1"/>
        <v>1016</v>
      </c>
      <c r="E63" s="4" t="s">
        <v>233</v>
      </c>
      <c r="F63" s="4">
        <v>3</v>
      </c>
      <c r="G63" s="4" t="s">
        <v>11</v>
      </c>
      <c r="H63" s="4" t="s">
        <v>12</v>
      </c>
      <c r="I63" s="4"/>
      <c r="J63" s="5">
        <v>96.5</v>
      </c>
      <c r="K63" s="68"/>
      <c r="L63" s="58">
        <v>2.8479999999999999</v>
      </c>
      <c r="M63" s="127" t="s">
        <v>113</v>
      </c>
      <c r="N63" s="1" t="s">
        <v>13</v>
      </c>
      <c r="O63" s="36"/>
      <c r="P63" s="36"/>
      <c r="Q63" s="3" t="s">
        <v>205</v>
      </c>
      <c r="R63" s="22">
        <v>3.1320000000000001</v>
      </c>
      <c r="S63" s="22">
        <v>2.7269999999999999</v>
      </c>
      <c r="T63" s="22">
        <v>3.3570000000000002</v>
      </c>
      <c r="U63" s="22">
        <v>2.7879999999999998</v>
      </c>
      <c r="V63" s="22">
        <v>3.0369999999999999</v>
      </c>
      <c r="W63" s="33"/>
      <c r="X63" s="33"/>
      <c r="Y63" s="33"/>
      <c r="Z63" s="22">
        <v>2.8220000000000001</v>
      </c>
      <c r="AA63" s="33"/>
      <c r="AB63" s="22">
        <v>3.2639999999999998</v>
      </c>
      <c r="AC63" s="22">
        <v>3.2389999999999999</v>
      </c>
      <c r="AD63" s="22">
        <v>3.0720000000000001</v>
      </c>
      <c r="AE63" s="22">
        <v>3.04</v>
      </c>
      <c r="AF63" s="22">
        <v>2.7650000000000001</v>
      </c>
      <c r="AG63" s="22">
        <v>2.8780000000000001</v>
      </c>
      <c r="AH63" s="22">
        <f t="shared" si="6"/>
        <v>2.8215000000000003</v>
      </c>
      <c r="AI63" s="9"/>
      <c r="AJ63" s="9"/>
      <c r="AK63" s="9"/>
      <c r="AL63" s="9"/>
      <c r="AM63" s="9"/>
      <c r="AN63" s="9"/>
      <c r="AO63" s="9"/>
      <c r="AP63" s="3"/>
      <c r="AQ63" s="8"/>
    </row>
    <row r="64" spans="1:43">
      <c r="A64" s="1">
        <f t="shared" si="2"/>
        <v>62</v>
      </c>
      <c r="B64" s="19"/>
      <c r="C64" s="1">
        <v>10</v>
      </c>
      <c r="D64" s="4">
        <f t="shared" si="1"/>
        <v>1016</v>
      </c>
      <c r="E64" s="4" t="s">
        <v>164</v>
      </c>
      <c r="F64" s="4">
        <v>3</v>
      </c>
      <c r="G64" s="4" t="s">
        <v>11</v>
      </c>
      <c r="H64" s="4" t="s">
        <v>17</v>
      </c>
      <c r="I64" s="4"/>
      <c r="J64" s="5">
        <v>97.2</v>
      </c>
      <c r="K64" s="68"/>
      <c r="L64" s="58">
        <v>3.681</v>
      </c>
      <c r="M64" s="127" t="s">
        <v>113</v>
      </c>
      <c r="N64" s="1" t="s">
        <v>13</v>
      </c>
      <c r="O64" s="36"/>
      <c r="P64" s="36"/>
      <c r="Q64" s="3" t="s">
        <v>205</v>
      </c>
      <c r="R64" s="22">
        <v>3.9889999999999999</v>
      </c>
      <c r="S64" s="22">
        <v>3.8279999999999998</v>
      </c>
      <c r="T64" s="22">
        <v>4.1619999999999999</v>
      </c>
      <c r="U64" s="22">
        <v>3.5659999999999998</v>
      </c>
      <c r="V64" s="22">
        <v>3.6970000000000001</v>
      </c>
      <c r="W64" s="33"/>
      <c r="X64" s="33"/>
      <c r="Y64" s="33"/>
      <c r="Z64" s="22">
        <v>3.6739999999999999</v>
      </c>
      <c r="AA64" s="33"/>
      <c r="AB64" s="22">
        <v>3.8580000000000001</v>
      </c>
      <c r="AC64" s="22">
        <v>3.859</v>
      </c>
      <c r="AD64" s="22">
        <v>3.85</v>
      </c>
      <c r="AE64" s="22">
        <v>3.6720000000000002</v>
      </c>
      <c r="AF64" s="22">
        <v>3.84</v>
      </c>
      <c r="AG64" s="22">
        <v>3.2959999999999998</v>
      </c>
      <c r="AH64" s="22">
        <f t="shared" si="6"/>
        <v>3.5679999999999996</v>
      </c>
      <c r="AI64" s="9"/>
      <c r="AJ64" s="9"/>
      <c r="AK64" s="9"/>
      <c r="AL64" s="9"/>
      <c r="AM64" s="9"/>
      <c r="AN64" s="9"/>
      <c r="AO64" s="9"/>
      <c r="AP64" s="3"/>
      <c r="AQ64" s="8"/>
    </row>
    <row r="65" spans="1:43">
      <c r="A65" s="1">
        <f t="shared" si="2"/>
        <v>63</v>
      </c>
      <c r="B65" s="19"/>
      <c r="C65" s="1">
        <v>10</v>
      </c>
      <c r="D65" s="4">
        <f t="shared" si="1"/>
        <v>1016</v>
      </c>
      <c r="E65" s="4" t="s">
        <v>165</v>
      </c>
      <c r="F65" s="4">
        <v>3</v>
      </c>
      <c r="G65" s="4" t="s">
        <v>11</v>
      </c>
      <c r="H65" s="4" t="s">
        <v>17</v>
      </c>
      <c r="I65" s="4"/>
      <c r="J65" s="5">
        <v>97.7</v>
      </c>
      <c r="K65" s="68"/>
      <c r="L65" s="72">
        <v>3.7080000000000002</v>
      </c>
      <c r="M65" s="127" t="s">
        <v>113</v>
      </c>
      <c r="N65" s="10" t="s">
        <v>111</v>
      </c>
      <c r="O65" s="36"/>
      <c r="P65" s="36"/>
      <c r="Q65" s="3" t="s">
        <v>205</v>
      </c>
      <c r="R65" s="22">
        <v>4.2</v>
      </c>
      <c r="S65" s="22">
        <v>3.976</v>
      </c>
      <c r="T65" s="22">
        <v>4.1550000000000002</v>
      </c>
      <c r="U65" s="22">
        <v>3.2370000000000001</v>
      </c>
      <c r="V65" s="22">
        <v>3.5910000000000002</v>
      </c>
      <c r="W65" s="33"/>
      <c r="X65" s="33"/>
      <c r="Y65" s="33"/>
      <c r="Z65" s="22">
        <v>3.746</v>
      </c>
      <c r="AA65" s="33"/>
      <c r="AB65" s="22">
        <v>3.9569999999999999</v>
      </c>
      <c r="AC65" s="22">
        <v>3.9670000000000001</v>
      </c>
      <c r="AD65" s="22">
        <v>3.972</v>
      </c>
      <c r="AE65" s="22">
        <v>3.8010000000000002</v>
      </c>
      <c r="AF65" s="22">
        <v>3.9670000000000001</v>
      </c>
      <c r="AG65" s="22">
        <v>3.4359999999999999</v>
      </c>
      <c r="AH65" s="22">
        <f t="shared" si="6"/>
        <v>3.7015000000000002</v>
      </c>
      <c r="AI65" s="9"/>
      <c r="AJ65" s="9"/>
      <c r="AK65" s="9"/>
      <c r="AL65" s="9"/>
      <c r="AM65" s="9"/>
      <c r="AN65" s="9"/>
      <c r="AO65" s="9"/>
      <c r="AP65" s="3"/>
      <c r="AQ65" s="8"/>
    </row>
    <row r="66" spans="1:43">
      <c r="A66" s="1">
        <f t="shared" si="2"/>
        <v>64</v>
      </c>
      <c r="B66" s="19"/>
      <c r="C66" s="1">
        <v>10</v>
      </c>
      <c r="D66" s="4">
        <f t="shared" si="1"/>
        <v>1016</v>
      </c>
      <c r="E66" s="4" t="s">
        <v>166</v>
      </c>
      <c r="F66" s="4">
        <v>3</v>
      </c>
      <c r="G66" s="4" t="s">
        <v>11</v>
      </c>
      <c r="H66" s="4" t="s">
        <v>12</v>
      </c>
      <c r="I66" s="4"/>
      <c r="J66" s="5">
        <v>97.1</v>
      </c>
      <c r="K66" s="68"/>
      <c r="L66" s="58">
        <v>3.774</v>
      </c>
      <c r="M66" s="127" t="s">
        <v>113</v>
      </c>
      <c r="N66" s="1" t="s">
        <v>13</v>
      </c>
      <c r="O66" s="36"/>
      <c r="P66" s="36"/>
      <c r="Q66" s="3" t="s">
        <v>205</v>
      </c>
      <c r="R66" s="22">
        <v>4.0259999999999998</v>
      </c>
      <c r="S66" s="22">
        <v>3.7879999999999998</v>
      </c>
      <c r="T66" s="22">
        <v>4.1459999999999999</v>
      </c>
      <c r="U66" s="22">
        <v>3.6120000000000001</v>
      </c>
      <c r="V66" s="22">
        <v>3.8919999999999999</v>
      </c>
      <c r="W66" s="33"/>
      <c r="X66" s="33"/>
      <c r="Y66" s="33"/>
      <c r="Z66" s="22">
        <v>3.7730000000000001</v>
      </c>
      <c r="AA66" s="33"/>
      <c r="AB66" s="22">
        <v>4.12</v>
      </c>
      <c r="AC66" s="22">
        <v>4.1100000000000003</v>
      </c>
      <c r="AD66" s="22">
        <v>4.0039999999999996</v>
      </c>
      <c r="AE66" s="22">
        <v>3.919</v>
      </c>
      <c r="AF66" s="22">
        <v>3.79</v>
      </c>
      <c r="AG66" s="22">
        <v>3.71</v>
      </c>
      <c r="AH66" s="22">
        <f t="shared" si="6"/>
        <v>3.75</v>
      </c>
      <c r="AI66" s="9"/>
      <c r="AJ66" s="9"/>
      <c r="AK66" s="9"/>
      <c r="AL66" s="9"/>
      <c r="AM66" s="9"/>
      <c r="AN66" s="9"/>
      <c r="AO66" s="9"/>
      <c r="AP66" s="3"/>
      <c r="AQ66" s="8"/>
    </row>
    <row r="67" spans="1:43">
      <c r="A67" s="1">
        <f t="shared" si="2"/>
        <v>65</v>
      </c>
      <c r="B67" s="19"/>
      <c r="C67" s="1">
        <v>10</v>
      </c>
      <c r="D67" s="4">
        <f t="shared" si="1"/>
        <v>1016</v>
      </c>
      <c r="E67" s="4" t="s">
        <v>167</v>
      </c>
      <c r="F67" s="4">
        <v>3</v>
      </c>
      <c r="G67" s="4" t="s">
        <v>11</v>
      </c>
      <c r="H67" s="4" t="s">
        <v>12</v>
      </c>
      <c r="I67" s="4"/>
      <c r="J67" s="5">
        <v>96.2</v>
      </c>
      <c r="K67" s="68"/>
      <c r="L67" s="58">
        <v>4.359</v>
      </c>
      <c r="M67" s="127" t="s">
        <v>113</v>
      </c>
      <c r="N67" s="1" t="s">
        <v>13</v>
      </c>
      <c r="O67" s="36"/>
      <c r="P67" s="36"/>
      <c r="Q67" s="3" t="s">
        <v>205</v>
      </c>
      <c r="R67" s="22">
        <v>4.7949999999999999</v>
      </c>
      <c r="S67" s="22">
        <v>4.3310000000000004</v>
      </c>
      <c r="T67" s="22">
        <v>4.7969999999999997</v>
      </c>
      <c r="U67" s="22">
        <v>4.2610000000000001</v>
      </c>
      <c r="V67" s="22">
        <v>4.5510000000000002</v>
      </c>
      <c r="W67" s="33"/>
      <c r="X67" s="33"/>
      <c r="Y67" s="33"/>
      <c r="Z67" s="22">
        <v>4.3449999999999998</v>
      </c>
      <c r="AA67" s="33"/>
      <c r="AB67" s="22">
        <v>4.7140000000000004</v>
      </c>
      <c r="AC67" s="22">
        <v>4.7069999999999999</v>
      </c>
      <c r="AD67" s="22">
        <v>4.5860000000000003</v>
      </c>
      <c r="AE67" s="22">
        <v>4.4939999999999998</v>
      </c>
      <c r="AF67" s="22">
        <v>4.3380000000000001</v>
      </c>
      <c r="AG67" s="22">
        <v>4.4210000000000003</v>
      </c>
      <c r="AH67" s="22">
        <f t="shared" si="6"/>
        <v>4.3795000000000002</v>
      </c>
      <c r="AI67" s="9"/>
      <c r="AJ67" s="9"/>
      <c r="AK67" s="9"/>
      <c r="AL67" s="9"/>
      <c r="AM67" s="9"/>
      <c r="AN67" s="9"/>
      <c r="AO67" s="9"/>
      <c r="AP67" s="3"/>
      <c r="AQ67" s="8"/>
    </row>
    <row r="68" spans="1:43">
      <c r="A68" s="1">
        <f t="shared" si="2"/>
        <v>66</v>
      </c>
      <c r="B68" s="19"/>
      <c r="C68" s="1">
        <v>10</v>
      </c>
      <c r="D68" s="4">
        <f t="shared" ref="D68:D131" si="7">_xlfn.SWITCH(C68,1,12,2,12,3,35,4,35,5,35,6,69,7,69,8,69,9,69,1016)</f>
        <v>1016</v>
      </c>
      <c r="E68" s="4" t="s">
        <v>167</v>
      </c>
      <c r="F68" s="4">
        <v>3</v>
      </c>
      <c r="G68" s="4" t="s">
        <v>11</v>
      </c>
      <c r="H68" s="4" t="s">
        <v>12</v>
      </c>
      <c r="I68" s="4"/>
      <c r="J68" s="5">
        <v>95.3</v>
      </c>
      <c r="K68" s="68"/>
      <c r="L68" s="58">
        <v>4.641</v>
      </c>
      <c r="M68" s="127" t="s">
        <v>113</v>
      </c>
      <c r="N68" s="1" t="s">
        <v>13</v>
      </c>
      <c r="O68" s="36"/>
      <c r="P68" s="36"/>
      <c r="Q68" s="3" t="s">
        <v>205</v>
      </c>
      <c r="R68" s="22">
        <v>4.577</v>
      </c>
      <c r="S68" s="22">
        <v>4.4820000000000002</v>
      </c>
      <c r="T68" s="22">
        <v>5.2910000000000004</v>
      </c>
      <c r="U68" s="22">
        <v>4.6909999999999998</v>
      </c>
      <c r="V68" s="22">
        <v>4.9829999999999997</v>
      </c>
      <c r="W68" s="33"/>
      <c r="X68" s="33"/>
      <c r="Y68" s="33"/>
      <c r="Z68" s="22">
        <v>4.6150000000000002</v>
      </c>
      <c r="AA68" s="33"/>
      <c r="AB68" s="22">
        <v>5.1020000000000003</v>
      </c>
      <c r="AC68" s="22">
        <v>5.077</v>
      </c>
      <c r="AD68" s="22">
        <v>4.8789999999999996</v>
      </c>
      <c r="AE68" s="22">
        <v>4.8520000000000003</v>
      </c>
      <c r="AF68" s="22">
        <v>4.5140000000000002</v>
      </c>
      <c r="AG68" s="22">
        <v>4.96</v>
      </c>
      <c r="AH68" s="22">
        <f t="shared" si="6"/>
        <v>4.7370000000000001</v>
      </c>
      <c r="AI68" s="9"/>
      <c r="AJ68" s="9"/>
      <c r="AK68" s="9"/>
      <c r="AL68" s="9"/>
      <c r="AM68" s="9"/>
      <c r="AN68" s="9"/>
      <c r="AO68" s="9"/>
      <c r="AP68" s="3"/>
      <c r="AQ68" s="8"/>
    </row>
    <row r="69" spans="1:43">
      <c r="A69" s="1">
        <f t="shared" ref="A69:A132" si="8">A68+1</f>
        <v>67</v>
      </c>
      <c r="B69" s="19"/>
      <c r="C69" s="1">
        <v>10</v>
      </c>
      <c r="D69" s="4">
        <f t="shared" si="7"/>
        <v>1016</v>
      </c>
      <c r="E69" s="4" t="s">
        <v>165</v>
      </c>
      <c r="F69" s="4">
        <v>3</v>
      </c>
      <c r="G69" s="4" t="s">
        <v>11</v>
      </c>
      <c r="H69" s="4" t="s">
        <v>17</v>
      </c>
      <c r="I69" s="4"/>
      <c r="J69" s="5">
        <v>96.6</v>
      </c>
      <c r="K69" s="68"/>
      <c r="L69" s="58">
        <v>4.742</v>
      </c>
      <c r="M69" s="127" t="s">
        <v>113</v>
      </c>
      <c r="N69" s="1" t="s">
        <v>13</v>
      </c>
      <c r="O69" s="36"/>
      <c r="P69" s="36"/>
      <c r="Q69" s="3" t="s">
        <v>205</v>
      </c>
      <c r="R69" s="22">
        <v>5.0579999999999998</v>
      </c>
      <c r="S69" s="22">
        <v>4.9969999999999999</v>
      </c>
      <c r="T69" s="22">
        <v>5.2859999999999996</v>
      </c>
      <c r="U69" s="22">
        <v>4.6440000000000001</v>
      </c>
      <c r="V69" s="22">
        <v>4.8339999999999996</v>
      </c>
      <c r="W69" s="33"/>
      <c r="X69" s="33"/>
      <c r="Y69" s="33"/>
      <c r="Z69" s="22">
        <v>4.7489999999999997</v>
      </c>
      <c r="AA69" s="33"/>
      <c r="AB69" s="22">
        <v>4.9340000000000002</v>
      </c>
      <c r="AC69" s="22">
        <v>4.944</v>
      </c>
      <c r="AD69" s="22">
        <v>4.9640000000000004</v>
      </c>
      <c r="AE69" s="22">
        <v>4.7510000000000003</v>
      </c>
      <c r="AF69" s="22">
        <v>4.9820000000000002</v>
      </c>
      <c r="AG69" s="22">
        <v>4.4379999999999997</v>
      </c>
      <c r="AH69" s="22">
        <f t="shared" si="6"/>
        <v>4.71</v>
      </c>
      <c r="AI69" s="9"/>
      <c r="AJ69" s="9"/>
      <c r="AK69" s="9"/>
      <c r="AL69" s="9"/>
      <c r="AM69" s="9"/>
      <c r="AN69" s="9"/>
      <c r="AO69" s="9"/>
      <c r="AP69" s="3"/>
      <c r="AQ69" s="8"/>
    </row>
    <row r="70" spans="1:43">
      <c r="A70" s="1">
        <f t="shared" si="8"/>
        <v>68</v>
      </c>
      <c r="B70" s="19"/>
      <c r="C70" s="1">
        <v>10</v>
      </c>
      <c r="D70" s="4">
        <f t="shared" si="7"/>
        <v>1016</v>
      </c>
      <c r="E70" s="4" t="s">
        <v>149</v>
      </c>
      <c r="F70" s="4">
        <v>3</v>
      </c>
      <c r="G70" s="4" t="s">
        <v>11</v>
      </c>
      <c r="H70" s="4" t="s">
        <v>12</v>
      </c>
      <c r="I70" s="4"/>
      <c r="J70" s="5">
        <v>96.6</v>
      </c>
      <c r="K70" s="68"/>
      <c r="L70" s="58">
        <v>4.8710000000000004</v>
      </c>
      <c r="M70" s="127" t="s">
        <v>113</v>
      </c>
      <c r="N70" s="1" t="s">
        <v>13</v>
      </c>
      <c r="O70" s="36"/>
      <c r="P70" s="36"/>
      <c r="Q70" s="3" t="s">
        <v>205</v>
      </c>
      <c r="R70" s="22">
        <v>5.1950000000000003</v>
      </c>
      <c r="S70" s="22">
        <v>4.9420000000000002</v>
      </c>
      <c r="T70" s="22">
        <v>5.2169999999999996</v>
      </c>
      <c r="U70" s="22">
        <v>4.6820000000000004</v>
      </c>
      <c r="V70" s="22">
        <v>5.0129999999999999</v>
      </c>
      <c r="W70" s="33"/>
      <c r="X70" s="33"/>
      <c r="Y70" s="33"/>
      <c r="Z70" s="22">
        <v>4.8739999999999997</v>
      </c>
      <c r="AA70" s="33"/>
      <c r="AB70" s="22">
        <v>5.21</v>
      </c>
      <c r="AC70" s="22">
        <v>5.2220000000000004</v>
      </c>
      <c r="AD70" s="22">
        <v>5.1319999999999997</v>
      </c>
      <c r="AE70" s="22">
        <v>5.0149999999999997</v>
      </c>
      <c r="AF70" s="22">
        <v>4.9240000000000004</v>
      </c>
      <c r="AG70" s="22">
        <v>4.8179999999999996</v>
      </c>
      <c r="AH70" s="22">
        <f t="shared" si="6"/>
        <v>4.8710000000000004</v>
      </c>
      <c r="AI70" s="9"/>
      <c r="AJ70" s="9"/>
      <c r="AK70" s="9"/>
      <c r="AL70" s="9"/>
      <c r="AM70" s="9"/>
      <c r="AN70" s="9"/>
      <c r="AO70" s="9"/>
      <c r="AP70" s="3"/>
      <c r="AQ70" s="8"/>
    </row>
    <row r="71" spans="1:43">
      <c r="A71" s="1">
        <f t="shared" si="8"/>
        <v>69</v>
      </c>
      <c r="B71" s="2" t="s">
        <v>259</v>
      </c>
      <c r="C71" s="1">
        <v>10</v>
      </c>
      <c r="D71" s="4">
        <f t="shared" si="7"/>
        <v>1016</v>
      </c>
      <c r="E71" s="4" t="s">
        <v>137</v>
      </c>
      <c r="F71" s="4">
        <v>1</v>
      </c>
      <c r="G71" s="4" t="s">
        <v>11</v>
      </c>
      <c r="H71" s="4" t="s">
        <v>17</v>
      </c>
      <c r="I71" s="4"/>
      <c r="J71" s="5">
        <v>86</v>
      </c>
      <c r="K71" s="63" t="s">
        <v>170</v>
      </c>
      <c r="L71" s="38">
        <v>2.1620000000000004</v>
      </c>
      <c r="M71" s="127" t="s">
        <v>113</v>
      </c>
      <c r="N71" s="1" t="s">
        <v>13</v>
      </c>
      <c r="O71" s="36"/>
      <c r="P71" s="36"/>
      <c r="Q71" s="3"/>
      <c r="R71" s="22">
        <v>2.2749999999999999</v>
      </c>
      <c r="S71" s="22">
        <v>2.2749999999999999</v>
      </c>
      <c r="T71" s="22">
        <v>2.714</v>
      </c>
      <c r="U71" s="41"/>
      <c r="V71" s="40">
        <v>2.278</v>
      </c>
      <c r="W71" s="22">
        <v>2.25</v>
      </c>
      <c r="X71" s="22">
        <v>2.254</v>
      </c>
      <c r="Y71" s="22">
        <v>2.2000000000000002</v>
      </c>
      <c r="Z71" s="22">
        <v>2.169</v>
      </c>
      <c r="AA71" s="41"/>
      <c r="AB71" s="22">
        <v>2.194</v>
      </c>
      <c r="AC71" s="22">
        <v>2.2210000000000001</v>
      </c>
      <c r="AD71" s="22">
        <v>2.2429999999999999</v>
      </c>
      <c r="AE71" s="22">
        <v>1.9730000000000001</v>
      </c>
      <c r="AF71" s="22">
        <v>2.2280000000000002</v>
      </c>
      <c r="AG71" s="22">
        <v>1.986</v>
      </c>
      <c r="AH71" s="22">
        <f t="shared" ref="AH71:AH80" si="9">SUM(AF71:AG71)/2</f>
        <v>2.1070000000000002</v>
      </c>
      <c r="AI71" s="9"/>
      <c r="AJ71" s="9"/>
      <c r="AK71" s="9"/>
      <c r="AL71" s="9"/>
      <c r="AM71" s="9"/>
      <c r="AN71" s="9"/>
      <c r="AO71" s="9"/>
      <c r="AP71" s="3"/>
      <c r="AQ71" s="8"/>
    </row>
    <row r="72" spans="1:43">
      <c r="A72" s="1">
        <f t="shared" si="8"/>
        <v>70</v>
      </c>
      <c r="B72" s="19"/>
      <c r="C72" s="1">
        <v>10</v>
      </c>
      <c r="D72" s="4">
        <f t="shared" si="7"/>
        <v>1016</v>
      </c>
      <c r="E72" s="4" t="s">
        <v>118</v>
      </c>
      <c r="F72" s="4">
        <v>1</v>
      </c>
      <c r="G72" s="4" t="s">
        <v>11</v>
      </c>
      <c r="H72" s="4" t="s">
        <v>17</v>
      </c>
      <c r="I72" s="4" t="s">
        <v>208</v>
      </c>
      <c r="J72" s="75">
        <v>87.5</v>
      </c>
      <c r="K72" s="63" t="s">
        <v>170</v>
      </c>
      <c r="L72" s="38">
        <v>3.8489999999999998</v>
      </c>
      <c r="M72" s="127" t="s">
        <v>113</v>
      </c>
      <c r="N72" s="1" t="s">
        <v>13</v>
      </c>
      <c r="O72" s="36"/>
      <c r="P72" s="36"/>
      <c r="Q72" s="3"/>
      <c r="R72" s="22">
        <v>4.0979999999999999</v>
      </c>
      <c r="S72" s="22">
        <v>3.8929999999999998</v>
      </c>
      <c r="T72" s="22">
        <v>4.3490000000000002</v>
      </c>
      <c r="U72" s="43"/>
      <c r="V72" s="40">
        <v>3.9729999999999999</v>
      </c>
      <c r="W72" s="22">
        <v>3.9369999999999998</v>
      </c>
      <c r="X72" s="22">
        <v>3.9420000000000002</v>
      </c>
      <c r="Y72" s="22">
        <v>3.8769999999999998</v>
      </c>
      <c r="Z72" s="22">
        <v>3.843</v>
      </c>
      <c r="AA72" s="41"/>
      <c r="AB72" s="22">
        <v>3.7490000000000001</v>
      </c>
      <c r="AC72" s="22">
        <v>3.806</v>
      </c>
      <c r="AD72" s="22">
        <v>3.8359999999999999</v>
      </c>
      <c r="AE72" s="22">
        <v>3.5409999999999999</v>
      </c>
      <c r="AF72" s="22">
        <v>3.8210000000000002</v>
      </c>
      <c r="AG72" s="22">
        <v>3.61</v>
      </c>
      <c r="AH72" s="22">
        <f t="shared" si="9"/>
        <v>3.7155</v>
      </c>
      <c r="AI72" s="9"/>
      <c r="AJ72" s="9"/>
      <c r="AK72" s="9"/>
      <c r="AL72" s="9"/>
      <c r="AM72" s="9"/>
      <c r="AN72" s="9"/>
      <c r="AO72" s="9"/>
      <c r="AP72" s="3"/>
      <c r="AQ72" s="8"/>
    </row>
    <row r="73" spans="1:43">
      <c r="A73" s="1">
        <f t="shared" si="8"/>
        <v>71</v>
      </c>
      <c r="B73" s="19"/>
      <c r="C73" s="1">
        <v>10</v>
      </c>
      <c r="D73" s="4">
        <f t="shared" si="7"/>
        <v>1016</v>
      </c>
      <c r="E73" s="4" t="s">
        <v>137</v>
      </c>
      <c r="F73" s="4">
        <v>1</v>
      </c>
      <c r="G73" s="4" t="s">
        <v>11</v>
      </c>
      <c r="H73" s="4" t="s">
        <v>17</v>
      </c>
      <c r="I73" s="4" t="s">
        <v>208</v>
      </c>
      <c r="J73" s="75">
        <v>81.900000000000006</v>
      </c>
      <c r="K73" s="63" t="s">
        <v>170</v>
      </c>
      <c r="L73" s="45">
        <v>4.51</v>
      </c>
      <c r="M73" s="127" t="s">
        <v>113</v>
      </c>
      <c r="N73" s="10" t="s">
        <v>111</v>
      </c>
      <c r="O73" s="36"/>
      <c r="P73" s="36"/>
      <c r="Q73" s="3"/>
      <c r="R73" s="22">
        <v>4.8010000000000002</v>
      </c>
      <c r="S73" s="22">
        <v>4.6529999999999996</v>
      </c>
      <c r="T73" s="22">
        <v>5.2039999999999997</v>
      </c>
      <c r="U73" s="43"/>
      <c r="V73" s="40">
        <v>4.78</v>
      </c>
      <c r="W73" s="22">
        <v>4.657</v>
      </c>
      <c r="X73" s="22">
        <v>4.641</v>
      </c>
      <c r="Y73" s="22">
        <v>4.5789999999999997</v>
      </c>
      <c r="Z73" s="22">
        <v>4.4909999999999997</v>
      </c>
      <c r="AA73" s="41"/>
      <c r="AB73" s="22">
        <v>4.5910000000000002</v>
      </c>
      <c r="AC73" s="22">
        <v>4.6070000000000002</v>
      </c>
      <c r="AD73" s="22">
        <v>4.6189999999999998</v>
      </c>
      <c r="AE73" s="22">
        <v>4.3639999999999999</v>
      </c>
      <c r="AF73" s="22">
        <v>4.633</v>
      </c>
      <c r="AG73" s="22">
        <v>4.4160000000000004</v>
      </c>
      <c r="AH73" s="22">
        <f t="shared" si="9"/>
        <v>4.5244999999999997</v>
      </c>
      <c r="AI73" s="9"/>
      <c r="AJ73" s="9"/>
      <c r="AK73" s="9"/>
      <c r="AL73" s="9"/>
      <c r="AM73" s="9"/>
      <c r="AN73" s="9"/>
      <c r="AO73" s="9"/>
      <c r="AP73" s="3"/>
      <c r="AQ73" s="8"/>
    </row>
    <row r="74" spans="1:43">
      <c r="A74" s="1">
        <f t="shared" si="8"/>
        <v>72</v>
      </c>
      <c r="B74" s="19"/>
      <c r="C74" s="1">
        <v>10</v>
      </c>
      <c r="D74" s="4">
        <f t="shared" si="7"/>
        <v>1016</v>
      </c>
      <c r="E74" s="4" t="s">
        <v>131</v>
      </c>
      <c r="F74" s="4">
        <v>1</v>
      </c>
      <c r="G74" s="4" t="s">
        <v>14</v>
      </c>
      <c r="H74" s="4" t="s">
        <v>170</v>
      </c>
      <c r="I74" s="4"/>
      <c r="J74" s="5">
        <v>90.8</v>
      </c>
      <c r="K74" s="68"/>
      <c r="L74" s="38">
        <v>4.8739999999999997</v>
      </c>
      <c r="M74" s="127" t="s">
        <v>113</v>
      </c>
      <c r="N74" s="1" t="s">
        <v>13</v>
      </c>
      <c r="O74" s="36"/>
      <c r="P74" s="36"/>
      <c r="Q74" s="3"/>
      <c r="R74" s="22">
        <v>4.9119999999999999</v>
      </c>
      <c r="S74" s="22">
        <v>4.766</v>
      </c>
      <c r="T74" s="22">
        <v>5.2619999999999996</v>
      </c>
      <c r="U74" s="43"/>
      <c r="V74" s="40">
        <v>4.9029999999999996</v>
      </c>
      <c r="W74" s="22">
        <v>4.8970000000000002</v>
      </c>
      <c r="X74" s="22">
        <v>4.9050000000000002</v>
      </c>
      <c r="Y74" s="22">
        <v>4.8879999999999999</v>
      </c>
      <c r="Z74" s="22">
        <v>4.8550000000000004</v>
      </c>
      <c r="AA74" s="41"/>
      <c r="AB74" s="22">
        <v>4.9649999999999999</v>
      </c>
      <c r="AC74" s="22">
        <v>4.9249999999999998</v>
      </c>
      <c r="AD74" s="22">
        <v>4.8739999999999997</v>
      </c>
      <c r="AE74" s="22">
        <v>4.8380000000000001</v>
      </c>
      <c r="AF74" s="22">
        <v>4.79</v>
      </c>
      <c r="AG74" s="22">
        <v>4.702</v>
      </c>
      <c r="AH74" s="22">
        <f t="shared" si="9"/>
        <v>4.7460000000000004</v>
      </c>
      <c r="AI74" s="9"/>
      <c r="AJ74" s="9"/>
      <c r="AK74" s="9"/>
      <c r="AL74" s="9"/>
      <c r="AM74" s="9"/>
      <c r="AN74" s="9"/>
      <c r="AO74" s="9"/>
      <c r="AP74" s="3"/>
      <c r="AQ74" s="8"/>
    </row>
    <row r="75" spans="1:43">
      <c r="A75" s="1">
        <f t="shared" si="8"/>
        <v>73</v>
      </c>
      <c r="B75" s="19"/>
      <c r="C75" s="1">
        <v>10</v>
      </c>
      <c r="D75" s="4">
        <f t="shared" si="7"/>
        <v>1016</v>
      </c>
      <c r="E75" s="4" t="s">
        <v>118</v>
      </c>
      <c r="F75" s="4">
        <v>1</v>
      </c>
      <c r="G75" s="4" t="s">
        <v>11</v>
      </c>
      <c r="H75" s="4" t="s">
        <v>17</v>
      </c>
      <c r="I75" s="4"/>
      <c r="J75" s="62">
        <v>85.5</v>
      </c>
      <c r="K75" s="63" t="s">
        <v>170</v>
      </c>
      <c r="L75" s="45">
        <v>4.9560000000000004</v>
      </c>
      <c r="M75" s="127" t="s">
        <v>113</v>
      </c>
      <c r="N75" s="10" t="s">
        <v>111</v>
      </c>
      <c r="O75" s="36"/>
      <c r="P75" s="36"/>
      <c r="Q75" s="3"/>
      <c r="R75" s="22">
        <v>4.984</v>
      </c>
      <c r="S75" s="22">
        <v>4.82</v>
      </c>
      <c r="T75" s="22">
        <v>5.4980000000000002</v>
      </c>
      <c r="U75" s="43"/>
      <c r="V75" s="40">
        <v>5.2160000000000002</v>
      </c>
      <c r="W75" s="22">
        <v>5.0359999999999996</v>
      </c>
      <c r="X75" s="22">
        <v>4.9859999999999998</v>
      </c>
      <c r="Y75" s="22">
        <v>5.0279999999999996</v>
      </c>
      <c r="Z75" s="22">
        <v>4.9139999999999997</v>
      </c>
      <c r="AA75" s="41"/>
      <c r="AB75" s="22">
        <v>4.8620000000000001</v>
      </c>
      <c r="AC75" s="22">
        <v>4.9610000000000003</v>
      </c>
      <c r="AD75" s="22">
        <v>4.915</v>
      </c>
      <c r="AE75" s="22">
        <v>4.6459999999999999</v>
      </c>
      <c r="AF75" s="22">
        <v>4.6959999999999997</v>
      </c>
      <c r="AG75" s="22">
        <v>4.6529999999999996</v>
      </c>
      <c r="AH75" s="22">
        <f t="shared" si="9"/>
        <v>4.6745000000000001</v>
      </c>
      <c r="AI75" s="9"/>
      <c r="AJ75" s="9"/>
      <c r="AK75" s="9"/>
      <c r="AL75" s="9"/>
      <c r="AM75" s="9"/>
      <c r="AN75" s="9"/>
      <c r="AO75" s="9"/>
      <c r="AP75" s="3"/>
      <c r="AQ75" s="8"/>
    </row>
    <row r="76" spans="1:43">
      <c r="A76" s="1">
        <f t="shared" si="8"/>
        <v>74</v>
      </c>
      <c r="B76" s="19"/>
      <c r="C76" s="1">
        <v>10</v>
      </c>
      <c r="D76" s="4">
        <f t="shared" si="7"/>
        <v>1016</v>
      </c>
      <c r="E76" s="4" t="s">
        <v>128</v>
      </c>
      <c r="F76" s="4">
        <v>1</v>
      </c>
      <c r="G76" s="4" t="s">
        <v>14</v>
      </c>
      <c r="H76" s="4" t="s">
        <v>170</v>
      </c>
      <c r="I76" s="4"/>
      <c r="J76" s="75">
        <v>91.3</v>
      </c>
      <c r="K76" s="63" t="s">
        <v>170</v>
      </c>
      <c r="L76" s="38">
        <v>5.3020000000000005</v>
      </c>
      <c r="M76" s="127" t="s">
        <v>113</v>
      </c>
      <c r="N76" s="1" t="s">
        <v>13</v>
      </c>
      <c r="O76" s="36"/>
      <c r="P76" s="36"/>
      <c r="Q76" s="3"/>
      <c r="R76" s="22">
        <v>5.2839999999999998</v>
      </c>
      <c r="S76" s="22">
        <v>5.1749999999999998</v>
      </c>
      <c r="T76" s="22">
        <v>5.6680000000000001</v>
      </c>
      <c r="U76" s="43"/>
      <c r="V76" s="42">
        <v>5.3120000000000003</v>
      </c>
      <c r="W76" s="22">
        <v>5.3170000000000002</v>
      </c>
      <c r="X76" s="22">
        <v>5.327</v>
      </c>
      <c r="Y76" s="22">
        <v>5.3079999999999998</v>
      </c>
      <c r="Z76" s="22">
        <v>5.2850000000000001</v>
      </c>
      <c r="AA76" s="41"/>
      <c r="AB76" s="22">
        <v>5.3739999999999997</v>
      </c>
      <c r="AC76" s="22">
        <v>5.3339999999999996</v>
      </c>
      <c r="AD76" s="22">
        <v>5.2809999999999997</v>
      </c>
      <c r="AE76" s="22">
        <v>5.25</v>
      </c>
      <c r="AF76" s="22">
        <v>5.202</v>
      </c>
      <c r="AG76" s="22">
        <v>5.1079999999999997</v>
      </c>
      <c r="AH76" s="22">
        <f t="shared" si="9"/>
        <v>5.1549999999999994</v>
      </c>
      <c r="AI76" s="9"/>
      <c r="AJ76" s="9"/>
      <c r="AK76" s="9"/>
      <c r="AL76" s="9"/>
      <c r="AM76" s="9"/>
      <c r="AN76" s="9"/>
      <c r="AO76" s="9"/>
      <c r="AP76" s="3"/>
      <c r="AQ76" s="8"/>
    </row>
    <row r="77" spans="1:43">
      <c r="A77" s="1">
        <f t="shared" si="8"/>
        <v>75</v>
      </c>
      <c r="B77" s="19"/>
      <c r="C77" s="1">
        <v>10</v>
      </c>
      <c r="D77" s="4">
        <f t="shared" si="7"/>
        <v>1016</v>
      </c>
      <c r="E77" s="4" t="s">
        <v>142</v>
      </c>
      <c r="F77" s="4">
        <v>3</v>
      </c>
      <c r="G77" s="4" t="s">
        <v>11</v>
      </c>
      <c r="H77" s="4" t="s">
        <v>17</v>
      </c>
      <c r="I77" s="4"/>
      <c r="J77" s="5">
        <v>96.1</v>
      </c>
      <c r="K77" s="68"/>
      <c r="L77" s="45">
        <v>2.1760000000000002</v>
      </c>
      <c r="M77" s="127" t="s">
        <v>158</v>
      </c>
      <c r="N77" s="10" t="s">
        <v>111</v>
      </c>
      <c r="O77" s="36"/>
      <c r="P77" s="36"/>
      <c r="Q77" s="3"/>
      <c r="R77" s="42">
        <v>2.3769999999999998</v>
      </c>
      <c r="S77" s="42">
        <v>2.2919999999999998</v>
      </c>
      <c r="T77" s="42">
        <v>2.714</v>
      </c>
      <c r="U77" s="43"/>
      <c r="V77" s="40">
        <v>2.1989999999999998</v>
      </c>
      <c r="W77" s="41"/>
      <c r="X77" s="41"/>
      <c r="Y77" s="41"/>
      <c r="Z77" s="41"/>
      <c r="AA77" s="41"/>
      <c r="AB77" s="42">
        <v>2.331</v>
      </c>
      <c r="AC77" s="42">
        <v>2.379</v>
      </c>
      <c r="AD77" s="42">
        <v>2.351</v>
      </c>
      <c r="AE77" s="42">
        <v>2.1389999999999998</v>
      </c>
      <c r="AF77" s="40">
        <v>2.2269999999999999</v>
      </c>
      <c r="AG77" s="42">
        <v>1.8420000000000001</v>
      </c>
      <c r="AH77" s="42">
        <f t="shared" si="9"/>
        <v>2.0345</v>
      </c>
      <c r="AI77" s="9"/>
      <c r="AJ77" s="9"/>
      <c r="AK77" s="9"/>
      <c r="AL77" s="9"/>
      <c r="AM77" s="9"/>
      <c r="AN77" s="9"/>
      <c r="AO77" s="9"/>
      <c r="AP77" s="3"/>
      <c r="AQ77" s="8"/>
    </row>
    <row r="78" spans="1:43">
      <c r="A78" s="1">
        <f t="shared" si="8"/>
        <v>76</v>
      </c>
      <c r="B78" s="19"/>
      <c r="C78" s="1">
        <v>10</v>
      </c>
      <c r="D78" s="4">
        <f t="shared" si="7"/>
        <v>1016</v>
      </c>
      <c r="E78" s="4" t="s">
        <v>143</v>
      </c>
      <c r="F78" s="4">
        <v>3</v>
      </c>
      <c r="G78" s="4" t="s">
        <v>11</v>
      </c>
      <c r="H78" s="4" t="s">
        <v>17</v>
      </c>
      <c r="I78" s="4"/>
      <c r="J78" s="5">
        <v>97.4</v>
      </c>
      <c r="K78" s="68"/>
      <c r="L78" s="45">
        <v>2.4649999999999999</v>
      </c>
      <c r="M78" s="127" t="s">
        <v>158</v>
      </c>
      <c r="N78" s="10" t="s">
        <v>111</v>
      </c>
      <c r="O78" s="36"/>
      <c r="P78" s="36"/>
      <c r="Q78" s="3"/>
      <c r="R78" s="42">
        <v>2.859</v>
      </c>
      <c r="S78" s="42">
        <v>2.6720000000000002</v>
      </c>
      <c r="T78" s="42">
        <v>4.3490000000000002</v>
      </c>
      <c r="U78" s="43"/>
      <c r="V78" s="40">
        <v>2.2829999999999999</v>
      </c>
      <c r="W78" s="43"/>
      <c r="X78" s="43"/>
      <c r="Y78" s="43"/>
      <c r="Z78" s="41"/>
      <c r="AA78" s="41"/>
      <c r="AB78" s="42">
        <v>2.6219999999999999</v>
      </c>
      <c r="AC78" s="42">
        <v>2.6349999999999998</v>
      </c>
      <c r="AD78" s="42">
        <v>2.6469999999999998</v>
      </c>
      <c r="AE78" s="42">
        <v>2.4649999999999999</v>
      </c>
      <c r="AF78" s="40">
        <v>2.6459999999999999</v>
      </c>
      <c r="AG78" s="42">
        <v>2.169</v>
      </c>
      <c r="AH78" s="42">
        <f t="shared" si="9"/>
        <v>2.4074999999999998</v>
      </c>
      <c r="AI78" s="9"/>
      <c r="AJ78" s="9"/>
      <c r="AK78" s="9"/>
      <c r="AL78" s="9"/>
      <c r="AM78" s="9"/>
      <c r="AN78" s="9"/>
      <c r="AO78" s="9"/>
      <c r="AP78" s="3"/>
      <c r="AQ78" s="8"/>
    </row>
    <row r="79" spans="1:43">
      <c r="A79" s="1">
        <f t="shared" si="8"/>
        <v>77</v>
      </c>
      <c r="B79" s="19"/>
      <c r="C79" s="1">
        <v>10</v>
      </c>
      <c r="D79" s="4">
        <f t="shared" si="7"/>
        <v>1016</v>
      </c>
      <c r="E79" s="4" t="s">
        <v>143</v>
      </c>
      <c r="F79" s="4">
        <v>3</v>
      </c>
      <c r="G79" s="4" t="s">
        <v>11</v>
      </c>
      <c r="H79" s="4" t="s">
        <v>17</v>
      </c>
      <c r="I79" s="4"/>
      <c r="J79" s="75">
        <v>96.2</v>
      </c>
      <c r="K79" s="68"/>
      <c r="L79" s="45">
        <v>2.8820000000000001</v>
      </c>
      <c r="M79" s="127" t="s">
        <v>158</v>
      </c>
      <c r="N79" s="10" t="s">
        <v>111</v>
      </c>
      <c r="O79" s="36"/>
      <c r="P79" s="36"/>
      <c r="Q79" s="3"/>
      <c r="R79" s="42">
        <v>3.109</v>
      </c>
      <c r="S79" s="42">
        <v>3.0569999999999999</v>
      </c>
      <c r="T79" s="42">
        <v>5.4980000000000002</v>
      </c>
      <c r="U79" s="43"/>
      <c r="V79" s="40">
        <v>2.9239999999999999</v>
      </c>
      <c r="W79" s="41"/>
      <c r="X79" s="41"/>
      <c r="Y79" s="41"/>
      <c r="Z79" s="41"/>
      <c r="AA79" s="41"/>
      <c r="AB79" s="42">
        <v>2.9910000000000001</v>
      </c>
      <c r="AC79" s="42">
        <v>3.012</v>
      </c>
      <c r="AD79" s="42">
        <v>3.028</v>
      </c>
      <c r="AE79" s="42">
        <v>2.806</v>
      </c>
      <c r="AF79" s="40">
        <v>3.024</v>
      </c>
      <c r="AG79" s="42">
        <v>2.5459999999999998</v>
      </c>
      <c r="AH79" s="42">
        <f t="shared" si="9"/>
        <v>2.7850000000000001</v>
      </c>
      <c r="AI79" s="9"/>
      <c r="AJ79" s="9"/>
      <c r="AK79" s="9"/>
      <c r="AL79" s="9"/>
      <c r="AM79" s="9"/>
      <c r="AN79" s="9"/>
      <c r="AO79" s="9"/>
      <c r="AP79" s="3"/>
      <c r="AQ79" s="8"/>
    </row>
    <row r="80" spans="1:43">
      <c r="A80" s="1">
        <f t="shared" si="8"/>
        <v>78</v>
      </c>
      <c r="B80" s="19"/>
      <c r="C80" s="1">
        <v>10</v>
      </c>
      <c r="D80" s="4">
        <f t="shared" si="7"/>
        <v>1016</v>
      </c>
      <c r="E80" s="4" t="s">
        <v>142</v>
      </c>
      <c r="F80" s="4">
        <v>3</v>
      </c>
      <c r="G80" s="4" t="s">
        <v>11</v>
      </c>
      <c r="H80" s="4" t="s">
        <v>17</v>
      </c>
      <c r="I80" s="4"/>
      <c r="J80" s="75">
        <v>95.9</v>
      </c>
      <c r="K80" s="68"/>
      <c r="L80" s="45">
        <v>4.133</v>
      </c>
      <c r="M80" s="127" t="s">
        <v>158</v>
      </c>
      <c r="N80" s="10" t="s">
        <v>111</v>
      </c>
      <c r="O80" s="36"/>
      <c r="P80" s="36"/>
      <c r="Q80" s="3"/>
      <c r="R80" s="42">
        <v>4.4240000000000004</v>
      </c>
      <c r="S80" s="42">
        <v>4.3470000000000004</v>
      </c>
      <c r="T80" s="42">
        <v>5.2039999999999997</v>
      </c>
      <c r="U80" s="43"/>
      <c r="V80" s="42">
        <v>4.18</v>
      </c>
      <c r="W80" s="43"/>
      <c r="X80" s="43"/>
      <c r="Y80" s="43"/>
      <c r="Z80" s="43"/>
      <c r="AA80" s="43"/>
      <c r="AB80" s="42">
        <v>4.2489999999999997</v>
      </c>
      <c r="AC80" s="42">
        <v>4.29</v>
      </c>
      <c r="AD80" s="42">
        <v>4.3090000000000002</v>
      </c>
      <c r="AE80" s="42">
        <v>4.069</v>
      </c>
      <c r="AF80" s="42">
        <v>4.2990000000000004</v>
      </c>
      <c r="AG80" s="42">
        <v>3.758</v>
      </c>
      <c r="AH80" s="42">
        <f t="shared" si="9"/>
        <v>4.0285000000000002</v>
      </c>
      <c r="AI80" s="9"/>
      <c r="AJ80" s="9"/>
      <c r="AK80" s="9"/>
      <c r="AL80" s="9"/>
      <c r="AM80" s="9"/>
      <c r="AN80" s="9"/>
      <c r="AO80" s="9"/>
      <c r="AP80" s="3"/>
      <c r="AQ80" s="8"/>
    </row>
    <row r="81" spans="1:43">
      <c r="A81" s="1">
        <f t="shared" si="8"/>
        <v>79</v>
      </c>
      <c r="B81" s="2" t="s">
        <v>19</v>
      </c>
      <c r="C81" s="1">
        <v>6</v>
      </c>
      <c r="D81" s="4">
        <f t="shared" si="7"/>
        <v>69</v>
      </c>
      <c r="E81" s="4" t="s">
        <v>161</v>
      </c>
      <c r="F81" s="4">
        <v>1</v>
      </c>
      <c r="G81" s="4" t="s">
        <v>11</v>
      </c>
      <c r="H81" s="4" t="s">
        <v>17</v>
      </c>
      <c r="I81" s="4"/>
      <c r="J81" s="5">
        <v>86.3</v>
      </c>
      <c r="K81" s="68"/>
      <c r="L81" s="38">
        <v>5.0449999999999999</v>
      </c>
      <c r="M81" s="127" t="s">
        <v>212</v>
      </c>
      <c r="N81" s="1" t="s">
        <v>13</v>
      </c>
      <c r="O81" s="22">
        <v>5.0439999999999987</v>
      </c>
      <c r="P81" s="1" t="s">
        <v>7</v>
      </c>
      <c r="Q81" s="3" t="s">
        <v>205</v>
      </c>
      <c r="R81" s="22">
        <v>5.3170000000000002</v>
      </c>
      <c r="S81" s="22">
        <v>5.26</v>
      </c>
      <c r="T81" s="22">
        <v>5.4329999999999998</v>
      </c>
      <c r="U81" s="22">
        <v>4.82</v>
      </c>
      <c r="V81" s="22">
        <v>5.2030000000000003</v>
      </c>
      <c r="W81" s="22">
        <v>5.1340000000000003</v>
      </c>
      <c r="X81" s="22">
        <v>5.1390000000000002</v>
      </c>
      <c r="Y81" s="22">
        <v>5.1109999999999998</v>
      </c>
      <c r="Z81" s="22">
        <v>5.0860000000000003</v>
      </c>
      <c r="AA81" s="22">
        <v>5.0620000000000003</v>
      </c>
      <c r="AB81" s="22">
        <v>5.0309999999999997</v>
      </c>
      <c r="AC81" s="22">
        <v>5.0179999999999998</v>
      </c>
      <c r="AD81" s="22">
        <v>5.0990000000000002</v>
      </c>
      <c r="AE81" s="22">
        <v>4.8129999999999997</v>
      </c>
      <c r="AF81" s="22">
        <v>5.2690000000000001</v>
      </c>
      <c r="AG81" s="22">
        <v>5.0069999999999997</v>
      </c>
      <c r="AH81" s="6">
        <f t="shared" ref="AH81:AH93" si="10">IF((AF81&lt;&gt;0)*AND(AG81&lt;&gt;0),AVERAGE(AF81:AG81),"")</f>
        <v>5.1379999999999999</v>
      </c>
      <c r="AI81" s="7">
        <v>4.9800000000000004</v>
      </c>
      <c r="AJ81" s="7">
        <v>5.14</v>
      </c>
      <c r="AK81" s="7">
        <v>4.66</v>
      </c>
      <c r="AL81" s="7">
        <v>5.09</v>
      </c>
      <c r="AM81" s="7">
        <v>5.01</v>
      </c>
      <c r="AN81" s="7">
        <v>5.35</v>
      </c>
      <c r="AO81" s="7">
        <v>5.32</v>
      </c>
      <c r="AP81" s="3"/>
      <c r="AQ81" s="8"/>
    </row>
    <row r="82" spans="1:43">
      <c r="A82" s="1">
        <f t="shared" si="8"/>
        <v>80</v>
      </c>
      <c r="B82" s="19"/>
      <c r="C82" s="1">
        <v>6</v>
      </c>
      <c r="D82" s="4">
        <f t="shared" si="7"/>
        <v>69</v>
      </c>
      <c r="E82" s="4" t="s">
        <v>162</v>
      </c>
      <c r="F82" s="4">
        <v>1</v>
      </c>
      <c r="G82" s="4" t="s">
        <v>11</v>
      </c>
      <c r="H82" s="4" t="s">
        <v>17</v>
      </c>
      <c r="I82" s="4"/>
      <c r="J82" s="5">
        <v>92.9</v>
      </c>
      <c r="K82" s="68"/>
      <c r="L82" s="38">
        <v>6.4329999999999989</v>
      </c>
      <c r="M82" s="127" t="s">
        <v>212</v>
      </c>
      <c r="N82" s="1" t="s">
        <v>13</v>
      </c>
      <c r="O82" s="22">
        <v>6.4239999999999995</v>
      </c>
      <c r="P82" s="1" t="s">
        <v>7</v>
      </c>
      <c r="Q82" s="3" t="s">
        <v>205</v>
      </c>
      <c r="R82" s="22">
        <v>6.6050000000000004</v>
      </c>
      <c r="S82" s="22">
        <v>6.48</v>
      </c>
      <c r="T82" s="22">
        <v>6.64</v>
      </c>
      <c r="U82" s="22">
        <v>6.4240000000000004</v>
      </c>
      <c r="V82" s="22">
        <v>6.4989999999999997</v>
      </c>
      <c r="W82" s="22">
        <v>6.468</v>
      </c>
      <c r="X82" s="22">
        <v>6.4660000000000002</v>
      </c>
      <c r="Y82" s="22">
        <v>6.4470000000000001</v>
      </c>
      <c r="Z82" s="22">
        <v>6.4420000000000002</v>
      </c>
      <c r="AA82" s="22">
        <v>6.4470000000000001</v>
      </c>
      <c r="AB82" s="22">
        <v>6.3179999999999996</v>
      </c>
      <c r="AC82" s="22">
        <v>6.3460000000000001</v>
      </c>
      <c r="AD82" s="22">
        <v>6.391</v>
      </c>
      <c r="AE82" s="22">
        <v>6.1559999999999997</v>
      </c>
      <c r="AF82" s="22">
        <v>6.4539999999999997</v>
      </c>
      <c r="AG82" s="22">
        <v>6.242</v>
      </c>
      <c r="AH82" s="6">
        <f t="shared" si="10"/>
        <v>6.3479999999999999</v>
      </c>
      <c r="AI82" s="7">
        <v>7.27</v>
      </c>
      <c r="AJ82" s="7">
        <v>6.65</v>
      </c>
      <c r="AK82" s="7">
        <v>6.23</v>
      </c>
      <c r="AL82" s="7">
        <v>6.67</v>
      </c>
      <c r="AM82" s="7">
        <v>6.58</v>
      </c>
      <c r="AN82" s="7">
        <v>6.48</v>
      </c>
      <c r="AO82" s="7">
        <v>6.43</v>
      </c>
      <c r="AP82" s="3"/>
      <c r="AQ82" s="8"/>
    </row>
    <row r="83" spans="1:43">
      <c r="A83" s="1">
        <f t="shared" si="8"/>
        <v>81</v>
      </c>
      <c r="B83" s="19"/>
      <c r="C83" s="1">
        <v>6</v>
      </c>
      <c r="D83" s="4">
        <f t="shared" si="7"/>
        <v>69</v>
      </c>
      <c r="E83" s="4" t="s">
        <v>234</v>
      </c>
      <c r="F83" s="4">
        <v>1</v>
      </c>
      <c r="G83" s="4" t="s">
        <v>14</v>
      </c>
      <c r="H83" s="4" t="s">
        <v>22</v>
      </c>
      <c r="I83" s="4"/>
      <c r="J83" s="5">
        <v>92.8</v>
      </c>
      <c r="K83" s="68"/>
      <c r="L83" s="38">
        <v>6.516</v>
      </c>
      <c r="M83" s="127" t="s">
        <v>212</v>
      </c>
      <c r="N83" s="1" t="s">
        <v>13</v>
      </c>
      <c r="O83" s="22">
        <v>6.5380000000000003</v>
      </c>
      <c r="P83" s="1" t="s">
        <v>7</v>
      </c>
      <c r="Q83" s="3" t="s">
        <v>205</v>
      </c>
      <c r="R83" s="22">
        <v>6.5650000000000004</v>
      </c>
      <c r="S83" s="22">
        <v>6.47</v>
      </c>
      <c r="T83" s="22">
        <v>6.7919999999999998</v>
      </c>
      <c r="U83" s="22">
        <v>6.665</v>
      </c>
      <c r="V83" s="22">
        <v>6.577</v>
      </c>
      <c r="W83" s="22">
        <v>6.5369999999999999</v>
      </c>
      <c r="X83" s="22">
        <v>6.5430000000000001</v>
      </c>
      <c r="Y83" s="22">
        <v>6.5380000000000003</v>
      </c>
      <c r="Z83" s="22">
        <v>6.52</v>
      </c>
      <c r="AA83" s="22">
        <v>6.524</v>
      </c>
      <c r="AB83" s="22">
        <v>6.6260000000000003</v>
      </c>
      <c r="AC83" s="22">
        <v>6.57</v>
      </c>
      <c r="AD83" s="22">
        <v>6.5369999999999999</v>
      </c>
      <c r="AE83" s="22">
        <v>6.5090000000000003</v>
      </c>
      <c r="AF83" s="22">
        <v>6.524</v>
      </c>
      <c r="AG83" s="22">
        <v>6.38</v>
      </c>
      <c r="AH83" s="6">
        <f t="shared" si="10"/>
        <v>6.452</v>
      </c>
      <c r="AI83" s="7">
        <v>5.9</v>
      </c>
      <c r="AJ83" s="7">
        <v>6.7</v>
      </c>
      <c r="AK83" s="7">
        <v>6.57</v>
      </c>
      <c r="AL83" s="7">
        <v>6.56</v>
      </c>
      <c r="AM83" s="7">
        <v>6.51</v>
      </c>
      <c r="AN83" s="7">
        <v>6.76</v>
      </c>
      <c r="AO83" s="7">
        <v>6.75</v>
      </c>
      <c r="AP83" s="3"/>
      <c r="AQ83" s="8"/>
    </row>
    <row r="84" spans="1:43">
      <c r="A84" s="1">
        <f t="shared" si="8"/>
        <v>82</v>
      </c>
      <c r="B84" s="19"/>
      <c r="C84" s="1">
        <v>6</v>
      </c>
      <c r="D84" s="4">
        <f t="shared" si="7"/>
        <v>69</v>
      </c>
      <c r="E84" s="4" t="s">
        <v>235</v>
      </c>
      <c r="F84" s="4">
        <v>1</v>
      </c>
      <c r="G84" s="4" t="s">
        <v>14</v>
      </c>
      <c r="H84" s="4" t="s">
        <v>23</v>
      </c>
      <c r="I84" s="4"/>
      <c r="J84" s="5">
        <v>93.4</v>
      </c>
      <c r="K84" s="63">
        <v>6.6000000000000003E-2</v>
      </c>
      <c r="L84" s="38">
        <v>7.0789999999999997</v>
      </c>
      <c r="M84" s="127" t="s">
        <v>212</v>
      </c>
      <c r="N84" s="1" t="s">
        <v>13</v>
      </c>
      <c r="O84" s="22">
        <v>7.0949999999999998</v>
      </c>
      <c r="P84" s="1" t="s">
        <v>7</v>
      </c>
      <c r="Q84" s="3" t="s">
        <v>205</v>
      </c>
      <c r="R84" s="22">
        <v>7.085</v>
      </c>
      <c r="S84" s="22">
        <v>7.0019999999999998</v>
      </c>
      <c r="T84" s="22">
        <v>7.3319999999999999</v>
      </c>
      <c r="U84" s="22">
        <v>7.1769999999999996</v>
      </c>
      <c r="V84" s="22">
        <v>7.1180000000000003</v>
      </c>
      <c r="W84" s="22">
        <v>7.093</v>
      </c>
      <c r="X84" s="22">
        <v>7.1</v>
      </c>
      <c r="Y84" s="22">
        <v>7.0880000000000001</v>
      </c>
      <c r="Z84" s="22">
        <v>7.0789999999999997</v>
      </c>
      <c r="AA84" s="22">
        <v>7.0839999999999996</v>
      </c>
      <c r="AB84" s="22">
        <v>7.1550000000000002</v>
      </c>
      <c r="AC84" s="22">
        <v>7.0979999999999999</v>
      </c>
      <c r="AD84" s="22">
        <v>7.0659999999999998</v>
      </c>
      <c r="AE84" s="22">
        <v>7.0460000000000003</v>
      </c>
      <c r="AF84" s="22">
        <v>7.056</v>
      </c>
      <c r="AG84" s="22">
        <v>6.9169999999999998</v>
      </c>
      <c r="AH84" s="6">
        <f t="shared" si="10"/>
        <v>6.9864999999999995</v>
      </c>
      <c r="AI84" s="7">
        <v>6.14</v>
      </c>
      <c r="AJ84" s="7">
        <v>7.21</v>
      </c>
      <c r="AK84" s="7">
        <v>7.07</v>
      </c>
      <c r="AL84" s="7">
        <v>7.07</v>
      </c>
      <c r="AM84" s="7">
        <v>7.02</v>
      </c>
      <c r="AN84" s="7">
        <v>7.4</v>
      </c>
      <c r="AO84" s="7">
        <v>7.4</v>
      </c>
      <c r="AP84" s="3"/>
      <c r="AQ84" s="8"/>
    </row>
    <row r="85" spans="1:43">
      <c r="A85" s="1">
        <f t="shared" si="8"/>
        <v>83</v>
      </c>
      <c r="B85" s="19"/>
      <c r="C85" s="1">
        <v>6</v>
      </c>
      <c r="D85" s="4">
        <f t="shared" si="7"/>
        <v>69</v>
      </c>
      <c r="E85" s="4" t="s">
        <v>236</v>
      </c>
      <c r="F85" s="4">
        <v>1</v>
      </c>
      <c r="G85" s="4" t="s">
        <v>14</v>
      </c>
      <c r="H85" s="4" t="s">
        <v>23</v>
      </c>
      <c r="I85" s="4"/>
      <c r="J85" s="5">
        <v>92.8</v>
      </c>
      <c r="K85" s="68"/>
      <c r="L85" s="38">
        <v>7.145999999999999</v>
      </c>
      <c r="M85" s="127" t="s">
        <v>212</v>
      </c>
      <c r="N85" s="1" t="s">
        <v>13</v>
      </c>
      <c r="O85" s="22">
        <v>7.161999999999999</v>
      </c>
      <c r="P85" s="1" t="s">
        <v>7</v>
      </c>
      <c r="Q85" s="3" t="s">
        <v>205</v>
      </c>
      <c r="R85" s="22">
        <v>7.1440000000000001</v>
      </c>
      <c r="S85" s="22">
        <v>7.0640000000000001</v>
      </c>
      <c r="T85" s="22">
        <v>7.4169999999999998</v>
      </c>
      <c r="U85" s="22">
        <v>7.2679999999999998</v>
      </c>
      <c r="V85" s="22">
        <v>7.1970000000000001</v>
      </c>
      <c r="W85" s="22">
        <v>7.1639999999999997</v>
      </c>
      <c r="X85" s="22">
        <v>7.1710000000000003</v>
      </c>
      <c r="Y85" s="22">
        <v>7.1639999999999997</v>
      </c>
      <c r="Z85" s="22">
        <v>7.1470000000000002</v>
      </c>
      <c r="AA85" s="22">
        <v>7.1509999999999998</v>
      </c>
      <c r="AB85" s="22">
        <v>7.2329999999999997</v>
      </c>
      <c r="AC85" s="22">
        <v>7.1749999999999998</v>
      </c>
      <c r="AD85" s="22">
        <v>7.1379999999999999</v>
      </c>
      <c r="AE85" s="22">
        <v>7.1180000000000003</v>
      </c>
      <c r="AF85" s="22">
        <v>7.1189999999999998</v>
      </c>
      <c r="AG85" s="22">
        <v>7.0010000000000003</v>
      </c>
      <c r="AH85" s="6">
        <f t="shared" si="10"/>
        <v>7.0600000000000005</v>
      </c>
      <c r="AI85" s="7">
        <v>6.21</v>
      </c>
      <c r="AJ85" s="7">
        <v>7.26</v>
      </c>
      <c r="AK85" s="7">
        <v>7.12</v>
      </c>
      <c r="AL85" s="7">
        <v>7.13</v>
      </c>
      <c r="AM85" s="7">
        <v>7.08</v>
      </c>
      <c r="AN85" s="7">
        <v>7.45</v>
      </c>
      <c r="AO85" s="7">
        <v>7.45</v>
      </c>
      <c r="AP85" s="3"/>
      <c r="AQ85" s="8"/>
    </row>
    <row r="86" spans="1:43">
      <c r="A86" s="1">
        <f t="shared" si="8"/>
        <v>84</v>
      </c>
      <c r="B86" s="19"/>
      <c r="C86" s="1">
        <v>6</v>
      </c>
      <c r="D86" s="4">
        <f t="shared" si="7"/>
        <v>69</v>
      </c>
      <c r="E86" s="4" t="s">
        <v>253</v>
      </c>
      <c r="F86" s="4">
        <v>1</v>
      </c>
      <c r="G86" s="4" t="s">
        <v>14</v>
      </c>
      <c r="H86" s="4" t="s">
        <v>23</v>
      </c>
      <c r="I86" s="4"/>
      <c r="J86" s="5">
        <v>92.2</v>
      </c>
      <c r="K86" s="68"/>
      <c r="L86" s="38">
        <v>7.2319999999999984</v>
      </c>
      <c r="M86" s="127" t="s">
        <v>212</v>
      </c>
      <c r="N86" s="1" t="s">
        <v>13</v>
      </c>
      <c r="O86" s="22">
        <v>7.2459999999999987</v>
      </c>
      <c r="P86" s="1" t="s">
        <v>7</v>
      </c>
      <c r="Q86" s="3"/>
      <c r="R86" s="22">
        <v>7.2220000000000004</v>
      </c>
      <c r="S86" s="22">
        <v>7.1479999999999997</v>
      </c>
      <c r="T86" s="22">
        <v>7.5209999999999999</v>
      </c>
      <c r="U86" s="22">
        <v>7.3819999999999997</v>
      </c>
      <c r="V86" s="22">
        <v>7.2969999999999997</v>
      </c>
      <c r="W86" s="22">
        <v>7.2560000000000002</v>
      </c>
      <c r="X86" s="22">
        <v>7.2629999999999999</v>
      </c>
      <c r="Y86" s="22">
        <v>7.2610000000000001</v>
      </c>
      <c r="Z86" s="22">
        <v>7.2370000000000001</v>
      </c>
      <c r="AA86" s="22">
        <v>7.2409999999999997</v>
      </c>
      <c r="AB86" s="22">
        <v>7.3280000000000003</v>
      </c>
      <c r="AC86" s="22">
        <v>7.2690000000000001</v>
      </c>
      <c r="AD86" s="22">
        <v>7.2279999999999998</v>
      </c>
      <c r="AE86" s="22">
        <v>7.2089999999999996</v>
      </c>
      <c r="AF86" s="22">
        <v>7.2039999999999997</v>
      </c>
      <c r="AG86" s="22">
        <v>7.11</v>
      </c>
      <c r="AH86" s="6">
        <f t="shared" si="10"/>
        <v>7.157</v>
      </c>
      <c r="AI86" s="9"/>
      <c r="AJ86" s="9"/>
      <c r="AK86" s="9"/>
      <c r="AL86" s="9"/>
      <c r="AM86" s="9"/>
      <c r="AN86" s="9"/>
      <c r="AO86" s="9"/>
      <c r="AP86" s="3"/>
      <c r="AQ86" s="8"/>
    </row>
    <row r="87" spans="1:43">
      <c r="A87" s="1">
        <f t="shared" si="8"/>
        <v>85</v>
      </c>
      <c r="B87" s="19"/>
      <c r="C87" s="1">
        <v>6</v>
      </c>
      <c r="D87" s="4">
        <f t="shared" si="7"/>
        <v>69</v>
      </c>
      <c r="E87" s="4" t="s">
        <v>254</v>
      </c>
      <c r="F87" s="4">
        <v>1</v>
      </c>
      <c r="G87" s="4" t="s">
        <v>11</v>
      </c>
      <c r="H87" s="4" t="s">
        <v>17</v>
      </c>
      <c r="I87" s="4"/>
      <c r="J87" s="5">
        <v>92</v>
      </c>
      <c r="K87" s="63">
        <v>1.216</v>
      </c>
      <c r="L87" s="38">
        <v>7.1689999999999996</v>
      </c>
      <c r="M87" s="127" t="s">
        <v>212</v>
      </c>
      <c r="N87" s="1" t="s">
        <v>13</v>
      </c>
      <c r="O87" s="22">
        <v>7.160000000000001</v>
      </c>
      <c r="P87" s="1" t="s">
        <v>7</v>
      </c>
      <c r="Q87" s="3"/>
      <c r="R87" s="22">
        <v>7.4969999999999999</v>
      </c>
      <c r="S87" s="22">
        <v>7.1589999999999998</v>
      </c>
      <c r="T87" s="22">
        <v>7.5060000000000002</v>
      </c>
      <c r="U87" s="60"/>
      <c r="V87" s="22">
        <v>7.3449999999999998</v>
      </c>
      <c r="W87" s="22">
        <v>7.2190000000000003</v>
      </c>
      <c r="X87" s="22">
        <v>7.19</v>
      </c>
      <c r="Y87" s="22">
        <v>7.2240000000000002</v>
      </c>
      <c r="Z87" s="22">
        <v>7.1689999999999996</v>
      </c>
      <c r="AA87" s="22">
        <v>7.1970000000000001</v>
      </c>
      <c r="AB87" s="22">
        <v>7.2939999999999996</v>
      </c>
      <c r="AC87" s="22">
        <v>7.282</v>
      </c>
      <c r="AD87" s="22">
        <v>7.242</v>
      </c>
      <c r="AE87" s="22">
        <v>7.125</v>
      </c>
      <c r="AF87" s="22">
        <v>7.1689999999999996</v>
      </c>
      <c r="AG87" s="22">
        <v>7.0780000000000003</v>
      </c>
      <c r="AH87" s="6">
        <f t="shared" si="10"/>
        <v>7.1234999999999999</v>
      </c>
      <c r="AI87" s="9"/>
      <c r="AJ87" s="9"/>
      <c r="AK87" s="9"/>
      <c r="AL87" s="9"/>
      <c r="AM87" s="9"/>
      <c r="AN87" s="9"/>
      <c r="AO87" s="9"/>
      <c r="AP87" s="3"/>
      <c r="AQ87" s="8"/>
    </row>
    <row r="88" spans="1:43">
      <c r="A88" s="1">
        <f t="shared" si="8"/>
        <v>86</v>
      </c>
      <c r="B88" s="19"/>
      <c r="C88" s="1">
        <v>6</v>
      </c>
      <c r="D88" s="4">
        <f t="shared" si="7"/>
        <v>69</v>
      </c>
      <c r="E88" s="4" t="s">
        <v>237</v>
      </c>
      <c r="F88" s="4">
        <v>1</v>
      </c>
      <c r="G88" s="4" t="s">
        <v>11</v>
      </c>
      <c r="H88" s="4" t="s">
        <v>17</v>
      </c>
      <c r="I88" s="4" t="s">
        <v>320</v>
      </c>
      <c r="J88" s="5">
        <v>73</v>
      </c>
      <c r="K88" s="68"/>
      <c r="L88" s="45">
        <v>8.19</v>
      </c>
      <c r="M88" s="127" t="s">
        <v>203</v>
      </c>
      <c r="N88" s="10" t="s">
        <v>111</v>
      </c>
      <c r="O88" s="60"/>
      <c r="P88" s="9"/>
      <c r="Q88" s="3" t="s">
        <v>205</v>
      </c>
      <c r="R88" s="60"/>
      <c r="S88" s="60"/>
      <c r="T88" s="60"/>
      <c r="U88" s="60"/>
      <c r="V88" s="22">
        <v>9.2089999999999996</v>
      </c>
      <c r="W88" s="22">
        <v>8.7629999999999999</v>
      </c>
      <c r="X88" s="22">
        <v>8.7279999999999998</v>
      </c>
      <c r="Y88" s="22">
        <v>8.5169999999999995</v>
      </c>
      <c r="Z88" s="22">
        <v>8.3810000000000002</v>
      </c>
      <c r="AA88" s="22">
        <v>8.359</v>
      </c>
      <c r="AB88" s="60"/>
      <c r="AC88" s="60"/>
      <c r="AD88" s="60"/>
      <c r="AE88" s="60"/>
      <c r="AF88" s="60"/>
      <c r="AG88" s="22">
        <v>8.6389999999999993</v>
      </c>
      <c r="AH88" s="60"/>
      <c r="AI88" s="34">
        <v>8.1029999999999998</v>
      </c>
      <c r="AJ88" s="34">
        <v>8.3140000000000001</v>
      </c>
      <c r="AK88" s="34">
        <v>7.8159999999999998</v>
      </c>
      <c r="AL88" s="6">
        <v>8.2629999999999999</v>
      </c>
      <c r="AM88" s="6">
        <v>8.1620000000000008</v>
      </c>
      <c r="AN88" s="34">
        <v>8.5549999999999997</v>
      </c>
      <c r="AO88" s="34">
        <v>8.5120000000000005</v>
      </c>
      <c r="AP88" s="3"/>
      <c r="AQ88" s="8"/>
    </row>
    <row r="89" spans="1:43">
      <c r="A89" s="1">
        <f t="shared" si="8"/>
        <v>87</v>
      </c>
      <c r="B89" s="19"/>
      <c r="C89" s="1">
        <v>6</v>
      </c>
      <c r="D89" s="4">
        <f t="shared" si="7"/>
        <v>69</v>
      </c>
      <c r="E89" s="4" t="s">
        <v>238</v>
      </c>
      <c r="F89" s="4">
        <v>1</v>
      </c>
      <c r="G89" s="4" t="s">
        <v>11</v>
      </c>
      <c r="H89" s="4" t="s">
        <v>121</v>
      </c>
      <c r="I89" s="4" t="s">
        <v>321</v>
      </c>
      <c r="J89" s="62"/>
      <c r="K89" s="68"/>
      <c r="L89" s="45">
        <v>10.315</v>
      </c>
      <c r="M89" s="127" t="s">
        <v>564</v>
      </c>
      <c r="N89" s="10" t="s">
        <v>111</v>
      </c>
      <c r="O89" s="60"/>
      <c r="P89" s="9"/>
      <c r="Q89" s="3" t="s">
        <v>205</v>
      </c>
      <c r="R89" s="60"/>
      <c r="S89" s="60"/>
      <c r="T89" s="60"/>
      <c r="U89" s="60"/>
      <c r="V89" s="60"/>
      <c r="W89" s="60"/>
      <c r="X89" s="60"/>
      <c r="Y89" s="60"/>
      <c r="Z89" s="60"/>
      <c r="AA89" s="60"/>
      <c r="AB89" s="60"/>
      <c r="AC89" s="60"/>
      <c r="AD89" s="60"/>
      <c r="AE89" s="60"/>
      <c r="AF89" s="60"/>
      <c r="AG89" s="60"/>
      <c r="AH89" s="60"/>
      <c r="AI89" s="22">
        <v>11.444000000000001</v>
      </c>
      <c r="AJ89" s="22">
        <v>10.236000000000001</v>
      </c>
      <c r="AK89" s="22">
        <v>9.3260000000000005</v>
      </c>
      <c r="AL89" s="22">
        <v>10.468</v>
      </c>
      <c r="AM89" s="22">
        <v>10.315</v>
      </c>
      <c r="AN89" s="22">
        <v>10.381</v>
      </c>
      <c r="AO89" s="22">
        <v>9.9949999999999992</v>
      </c>
      <c r="AP89" s="3"/>
      <c r="AQ89" s="8"/>
    </row>
    <row r="90" spans="1:43">
      <c r="A90" s="1">
        <f t="shared" si="8"/>
        <v>88</v>
      </c>
      <c r="B90" s="19"/>
      <c r="C90" s="1">
        <v>6</v>
      </c>
      <c r="D90" s="4">
        <f t="shared" si="7"/>
        <v>69</v>
      </c>
      <c r="E90" s="4" t="s">
        <v>166</v>
      </c>
      <c r="F90" s="4">
        <v>3</v>
      </c>
      <c r="G90" s="4" t="s">
        <v>11</v>
      </c>
      <c r="H90" s="4" t="s">
        <v>17</v>
      </c>
      <c r="I90" s="4"/>
      <c r="J90" s="5">
        <v>98.6</v>
      </c>
      <c r="K90" s="68"/>
      <c r="L90" s="38">
        <v>4.1590000000000007</v>
      </c>
      <c r="M90" s="127" t="s">
        <v>110</v>
      </c>
      <c r="N90" s="1" t="s">
        <v>13</v>
      </c>
      <c r="O90" s="22">
        <v>4.1660000000000013</v>
      </c>
      <c r="P90" s="1" t="s">
        <v>7</v>
      </c>
      <c r="Q90" s="3" t="s">
        <v>205</v>
      </c>
      <c r="R90" s="22">
        <v>4.4720000000000004</v>
      </c>
      <c r="S90" s="22">
        <v>4.3710000000000004</v>
      </c>
      <c r="T90" s="22">
        <v>4.3499999999999996</v>
      </c>
      <c r="U90" s="22">
        <v>3.7429999999999999</v>
      </c>
      <c r="V90" s="22">
        <v>4.0039999999999996</v>
      </c>
      <c r="W90" s="60"/>
      <c r="X90" s="60"/>
      <c r="Y90" s="60"/>
      <c r="Z90" s="22">
        <v>4.1849999999999996</v>
      </c>
      <c r="AA90" s="60"/>
      <c r="AB90" s="22">
        <v>4.3259999999999996</v>
      </c>
      <c r="AC90" s="22">
        <v>4.32</v>
      </c>
      <c r="AD90" s="22">
        <v>4.3369999999999997</v>
      </c>
      <c r="AE90" s="22">
        <v>4.2140000000000004</v>
      </c>
      <c r="AF90" s="22">
        <v>4.3719999999999999</v>
      </c>
      <c r="AG90" s="22">
        <v>3.9460000000000002</v>
      </c>
      <c r="AH90" s="6">
        <f t="shared" si="10"/>
        <v>4.1589999999999998</v>
      </c>
      <c r="AI90" s="7">
        <v>3.85</v>
      </c>
      <c r="AJ90" s="7">
        <v>4.22</v>
      </c>
      <c r="AK90" s="7">
        <v>3.92</v>
      </c>
      <c r="AL90" s="7">
        <v>4.1399999999999997</v>
      </c>
      <c r="AM90" s="7">
        <v>4.08</v>
      </c>
      <c r="AN90" s="7">
        <v>4.33</v>
      </c>
      <c r="AO90" s="7">
        <v>4.32</v>
      </c>
      <c r="AP90" s="3"/>
      <c r="AQ90" s="8"/>
    </row>
    <row r="91" spans="1:43">
      <c r="A91" s="1">
        <f t="shared" si="8"/>
        <v>89</v>
      </c>
      <c r="B91" s="19"/>
      <c r="C91" s="1">
        <v>6</v>
      </c>
      <c r="D91" s="4">
        <f t="shared" si="7"/>
        <v>69</v>
      </c>
      <c r="E91" s="4" t="s">
        <v>239</v>
      </c>
      <c r="F91" s="4">
        <v>3</v>
      </c>
      <c r="G91" s="4" t="s">
        <v>11</v>
      </c>
      <c r="H91" s="4" t="s">
        <v>17</v>
      </c>
      <c r="I91" s="4"/>
      <c r="J91" s="5">
        <v>97.1</v>
      </c>
      <c r="K91" s="68"/>
      <c r="L91" s="38">
        <v>4.8520000000000003</v>
      </c>
      <c r="M91" s="127" t="s">
        <v>110</v>
      </c>
      <c r="N91" s="1" t="s">
        <v>13</v>
      </c>
      <c r="O91" s="22">
        <v>4.8540000000000001</v>
      </c>
      <c r="P91" s="1" t="s">
        <v>7</v>
      </c>
      <c r="Q91" s="3" t="s">
        <v>205</v>
      </c>
      <c r="R91" s="22">
        <v>5.1219999999999999</v>
      </c>
      <c r="S91" s="22">
        <v>5.0810000000000004</v>
      </c>
      <c r="T91" s="22">
        <v>5.14</v>
      </c>
      <c r="U91" s="22">
        <v>4.8259999999999996</v>
      </c>
      <c r="V91" s="22">
        <v>4.9249999999999998</v>
      </c>
      <c r="W91" s="60"/>
      <c r="X91" s="60"/>
      <c r="Y91" s="60"/>
      <c r="Z91" s="22">
        <v>4.8630000000000004</v>
      </c>
      <c r="AA91" s="60"/>
      <c r="AB91" s="22">
        <v>4.992</v>
      </c>
      <c r="AC91" s="22">
        <v>4.9980000000000002</v>
      </c>
      <c r="AD91" s="22">
        <v>5.0259999999999998</v>
      </c>
      <c r="AE91" s="22">
        <v>4.8310000000000004</v>
      </c>
      <c r="AF91" s="22">
        <v>5.0730000000000004</v>
      </c>
      <c r="AG91" s="22">
        <v>4.5970000000000004</v>
      </c>
      <c r="AH91" s="6">
        <f t="shared" si="10"/>
        <v>4.8350000000000009</v>
      </c>
      <c r="AI91" s="7">
        <v>4.8499999999999996</v>
      </c>
      <c r="AJ91" s="7">
        <v>4.8899999999999997</v>
      </c>
      <c r="AK91" s="7">
        <v>4.51</v>
      </c>
      <c r="AL91" s="7">
        <v>4.87</v>
      </c>
      <c r="AM91" s="7">
        <v>4.8</v>
      </c>
      <c r="AN91" s="7">
        <v>4.9400000000000004</v>
      </c>
      <c r="AO91" s="7">
        <v>4.92</v>
      </c>
      <c r="AP91" s="3"/>
      <c r="AQ91" s="8"/>
    </row>
    <row r="92" spans="1:43">
      <c r="A92" s="1">
        <f t="shared" si="8"/>
        <v>90</v>
      </c>
      <c r="B92" s="19"/>
      <c r="C92" s="1">
        <v>6</v>
      </c>
      <c r="D92" s="4">
        <f t="shared" si="7"/>
        <v>69</v>
      </c>
      <c r="E92" s="4" t="s">
        <v>164</v>
      </c>
      <c r="F92" s="4">
        <v>3</v>
      </c>
      <c r="G92" s="4" t="s">
        <v>11</v>
      </c>
      <c r="H92" s="4" t="s">
        <v>17</v>
      </c>
      <c r="I92" s="4"/>
      <c r="J92" s="5">
        <v>98.1</v>
      </c>
      <c r="K92" s="68"/>
      <c r="L92" s="38">
        <v>5.8070000000000004</v>
      </c>
      <c r="M92" s="127" t="s">
        <v>110</v>
      </c>
      <c r="N92" s="1" t="s">
        <v>13</v>
      </c>
      <c r="O92" s="22">
        <v>5.8029999999999999</v>
      </c>
      <c r="P92" s="1" t="s">
        <v>7</v>
      </c>
      <c r="Q92" s="3" t="s">
        <v>205</v>
      </c>
      <c r="R92" s="22">
        <v>5.95</v>
      </c>
      <c r="S92" s="22">
        <v>5.891</v>
      </c>
      <c r="T92" s="22">
        <v>5.915</v>
      </c>
      <c r="U92" s="22">
        <v>5.7439999999999998</v>
      </c>
      <c r="V92" s="22">
        <v>5.774</v>
      </c>
      <c r="W92" s="60"/>
      <c r="X92" s="60"/>
      <c r="Y92" s="60"/>
      <c r="Z92" s="22">
        <v>5.81</v>
      </c>
      <c r="AA92" s="60"/>
      <c r="AB92" s="22">
        <v>5.9589999999999996</v>
      </c>
      <c r="AC92" s="22">
        <v>5.9850000000000003</v>
      </c>
      <c r="AD92" s="22">
        <v>5.9539999999999997</v>
      </c>
      <c r="AE92" s="22">
        <v>5.8120000000000003</v>
      </c>
      <c r="AF92" s="22">
        <v>5.8680000000000003</v>
      </c>
      <c r="AG92" s="6">
        <v>5.5179999999999998</v>
      </c>
      <c r="AH92" s="6">
        <f t="shared" si="10"/>
        <v>5.6929999999999996</v>
      </c>
      <c r="AI92" s="7">
        <v>6.75</v>
      </c>
      <c r="AJ92" s="7">
        <v>5.85</v>
      </c>
      <c r="AK92" s="7">
        <v>5.4</v>
      </c>
      <c r="AL92" s="7">
        <v>5.9</v>
      </c>
      <c r="AM92" s="7">
        <v>5.81</v>
      </c>
      <c r="AN92" s="7">
        <v>5.59</v>
      </c>
      <c r="AO92" s="7">
        <v>5.51</v>
      </c>
      <c r="AP92" s="3"/>
      <c r="AQ92" s="8"/>
    </row>
    <row r="93" spans="1:43">
      <c r="A93" s="1">
        <f t="shared" si="8"/>
        <v>91</v>
      </c>
      <c r="B93" s="19"/>
      <c r="C93" s="1">
        <v>6</v>
      </c>
      <c r="D93" s="4">
        <f t="shared" si="7"/>
        <v>69</v>
      </c>
      <c r="E93" s="4" t="s">
        <v>255</v>
      </c>
      <c r="F93" s="4">
        <v>3</v>
      </c>
      <c r="G93" s="4" t="s">
        <v>14</v>
      </c>
      <c r="H93" s="4" t="s">
        <v>22</v>
      </c>
      <c r="I93" s="4"/>
      <c r="J93" s="5">
        <v>97.6</v>
      </c>
      <c r="K93" s="68"/>
      <c r="L93" s="38">
        <v>6.4740000000000002</v>
      </c>
      <c r="M93" s="127" t="s">
        <v>110</v>
      </c>
      <c r="N93" s="1" t="s">
        <v>13</v>
      </c>
      <c r="O93" s="22">
        <v>6.4969999999999999</v>
      </c>
      <c r="P93" s="1" t="s">
        <v>7</v>
      </c>
      <c r="Q93" s="3"/>
      <c r="R93" s="22">
        <v>6.5410000000000004</v>
      </c>
      <c r="S93" s="22">
        <v>6.4320000000000004</v>
      </c>
      <c r="T93" s="22">
        <v>6.7329999999999997</v>
      </c>
      <c r="U93" s="22">
        <v>6.61</v>
      </c>
      <c r="V93" s="22">
        <v>6.5220000000000002</v>
      </c>
      <c r="W93" s="60"/>
      <c r="X93" s="60"/>
      <c r="Y93" s="60"/>
      <c r="Z93" s="22">
        <v>6.4740000000000002</v>
      </c>
      <c r="AA93" s="60"/>
      <c r="AB93" s="22">
        <v>6.601</v>
      </c>
      <c r="AC93" s="22">
        <v>6.5460000000000003</v>
      </c>
      <c r="AD93" s="22">
        <v>6.508</v>
      </c>
      <c r="AE93" s="22">
        <v>6.4880000000000004</v>
      </c>
      <c r="AF93" s="22">
        <v>6.484</v>
      </c>
      <c r="AG93" s="22">
        <v>6.3280000000000003</v>
      </c>
      <c r="AH93" s="6">
        <f t="shared" si="10"/>
        <v>6.4060000000000006</v>
      </c>
      <c r="AI93" s="9"/>
      <c r="AJ93" s="9"/>
      <c r="AK93" s="9"/>
      <c r="AL93" s="9"/>
      <c r="AM93" s="9"/>
      <c r="AN93" s="9"/>
      <c r="AO93" s="9"/>
      <c r="AP93" s="3"/>
      <c r="AQ93" s="8"/>
    </row>
    <row r="94" spans="1:43">
      <c r="A94" s="1">
        <f t="shared" si="8"/>
        <v>92</v>
      </c>
      <c r="B94" s="2" t="s">
        <v>211</v>
      </c>
      <c r="C94" s="1">
        <v>8</v>
      </c>
      <c r="D94" s="4">
        <f t="shared" si="7"/>
        <v>69</v>
      </c>
      <c r="E94" s="4" t="s">
        <v>137</v>
      </c>
      <c r="F94" s="4">
        <v>1</v>
      </c>
      <c r="G94" s="4" t="s">
        <v>11</v>
      </c>
      <c r="H94" s="4" t="s">
        <v>17</v>
      </c>
      <c r="I94" s="4"/>
      <c r="J94" s="12">
        <v>85.8</v>
      </c>
      <c r="K94" s="42">
        <v>3.0000000000000001E-3</v>
      </c>
      <c r="L94" s="38">
        <v>4.863999999999999</v>
      </c>
      <c r="M94" s="127" t="s">
        <v>110</v>
      </c>
      <c r="N94" s="1" t="s">
        <v>13</v>
      </c>
      <c r="O94" s="36"/>
      <c r="P94" s="36"/>
      <c r="Q94" s="3"/>
      <c r="R94" s="22">
        <v>5.1139999999999999</v>
      </c>
      <c r="S94" s="22">
        <v>5.0679999999999996</v>
      </c>
      <c r="T94" s="22">
        <v>5.3170000000000002</v>
      </c>
      <c r="U94" s="22">
        <v>4.7060000000000004</v>
      </c>
      <c r="V94" s="40">
        <v>5.0359999999999996</v>
      </c>
      <c r="W94" s="22">
        <v>4.9539999999999997</v>
      </c>
      <c r="X94" s="22">
        <v>4.9589999999999996</v>
      </c>
      <c r="Y94" s="22">
        <v>4.923</v>
      </c>
      <c r="Z94" s="42">
        <v>4.8879999999999999</v>
      </c>
      <c r="AA94" s="41"/>
      <c r="AB94" s="42">
        <v>4.87</v>
      </c>
      <c r="AC94" s="42">
        <v>4.8620000000000001</v>
      </c>
      <c r="AD94" s="42">
        <v>4.9320000000000004</v>
      </c>
      <c r="AE94" s="42">
        <v>4.6459999999999999</v>
      </c>
      <c r="AF94" s="40">
        <v>5.0730000000000004</v>
      </c>
      <c r="AG94" s="42">
        <v>4.7949999999999999</v>
      </c>
      <c r="AH94" s="22">
        <f t="shared" ref="AH94" si="11">SUM(AF94:AG94)/2</f>
        <v>4.9340000000000002</v>
      </c>
      <c r="AI94" s="9"/>
      <c r="AJ94" s="9"/>
      <c r="AK94" s="9"/>
      <c r="AL94" s="9"/>
      <c r="AM94" s="9"/>
      <c r="AN94" s="9"/>
      <c r="AO94" s="9"/>
      <c r="AP94" s="3"/>
      <c r="AQ94" s="8"/>
    </row>
    <row r="95" spans="1:43">
      <c r="A95" s="1">
        <f t="shared" si="8"/>
        <v>93</v>
      </c>
      <c r="B95" s="19"/>
      <c r="C95" s="1">
        <v>8</v>
      </c>
      <c r="D95" s="4">
        <f t="shared" si="7"/>
        <v>69</v>
      </c>
      <c r="E95" s="4" t="s">
        <v>118</v>
      </c>
      <c r="F95" s="4">
        <v>1</v>
      </c>
      <c r="G95" s="4" t="s">
        <v>11</v>
      </c>
      <c r="H95" s="4" t="s">
        <v>17</v>
      </c>
      <c r="I95" s="4"/>
      <c r="J95" s="12">
        <v>91.9</v>
      </c>
      <c r="K95" s="42">
        <v>0.214</v>
      </c>
      <c r="L95" s="38">
        <v>6.0259999999999998</v>
      </c>
      <c r="M95" s="127" t="s">
        <v>110</v>
      </c>
      <c r="N95" s="1" t="s">
        <v>13</v>
      </c>
      <c r="O95" s="36"/>
      <c r="P95" s="36"/>
      <c r="Q95" s="3"/>
      <c r="R95" s="22">
        <v>6.2560000000000002</v>
      </c>
      <c r="S95" s="22">
        <v>6.0590000000000002</v>
      </c>
      <c r="T95" s="22">
        <v>6.3239999999999998</v>
      </c>
      <c r="U95" s="22">
        <v>6.0369999999999999</v>
      </c>
      <c r="V95" s="40">
        <v>6.1150000000000002</v>
      </c>
      <c r="W95" s="22">
        <v>6.0549999999999997</v>
      </c>
      <c r="X95" s="22">
        <v>6.0490000000000004</v>
      </c>
      <c r="Y95" s="22">
        <v>6.0330000000000004</v>
      </c>
      <c r="Z95" s="42">
        <v>6.0110000000000001</v>
      </c>
      <c r="AA95" s="41"/>
      <c r="AB95" s="42">
        <v>5.9740000000000002</v>
      </c>
      <c r="AC95" s="42">
        <v>6.0129999999999999</v>
      </c>
      <c r="AD95" s="42">
        <v>6.032</v>
      </c>
      <c r="AE95" s="42">
        <v>5.7939999999999996</v>
      </c>
      <c r="AF95" s="40">
        <v>6.016</v>
      </c>
      <c r="AG95" s="42">
        <v>5.7610000000000001</v>
      </c>
      <c r="AH95" s="22">
        <f t="shared" ref="AH95" si="12">SUM(AF95:AG95)/2</f>
        <v>5.8885000000000005</v>
      </c>
      <c r="AI95" s="9"/>
      <c r="AJ95" s="9"/>
      <c r="AK95" s="9"/>
      <c r="AL95" s="9"/>
      <c r="AM95" s="9"/>
      <c r="AN95" s="9"/>
      <c r="AO95" s="9"/>
      <c r="AP95" s="3"/>
      <c r="AQ95" s="8"/>
    </row>
    <row r="96" spans="1:43">
      <c r="A96" s="1">
        <f t="shared" si="8"/>
        <v>94</v>
      </c>
      <c r="B96" s="19"/>
      <c r="C96" s="1">
        <v>8</v>
      </c>
      <c r="D96" s="4">
        <f t="shared" si="7"/>
        <v>69</v>
      </c>
      <c r="E96" s="4" t="s">
        <v>128</v>
      </c>
      <c r="F96" s="4">
        <v>1</v>
      </c>
      <c r="G96" s="4" t="s">
        <v>14</v>
      </c>
      <c r="H96" s="4" t="s">
        <v>170</v>
      </c>
      <c r="I96" s="4"/>
      <c r="J96" s="12">
        <v>92.5</v>
      </c>
      <c r="K96" s="42">
        <v>6.0000000000000001E-3</v>
      </c>
      <c r="L96" s="38">
        <v>6.8330000000000002</v>
      </c>
      <c r="M96" s="127" t="s">
        <v>110</v>
      </c>
      <c r="N96" s="1" t="s">
        <v>13</v>
      </c>
      <c r="O96" s="36"/>
      <c r="P96" s="36"/>
      <c r="Q96" s="3"/>
      <c r="R96" s="22">
        <v>6.9429999999999996</v>
      </c>
      <c r="S96" s="22">
        <v>6.8179999999999996</v>
      </c>
      <c r="T96" s="22">
        <v>7.2130000000000001</v>
      </c>
      <c r="U96" s="22">
        <v>6.8810000000000002</v>
      </c>
      <c r="V96" s="40">
        <v>6.9130000000000003</v>
      </c>
      <c r="W96" s="22">
        <v>6.8490000000000002</v>
      </c>
      <c r="X96" s="22">
        <v>6.8570000000000002</v>
      </c>
      <c r="Y96" s="22">
        <v>6.8550000000000004</v>
      </c>
      <c r="Z96" s="42">
        <v>6.8170000000000002</v>
      </c>
      <c r="AA96" s="41"/>
      <c r="AB96" s="42">
        <v>7.0449999999999999</v>
      </c>
      <c r="AC96" s="42">
        <v>6.9640000000000004</v>
      </c>
      <c r="AD96" s="42">
        <v>6.9160000000000004</v>
      </c>
      <c r="AE96" s="42">
        <v>6.92</v>
      </c>
      <c r="AF96" s="40">
        <v>6.8920000000000003</v>
      </c>
      <c r="AG96" s="42">
        <v>6.649</v>
      </c>
      <c r="AH96" s="22">
        <f t="shared" ref="AH96:AH104" si="13">SUM(AF96:AG96)/2</f>
        <v>6.7705000000000002</v>
      </c>
      <c r="AI96" s="9"/>
      <c r="AJ96" s="9"/>
      <c r="AK96" s="9"/>
      <c r="AL96" s="9"/>
      <c r="AM96" s="9"/>
      <c r="AN96" s="9"/>
      <c r="AO96" s="9"/>
      <c r="AP96" s="3"/>
      <c r="AQ96" s="8"/>
    </row>
    <row r="97" spans="1:43">
      <c r="A97" s="1">
        <f t="shared" si="8"/>
        <v>95</v>
      </c>
      <c r="B97" s="19"/>
      <c r="C97" s="1">
        <v>8</v>
      </c>
      <c r="D97" s="4">
        <f t="shared" si="7"/>
        <v>69</v>
      </c>
      <c r="E97" s="4" t="s">
        <v>137</v>
      </c>
      <c r="F97" s="4">
        <v>1</v>
      </c>
      <c r="G97" s="4" t="s">
        <v>11</v>
      </c>
      <c r="H97" s="4" t="s">
        <v>17</v>
      </c>
      <c r="I97" s="4"/>
      <c r="J97" s="12">
        <v>90.8</v>
      </c>
      <c r="K97" s="42">
        <v>0.42599999999999999</v>
      </c>
      <c r="L97" s="45">
        <v>6.9019999999999992</v>
      </c>
      <c r="M97" s="127" t="s">
        <v>110</v>
      </c>
      <c r="N97" s="10" t="s">
        <v>111</v>
      </c>
      <c r="O97" s="36"/>
      <c r="P97" s="36"/>
      <c r="Q97" s="3"/>
      <c r="R97" s="22">
        <v>7.0209999999999999</v>
      </c>
      <c r="S97" s="22">
        <v>6.8860000000000001</v>
      </c>
      <c r="T97" s="22">
        <v>7.3170000000000002</v>
      </c>
      <c r="U97" s="60"/>
      <c r="V97" s="40">
        <v>7.1180000000000003</v>
      </c>
      <c r="W97" s="22">
        <v>6.9340000000000002</v>
      </c>
      <c r="X97" s="22">
        <v>6.9009999999999998</v>
      </c>
      <c r="Y97" s="22">
        <v>6.9429999999999996</v>
      </c>
      <c r="Z97" s="42">
        <v>6.8639999999999999</v>
      </c>
      <c r="AA97" s="41"/>
      <c r="AB97" s="42">
        <v>7.0670000000000002</v>
      </c>
      <c r="AC97" s="42">
        <v>7.069</v>
      </c>
      <c r="AD97" s="42">
        <v>7.01</v>
      </c>
      <c r="AE97" s="42">
        <v>6.8810000000000002</v>
      </c>
      <c r="AF97" s="40">
        <v>6.8840000000000003</v>
      </c>
      <c r="AG97" s="42">
        <v>6.7690000000000001</v>
      </c>
      <c r="AH97" s="22">
        <f t="shared" si="13"/>
        <v>6.8265000000000002</v>
      </c>
      <c r="AI97" s="9"/>
      <c r="AJ97" s="9"/>
      <c r="AK97" s="9"/>
      <c r="AL97" s="9"/>
      <c r="AM97" s="9"/>
      <c r="AN97" s="9"/>
      <c r="AO97" s="9"/>
      <c r="AP97" s="3"/>
      <c r="AQ97" s="8"/>
    </row>
    <row r="98" spans="1:43">
      <c r="A98" s="1">
        <f t="shared" si="8"/>
        <v>96</v>
      </c>
      <c r="B98" s="19"/>
      <c r="C98" s="1">
        <v>8</v>
      </c>
      <c r="D98" s="4">
        <f t="shared" si="7"/>
        <v>69</v>
      </c>
      <c r="E98" s="4" t="s">
        <v>131</v>
      </c>
      <c r="F98" s="4">
        <v>1</v>
      </c>
      <c r="G98" s="4" t="s">
        <v>14</v>
      </c>
      <c r="H98" s="4" t="s">
        <v>170</v>
      </c>
      <c r="I98" s="4"/>
      <c r="J98" s="12">
        <v>92.6</v>
      </c>
      <c r="K98" s="68"/>
      <c r="L98" s="38">
        <v>6.9790000000000001</v>
      </c>
      <c r="M98" s="127" t="s">
        <v>110</v>
      </c>
      <c r="N98" s="1" t="s">
        <v>13</v>
      </c>
      <c r="O98" s="36"/>
      <c r="P98" s="36"/>
      <c r="Q98" s="3"/>
      <c r="R98" s="22">
        <v>7.1280000000000001</v>
      </c>
      <c r="S98" s="22">
        <v>6.9560000000000004</v>
      </c>
      <c r="T98" s="22">
        <v>7.3170000000000002</v>
      </c>
      <c r="U98" s="22">
        <v>7.0229999999999997</v>
      </c>
      <c r="V98" s="40">
        <v>7.0670000000000002</v>
      </c>
      <c r="W98" s="22">
        <v>6.9950000000000001</v>
      </c>
      <c r="X98" s="22">
        <v>7.0019999999999998</v>
      </c>
      <c r="Y98" s="22">
        <v>7</v>
      </c>
      <c r="Z98" s="42">
        <v>6.9690000000000003</v>
      </c>
      <c r="AA98" s="41"/>
      <c r="AB98" s="42">
        <v>7.1429999999999998</v>
      </c>
      <c r="AC98" s="42">
        <v>7.0640000000000001</v>
      </c>
      <c r="AD98" s="42">
        <v>7.0289999999999999</v>
      </c>
      <c r="AE98" s="42">
        <v>7.024</v>
      </c>
      <c r="AF98" s="40">
        <v>7.03</v>
      </c>
      <c r="AG98" s="42">
        <v>6.8310000000000004</v>
      </c>
      <c r="AH98" s="22">
        <f t="shared" si="13"/>
        <v>6.9305000000000003</v>
      </c>
      <c r="AI98" s="9"/>
      <c r="AJ98" s="9"/>
      <c r="AK98" s="9"/>
      <c r="AL98" s="9"/>
      <c r="AM98" s="9"/>
      <c r="AN98" s="9"/>
      <c r="AO98" s="9"/>
      <c r="AP98" s="3"/>
      <c r="AQ98" s="8"/>
    </row>
    <row r="99" spans="1:43">
      <c r="A99" s="1">
        <f t="shared" si="8"/>
        <v>97</v>
      </c>
      <c r="B99" s="19"/>
      <c r="C99" s="1">
        <v>8</v>
      </c>
      <c r="D99" s="4">
        <f t="shared" si="7"/>
        <v>69</v>
      </c>
      <c r="E99" s="4" t="s">
        <v>118</v>
      </c>
      <c r="F99" s="4">
        <v>1</v>
      </c>
      <c r="G99" s="4" t="s">
        <v>11</v>
      </c>
      <c r="H99" s="4" t="s">
        <v>17</v>
      </c>
      <c r="I99" s="4"/>
      <c r="J99" s="12">
        <v>91.2</v>
      </c>
      <c r="K99" s="42">
        <v>0.60399999999999998</v>
      </c>
      <c r="L99" s="38">
        <v>6.979000000000001</v>
      </c>
      <c r="M99" s="127" t="s">
        <v>110</v>
      </c>
      <c r="N99" s="1" t="s">
        <v>13</v>
      </c>
      <c r="O99" s="36"/>
      <c r="P99" s="36"/>
      <c r="Q99" s="3"/>
      <c r="R99" s="22">
        <v>7.5949999999999998</v>
      </c>
      <c r="S99" s="22">
        <v>6.9960000000000004</v>
      </c>
      <c r="T99" s="22">
        <v>7.3319999999999999</v>
      </c>
      <c r="U99" s="60"/>
      <c r="V99" s="40">
        <v>7.1559999999999997</v>
      </c>
      <c r="W99" s="22">
        <v>7.008</v>
      </c>
      <c r="X99" s="22">
        <v>6.9870000000000001</v>
      </c>
      <c r="Y99" s="22">
        <v>7.0140000000000002</v>
      </c>
      <c r="Z99" s="42">
        <v>6.9560000000000004</v>
      </c>
      <c r="AA99" s="41"/>
      <c r="AB99" s="42">
        <v>7.0750000000000002</v>
      </c>
      <c r="AC99" s="42">
        <v>7.0910000000000002</v>
      </c>
      <c r="AD99" s="42">
        <v>7.0579999999999998</v>
      </c>
      <c r="AE99" s="42">
        <v>6.8940000000000001</v>
      </c>
      <c r="AF99" s="40">
        <v>6.9809999999999999</v>
      </c>
      <c r="AG99" s="42">
        <v>6.7930000000000001</v>
      </c>
      <c r="AH99" s="22">
        <f t="shared" si="13"/>
        <v>6.8870000000000005</v>
      </c>
      <c r="AI99" s="9"/>
      <c r="AJ99" s="9"/>
      <c r="AK99" s="9"/>
      <c r="AL99" s="9"/>
      <c r="AM99" s="9"/>
      <c r="AN99" s="9"/>
      <c r="AO99" s="9"/>
      <c r="AP99" s="3"/>
      <c r="AQ99" s="8"/>
    </row>
    <row r="100" spans="1:43">
      <c r="A100" s="1">
        <f t="shared" si="8"/>
        <v>98</v>
      </c>
      <c r="B100" s="19"/>
      <c r="C100" s="1">
        <v>8</v>
      </c>
      <c r="D100" s="4">
        <f t="shared" si="7"/>
        <v>69</v>
      </c>
      <c r="E100" s="4" t="s">
        <v>131</v>
      </c>
      <c r="F100" s="4">
        <v>1</v>
      </c>
      <c r="G100" s="4" t="s">
        <v>11</v>
      </c>
      <c r="H100" s="4" t="s">
        <v>17</v>
      </c>
      <c r="I100" s="4" t="s">
        <v>208</v>
      </c>
      <c r="J100" s="12">
        <v>90.5</v>
      </c>
      <c r="K100" s="68"/>
      <c r="L100" s="38">
        <v>7.0519999999999996</v>
      </c>
      <c r="M100" s="127" t="s">
        <v>110</v>
      </c>
      <c r="N100" s="1" t="s">
        <v>13</v>
      </c>
      <c r="O100" s="36"/>
      <c r="P100" s="36"/>
      <c r="Q100" s="3"/>
      <c r="R100" s="22">
        <v>7.7889999999999997</v>
      </c>
      <c r="S100" s="22">
        <v>7.2549999999999999</v>
      </c>
      <c r="T100" s="22">
        <v>7.4809999999999999</v>
      </c>
      <c r="U100" s="40">
        <v>7.1429999999999998</v>
      </c>
      <c r="V100" s="40">
        <v>7.2789999999999999</v>
      </c>
      <c r="W100" s="22">
        <v>7.117</v>
      </c>
      <c r="X100" s="22">
        <v>7.1120000000000001</v>
      </c>
      <c r="Y100" s="22">
        <v>7.0949999999999998</v>
      </c>
      <c r="Z100" s="42">
        <v>7.0309999999999997</v>
      </c>
      <c r="AA100" s="41"/>
      <c r="AB100" s="42">
        <v>7.5060000000000002</v>
      </c>
      <c r="AC100" s="42">
        <v>7.55</v>
      </c>
      <c r="AD100" s="42">
        <v>7.4569999999999999</v>
      </c>
      <c r="AE100" s="42">
        <v>7.3220000000000001</v>
      </c>
      <c r="AF100" s="40">
        <v>7.2270000000000003</v>
      </c>
      <c r="AG100" s="42">
        <v>6.734</v>
      </c>
      <c r="AH100" s="22">
        <f t="shared" si="13"/>
        <v>6.9805000000000001</v>
      </c>
      <c r="AI100" s="9"/>
      <c r="AJ100" s="9"/>
      <c r="AK100" s="9"/>
      <c r="AL100" s="9"/>
      <c r="AM100" s="9"/>
      <c r="AN100" s="9"/>
      <c r="AO100" s="9"/>
      <c r="AP100" s="3"/>
      <c r="AQ100" s="8"/>
    </row>
    <row r="101" spans="1:43">
      <c r="A101" s="1">
        <f t="shared" si="8"/>
        <v>99</v>
      </c>
      <c r="B101" s="19"/>
      <c r="C101" s="1">
        <v>8</v>
      </c>
      <c r="D101" s="4">
        <f t="shared" si="7"/>
        <v>69</v>
      </c>
      <c r="E101" s="4" t="s">
        <v>118</v>
      </c>
      <c r="F101" s="4">
        <v>3</v>
      </c>
      <c r="G101" s="4" t="s">
        <v>11</v>
      </c>
      <c r="H101" s="4" t="s">
        <v>17</v>
      </c>
      <c r="I101" s="4"/>
      <c r="J101" s="12">
        <v>98.2</v>
      </c>
      <c r="K101" s="68"/>
      <c r="L101" s="38">
        <v>3.8879999999999999</v>
      </c>
      <c r="M101" s="127" t="s">
        <v>113</v>
      </c>
      <c r="N101" s="1" t="s">
        <v>13</v>
      </c>
      <c r="O101" s="36"/>
      <c r="P101" s="36"/>
      <c r="Q101" s="3"/>
      <c r="R101" s="42">
        <v>4.2549999999999999</v>
      </c>
      <c r="S101" s="42">
        <v>4.1159999999999997</v>
      </c>
      <c r="T101" s="42">
        <v>4.1630000000000003</v>
      </c>
      <c r="U101" s="42">
        <v>3.4950000000000001</v>
      </c>
      <c r="V101" s="40">
        <v>3.7610000000000001</v>
      </c>
      <c r="W101" s="41"/>
      <c r="X101" s="41"/>
      <c r="Y101" s="41"/>
      <c r="Z101" s="22">
        <v>3.907</v>
      </c>
      <c r="AA101" s="41"/>
      <c r="AB101" s="42">
        <v>4.0860000000000003</v>
      </c>
      <c r="AC101" s="42">
        <v>4.0869999999999997</v>
      </c>
      <c r="AD101" s="42">
        <v>4.0970000000000004</v>
      </c>
      <c r="AE101" s="42">
        <v>3.956</v>
      </c>
      <c r="AF101" s="40">
        <v>4.1100000000000003</v>
      </c>
      <c r="AG101" s="42">
        <v>3.6309999999999998</v>
      </c>
      <c r="AH101" s="22">
        <f t="shared" si="13"/>
        <v>3.8704999999999998</v>
      </c>
      <c r="AI101" s="9"/>
      <c r="AJ101" s="9"/>
      <c r="AK101" s="9"/>
      <c r="AL101" s="9"/>
      <c r="AM101" s="9"/>
      <c r="AN101" s="9"/>
      <c r="AO101" s="9"/>
      <c r="AP101" s="3"/>
      <c r="AQ101" s="8"/>
    </row>
    <row r="102" spans="1:43">
      <c r="A102" s="1">
        <f t="shared" si="8"/>
        <v>100</v>
      </c>
      <c r="B102" s="19"/>
      <c r="C102" s="1">
        <v>8</v>
      </c>
      <c r="D102" s="4">
        <f t="shared" si="7"/>
        <v>69</v>
      </c>
      <c r="E102" s="4" t="s">
        <v>137</v>
      </c>
      <c r="F102" s="4">
        <v>3</v>
      </c>
      <c r="G102" s="4" t="s">
        <v>11</v>
      </c>
      <c r="H102" s="4" t="s">
        <v>17</v>
      </c>
      <c r="I102" s="4"/>
      <c r="J102" s="12">
        <v>96.9</v>
      </c>
      <c r="K102" s="68"/>
      <c r="L102" s="38">
        <v>4.6539999999999999</v>
      </c>
      <c r="M102" s="127" t="s">
        <v>113</v>
      </c>
      <c r="N102" s="1" t="s">
        <v>13</v>
      </c>
      <c r="O102" s="36"/>
      <c r="P102" s="36"/>
      <c r="Q102" s="3"/>
      <c r="R102" s="42">
        <v>4.9420000000000002</v>
      </c>
      <c r="S102" s="42">
        <v>4.8689999999999998</v>
      </c>
      <c r="T102" s="42">
        <v>4.9859999999999998</v>
      </c>
      <c r="U102" s="42">
        <v>4.5970000000000004</v>
      </c>
      <c r="V102" s="40">
        <v>4.7290000000000001</v>
      </c>
      <c r="W102" s="43"/>
      <c r="X102" s="43"/>
      <c r="Y102" s="43"/>
      <c r="Z102" s="42">
        <v>4.6609999999999996</v>
      </c>
      <c r="AA102" s="41"/>
      <c r="AB102" s="42">
        <v>4.806</v>
      </c>
      <c r="AC102" s="42">
        <v>4.8209999999999997</v>
      </c>
      <c r="AD102" s="42">
        <v>4.8380000000000001</v>
      </c>
      <c r="AE102" s="42">
        <v>4.6379999999999999</v>
      </c>
      <c r="AF102" s="40">
        <v>4.8520000000000003</v>
      </c>
      <c r="AG102" s="42">
        <v>4.383</v>
      </c>
      <c r="AH102" s="22">
        <f t="shared" si="13"/>
        <v>4.6174999999999997</v>
      </c>
      <c r="AI102" s="9"/>
      <c r="AJ102" s="9"/>
      <c r="AK102" s="9"/>
      <c r="AL102" s="9"/>
      <c r="AM102" s="9"/>
      <c r="AN102" s="9"/>
      <c r="AO102" s="9"/>
      <c r="AP102" s="3"/>
      <c r="AQ102" s="8"/>
    </row>
    <row r="103" spans="1:43">
      <c r="A103" s="1">
        <f t="shared" si="8"/>
        <v>101</v>
      </c>
      <c r="B103" s="19"/>
      <c r="C103" s="1">
        <v>8</v>
      </c>
      <c r="D103" s="4">
        <f t="shared" si="7"/>
        <v>69</v>
      </c>
      <c r="E103" s="4" t="s">
        <v>118</v>
      </c>
      <c r="F103" s="4">
        <v>3</v>
      </c>
      <c r="G103" s="4" t="s">
        <v>11</v>
      </c>
      <c r="H103" s="4" t="s">
        <v>17</v>
      </c>
      <c r="I103" s="4"/>
      <c r="J103" s="12">
        <v>97.1</v>
      </c>
      <c r="K103" s="68"/>
      <c r="L103" s="38">
        <v>4.7020000000000008</v>
      </c>
      <c r="M103" s="127" t="s">
        <v>113</v>
      </c>
      <c r="N103" s="1" t="s">
        <v>13</v>
      </c>
      <c r="O103" s="36"/>
      <c r="P103" s="36"/>
      <c r="Q103" s="3"/>
      <c r="R103" s="42">
        <v>5.0739999999999998</v>
      </c>
      <c r="S103" s="42">
        <v>4.9329999999999998</v>
      </c>
      <c r="T103" s="42">
        <v>5.0220000000000002</v>
      </c>
      <c r="U103" s="42">
        <v>4.6459999999999999</v>
      </c>
      <c r="V103" s="40">
        <v>4.76</v>
      </c>
      <c r="W103" s="41"/>
      <c r="X103" s="41"/>
      <c r="Y103" s="41"/>
      <c r="Z103" s="22">
        <v>4.7110000000000003</v>
      </c>
      <c r="AA103" s="41"/>
      <c r="AB103" s="42">
        <v>4.8600000000000003</v>
      </c>
      <c r="AC103" s="42">
        <v>4.8689999999999998</v>
      </c>
      <c r="AD103" s="42">
        <v>4.891</v>
      </c>
      <c r="AE103" s="42">
        <v>4.702</v>
      </c>
      <c r="AF103" s="40">
        <v>4.9219999999999997</v>
      </c>
      <c r="AG103" s="42">
        <v>4.4359999999999999</v>
      </c>
      <c r="AH103" s="22">
        <f t="shared" si="13"/>
        <v>4.6790000000000003</v>
      </c>
      <c r="AI103" s="9"/>
      <c r="AJ103" s="9"/>
      <c r="AK103" s="9"/>
      <c r="AL103" s="9"/>
      <c r="AM103" s="9"/>
      <c r="AN103" s="9"/>
      <c r="AO103" s="9"/>
      <c r="AP103" s="3"/>
      <c r="AQ103" s="8"/>
    </row>
    <row r="104" spans="1:43">
      <c r="A104" s="1">
        <f t="shared" si="8"/>
        <v>102</v>
      </c>
      <c r="B104" s="19"/>
      <c r="C104" s="1">
        <v>8</v>
      </c>
      <c r="D104" s="4">
        <f t="shared" si="7"/>
        <v>69</v>
      </c>
      <c r="E104" s="4" t="s">
        <v>137</v>
      </c>
      <c r="F104" s="4">
        <v>3</v>
      </c>
      <c r="G104" s="4" t="s">
        <v>11</v>
      </c>
      <c r="H104" s="4" t="s">
        <v>17</v>
      </c>
      <c r="I104" s="4"/>
      <c r="J104" s="12">
        <v>97.8</v>
      </c>
      <c r="K104" s="68"/>
      <c r="L104" s="38">
        <v>5.6539999999999999</v>
      </c>
      <c r="M104" s="127" t="s">
        <v>113</v>
      </c>
      <c r="N104" s="1" t="s">
        <v>13</v>
      </c>
      <c r="O104" s="36"/>
      <c r="P104" s="36"/>
      <c r="Q104" s="3"/>
      <c r="R104" s="42">
        <v>5.7910000000000004</v>
      </c>
      <c r="S104" s="42">
        <v>5.742</v>
      </c>
      <c r="T104" s="42">
        <v>5.8419999999999996</v>
      </c>
      <c r="U104" s="42">
        <v>5.5979999999999999</v>
      </c>
      <c r="V104" s="42">
        <v>5.6449999999999996</v>
      </c>
      <c r="W104" s="43"/>
      <c r="X104" s="43"/>
      <c r="Y104" s="43"/>
      <c r="Z104" s="22">
        <v>5.6470000000000002</v>
      </c>
      <c r="AA104" s="41"/>
      <c r="AB104" s="42">
        <v>5.8319999999999999</v>
      </c>
      <c r="AC104" s="42">
        <v>5.8570000000000002</v>
      </c>
      <c r="AD104" s="42">
        <v>5.819</v>
      </c>
      <c r="AE104" s="42">
        <v>5.6740000000000004</v>
      </c>
      <c r="AF104" s="42">
        <v>5.72</v>
      </c>
      <c r="AG104" s="42">
        <v>5.35</v>
      </c>
      <c r="AH104" s="22">
        <f t="shared" si="13"/>
        <v>5.5350000000000001</v>
      </c>
      <c r="AI104" s="9"/>
      <c r="AJ104" s="9"/>
      <c r="AK104" s="9"/>
      <c r="AL104" s="9"/>
      <c r="AM104" s="9"/>
      <c r="AN104" s="9"/>
      <c r="AO104" s="9"/>
      <c r="AP104" s="3"/>
      <c r="AQ104" s="8"/>
    </row>
    <row r="105" spans="1:43">
      <c r="A105" s="1">
        <f t="shared" si="8"/>
        <v>103</v>
      </c>
      <c r="B105" s="2" t="s">
        <v>148</v>
      </c>
      <c r="C105" s="1">
        <v>8</v>
      </c>
      <c r="D105" s="4">
        <f t="shared" si="7"/>
        <v>69</v>
      </c>
      <c r="E105" s="4" t="s">
        <v>240</v>
      </c>
      <c r="F105" s="4">
        <v>1</v>
      </c>
      <c r="G105" s="4" t="s">
        <v>11</v>
      </c>
      <c r="H105" s="4" t="s">
        <v>12</v>
      </c>
      <c r="I105" s="4"/>
      <c r="J105" s="5">
        <v>85.3</v>
      </c>
      <c r="K105" s="68"/>
      <c r="L105" s="38">
        <v>2.7879999999999998</v>
      </c>
      <c r="M105" s="127" t="s">
        <v>339</v>
      </c>
      <c r="N105" s="1" t="s">
        <v>13</v>
      </c>
      <c r="O105" s="22">
        <v>2.7930000000000001</v>
      </c>
      <c r="P105" s="1" t="s">
        <v>7</v>
      </c>
      <c r="Q105" s="3" t="s">
        <v>205</v>
      </c>
      <c r="R105" s="22">
        <v>3.016</v>
      </c>
      <c r="S105" s="22">
        <v>2.819</v>
      </c>
      <c r="T105" s="22">
        <v>3.242</v>
      </c>
      <c r="U105" s="22">
        <v>2.8889999999999998</v>
      </c>
      <c r="V105" s="22">
        <v>3.13</v>
      </c>
      <c r="W105" s="22">
        <v>2.9569999999999999</v>
      </c>
      <c r="X105" s="22">
        <v>2.9430000000000001</v>
      </c>
      <c r="Y105" s="22">
        <v>2.891</v>
      </c>
      <c r="Z105" s="6">
        <v>2.7919999999999998</v>
      </c>
      <c r="AA105" s="41"/>
      <c r="AB105" s="22">
        <v>3.1909999999999998</v>
      </c>
      <c r="AC105" s="22">
        <v>3.3</v>
      </c>
      <c r="AD105" s="22">
        <v>3.1480000000000001</v>
      </c>
      <c r="AE105" s="22">
        <v>2.9470000000000001</v>
      </c>
      <c r="AF105" s="22">
        <v>2.7189999999999999</v>
      </c>
      <c r="AG105" s="22">
        <v>2.9119999999999999</v>
      </c>
      <c r="AH105" s="22">
        <f t="shared" ref="AH105:AH123" si="14">SUM(AF105:AG105)/2</f>
        <v>2.8155000000000001</v>
      </c>
      <c r="AI105" s="41"/>
      <c r="AJ105" s="41"/>
      <c r="AK105" s="41"/>
      <c r="AL105" s="41"/>
      <c r="AM105" s="41"/>
      <c r="AN105" s="41"/>
      <c r="AO105" s="41"/>
      <c r="AP105" s="3"/>
      <c r="AQ105" s="8"/>
    </row>
    <row r="106" spans="1:43">
      <c r="A106" s="1">
        <f t="shared" si="8"/>
        <v>104</v>
      </c>
      <c r="B106" s="19"/>
      <c r="C106" s="1">
        <v>8</v>
      </c>
      <c r="D106" s="4">
        <f t="shared" si="7"/>
        <v>69</v>
      </c>
      <c r="E106" s="4" t="s">
        <v>150</v>
      </c>
      <c r="F106" s="4">
        <v>1</v>
      </c>
      <c r="G106" s="4" t="s">
        <v>11</v>
      </c>
      <c r="H106" s="4" t="s">
        <v>12</v>
      </c>
      <c r="I106" s="4"/>
      <c r="J106" s="5">
        <v>84.1</v>
      </c>
      <c r="K106" s="68"/>
      <c r="L106" s="38">
        <v>2.93</v>
      </c>
      <c r="M106" s="127" t="s">
        <v>339</v>
      </c>
      <c r="N106" s="1" t="s">
        <v>13</v>
      </c>
      <c r="O106" s="22">
        <v>2.94</v>
      </c>
      <c r="P106" s="1" t="s">
        <v>7</v>
      </c>
      <c r="Q106" s="3" t="s">
        <v>205</v>
      </c>
      <c r="R106" s="22">
        <v>3.181</v>
      </c>
      <c r="S106" s="22">
        <v>2.9769999999999999</v>
      </c>
      <c r="T106" s="22">
        <v>3.3959999999999999</v>
      </c>
      <c r="U106" s="22">
        <v>3.0459999999999998</v>
      </c>
      <c r="V106" s="22">
        <v>3.2989999999999999</v>
      </c>
      <c r="W106" s="22">
        <v>3.121</v>
      </c>
      <c r="X106" s="22">
        <v>3.105</v>
      </c>
      <c r="Y106" s="22">
        <v>3.044</v>
      </c>
      <c r="Z106" s="6">
        <v>2.9380000000000002</v>
      </c>
      <c r="AA106" s="41"/>
      <c r="AB106" s="22">
        <v>3.3090000000000002</v>
      </c>
      <c r="AC106" s="22">
        <v>3.4460000000000002</v>
      </c>
      <c r="AD106" s="22">
        <v>3.3</v>
      </c>
      <c r="AE106" s="22">
        <v>3.0590000000000002</v>
      </c>
      <c r="AF106" s="22">
        <v>2.8420000000000001</v>
      </c>
      <c r="AG106" s="22">
        <v>3.1179999999999999</v>
      </c>
      <c r="AH106" s="22">
        <f t="shared" si="14"/>
        <v>2.98</v>
      </c>
      <c r="AI106" s="41"/>
      <c r="AJ106" s="41"/>
      <c r="AK106" s="41"/>
      <c r="AL106" s="41"/>
      <c r="AM106" s="41"/>
      <c r="AN106" s="41"/>
      <c r="AO106" s="41"/>
      <c r="AP106" s="3"/>
      <c r="AQ106" s="8"/>
    </row>
    <row r="107" spans="1:43" ht="15">
      <c r="A107" s="1">
        <f t="shared" si="8"/>
        <v>105</v>
      </c>
      <c r="B107" s="19"/>
      <c r="C107" s="1">
        <v>8</v>
      </c>
      <c r="D107" s="4">
        <f t="shared" si="7"/>
        <v>69</v>
      </c>
      <c r="E107" s="4" t="s">
        <v>120</v>
      </c>
      <c r="F107" s="4">
        <v>1</v>
      </c>
      <c r="G107" s="4" t="s">
        <v>11</v>
      </c>
      <c r="H107" s="4" t="s">
        <v>121</v>
      </c>
      <c r="I107" s="4" t="s">
        <v>321</v>
      </c>
      <c r="J107" s="5">
        <v>0.04</v>
      </c>
      <c r="K107" s="68"/>
      <c r="L107" s="95">
        <v>4.5659999999999998</v>
      </c>
      <c r="M107" s="127" t="s">
        <v>342</v>
      </c>
      <c r="N107" s="10" t="s">
        <v>111</v>
      </c>
      <c r="O107" s="36"/>
      <c r="P107" s="36"/>
      <c r="Q107" s="3" t="s">
        <v>205</v>
      </c>
      <c r="R107" s="41"/>
      <c r="S107" s="41"/>
      <c r="T107" s="41"/>
      <c r="U107" s="41"/>
      <c r="V107" s="41"/>
      <c r="W107" s="41"/>
      <c r="X107" s="41"/>
      <c r="Y107" s="22">
        <v>6.8490000000000002</v>
      </c>
      <c r="Z107" s="6">
        <v>6.0170000000000003</v>
      </c>
      <c r="AA107" s="41"/>
      <c r="AB107" s="41"/>
      <c r="AC107" s="41"/>
      <c r="AD107" s="41"/>
      <c r="AE107" s="41"/>
      <c r="AF107" s="41"/>
      <c r="AG107" s="22">
        <v>5.5730000000000004</v>
      </c>
      <c r="AH107" s="41"/>
      <c r="AI107" s="90">
        <v>4.9450000000000003</v>
      </c>
      <c r="AJ107" s="96">
        <v>4.4720000000000004</v>
      </c>
      <c r="AK107" s="96">
        <v>4.3010000000000002</v>
      </c>
      <c r="AL107" s="96">
        <v>4.6719999999999997</v>
      </c>
      <c r="AM107" s="96">
        <v>4.6959999999999997</v>
      </c>
      <c r="AN107" s="96">
        <v>4.5650000000000004</v>
      </c>
      <c r="AO107" s="96">
        <v>4.5659999999999998</v>
      </c>
      <c r="AP107" s="3"/>
      <c r="AQ107" s="8"/>
    </row>
    <row r="108" spans="1:43">
      <c r="A108" s="1">
        <f t="shared" si="8"/>
        <v>106</v>
      </c>
      <c r="B108" s="19"/>
      <c r="C108" s="1">
        <v>8</v>
      </c>
      <c r="D108" s="4">
        <f t="shared" si="7"/>
        <v>69</v>
      </c>
      <c r="E108" s="4" t="s">
        <v>160</v>
      </c>
      <c r="F108" s="4">
        <v>1</v>
      </c>
      <c r="G108" s="4" t="s">
        <v>11</v>
      </c>
      <c r="H108" s="4" t="s">
        <v>17</v>
      </c>
      <c r="I108" s="4"/>
      <c r="J108" s="5">
        <v>88.6</v>
      </c>
      <c r="K108" s="68"/>
      <c r="L108" s="38">
        <v>4.5149999999999997</v>
      </c>
      <c r="M108" s="127" t="s">
        <v>339</v>
      </c>
      <c r="N108" s="1" t="s">
        <v>13</v>
      </c>
      <c r="O108" s="36"/>
      <c r="P108" s="36"/>
      <c r="Q108" s="3" t="s">
        <v>205</v>
      </c>
      <c r="R108" s="22">
        <v>4.8869999999999996</v>
      </c>
      <c r="S108" s="22">
        <v>4.633</v>
      </c>
      <c r="T108" s="22">
        <v>5.08</v>
      </c>
      <c r="U108" s="22">
        <v>4.5759999999999996</v>
      </c>
      <c r="V108" s="22">
        <v>4.8680000000000003</v>
      </c>
      <c r="W108" s="22">
        <v>4.6520000000000001</v>
      </c>
      <c r="X108" s="22">
        <v>4.6440000000000001</v>
      </c>
      <c r="Y108" s="22">
        <v>4.6210000000000004</v>
      </c>
      <c r="Z108" s="6">
        <v>4.5339999999999998</v>
      </c>
      <c r="AA108" s="41"/>
      <c r="AB108" s="22">
        <v>5.0789999999999997</v>
      </c>
      <c r="AC108" s="22">
        <v>5.0279999999999996</v>
      </c>
      <c r="AD108" s="22">
        <v>4.8979999999999997</v>
      </c>
      <c r="AE108" s="22">
        <v>4.875</v>
      </c>
      <c r="AF108" s="22">
        <v>4.7270000000000003</v>
      </c>
      <c r="AG108" s="22">
        <v>4.2930000000000001</v>
      </c>
      <c r="AH108" s="22">
        <f t="shared" si="14"/>
        <v>4.51</v>
      </c>
      <c r="AI108" s="41"/>
      <c r="AJ108" s="41"/>
      <c r="AK108" s="41"/>
      <c r="AL108" s="41"/>
      <c r="AM108" s="41"/>
      <c r="AN108" s="41"/>
      <c r="AO108" s="41"/>
      <c r="AP108" s="3"/>
      <c r="AQ108" s="8"/>
    </row>
    <row r="109" spans="1:43" ht="15">
      <c r="A109" s="1">
        <f t="shared" si="8"/>
        <v>107</v>
      </c>
      <c r="B109" s="19"/>
      <c r="C109" s="1">
        <v>8</v>
      </c>
      <c r="D109" s="4">
        <f t="shared" si="7"/>
        <v>69</v>
      </c>
      <c r="E109" s="4" t="s">
        <v>120</v>
      </c>
      <c r="F109" s="4">
        <v>1</v>
      </c>
      <c r="G109" s="4" t="s">
        <v>11</v>
      </c>
      <c r="H109" s="4" t="s">
        <v>17</v>
      </c>
      <c r="I109" s="4" t="s">
        <v>320</v>
      </c>
      <c r="J109" s="5">
        <v>63.1</v>
      </c>
      <c r="K109" s="68"/>
      <c r="L109" s="95">
        <v>6.351</v>
      </c>
      <c r="M109" s="127" t="s">
        <v>339</v>
      </c>
      <c r="N109" s="10" t="s">
        <v>111</v>
      </c>
      <c r="O109" s="36"/>
      <c r="P109" s="36"/>
      <c r="Q109" s="3"/>
      <c r="R109" s="41"/>
      <c r="S109" s="41"/>
      <c r="T109" s="41"/>
      <c r="U109" s="41"/>
      <c r="V109" s="41"/>
      <c r="W109" s="41"/>
      <c r="X109" s="41"/>
      <c r="Y109" s="22">
        <v>6.9489999999999998</v>
      </c>
      <c r="Z109" s="6">
        <v>6.6710000000000003</v>
      </c>
      <c r="AA109" s="41"/>
      <c r="AB109" s="41"/>
      <c r="AC109" s="41"/>
      <c r="AD109" s="41"/>
      <c r="AE109" s="41"/>
      <c r="AF109" s="41"/>
      <c r="AG109" s="22">
        <v>5.2969999999999997</v>
      </c>
      <c r="AH109" s="41"/>
      <c r="AI109" s="90">
        <v>6.5259999999999998</v>
      </c>
      <c r="AJ109" s="90">
        <v>6.2869999999999999</v>
      </c>
      <c r="AK109" s="90">
        <v>5.8490000000000002</v>
      </c>
      <c r="AL109" s="90">
        <v>6.343</v>
      </c>
      <c r="AM109" s="90">
        <v>6.3029999999999999</v>
      </c>
      <c r="AN109" s="90">
        <v>6.431</v>
      </c>
      <c r="AO109" s="90">
        <v>6.39</v>
      </c>
      <c r="AP109" s="3"/>
      <c r="AQ109" s="8"/>
    </row>
    <row r="110" spans="1:43">
      <c r="A110" s="1">
        <f t="shared" si="8"/>
        <v>108</v>
      </c>
      <c r="B110" s="19"/>
      <c r="C110" s="1">
        <v>8</v>
      </c>
      <c r="D110" s="4">
        <f t="shared" si="7"/>
        <v>69</v>
      </c>
      <c r="E110" s="4" t="s">
        <v>162</v>
      </c>
      <c r="F110" s="4">
        <v>1</v>
      </c>
      <c r="G110" s="4" t="s">
        <v>11</v>
      </c>
      <c r="H110" s="4" t="s">
        <v>17</v>
      </c>
      <c r="I110" s="4"/>
      <c r="J110" s="5">
        <v>88.4</v>
      </c>
      <c r="K110" s="63">
        <v>0.47099999999999997</v>
      </c>
      <c r="L110" s="38">
        <v>5.5709999999999997</v>
      </c>
      <c r="M110" s="127" t="s">
        <v>339</v>
      </c>
      <c r="N110" s="1" t="s">
        <v>13</v>
      </c>
      <c r="O110" s="36"/>
      <c r="P110" s="36"/>
      <c r="Q110" s="3" t="s">
        <v>205</v>
      </c>
      <c r="R110" s="22">
        <v>5.5910000000000002</v>
      </c>
      <c r="S110" s="22">
        <v>5.5650000000000004</v>
      </c>
      <c r="T110" s="22">
        <v>5.9550000000000001</v>
      </c>
      <c r="U110" s="22">
        <v>5.6180000000000003</v>
      </c>
      <c r="V110" s="22">
        <v>5.8689999999999998</v>
      </c>
      <c r="W110" s="22">
        <v>5.6369999999999996</v>
      </c>
      <c r="X110" s="22">
        <v>5.6210000000000004</v>
      </c>
      <c r="Y110" s="22">
        <v>5.6539999999999999</v>
      </c>
      <c r="Z110" s="6">
        <v>5.5759999999999996</v>
      </c>
      <c r="AA110" s="41"/>
      <c r="AB110" s="22">
        <v>5.82</v>
      </c>
      <c r="AC110" s="22">
        <v>5.9569999999999999</v>
      </c>
      <c r="AD110" s="22">
        <v>5.8280000000000003</v>
      </c>
      <c r="AE110" s="22">
        <v>5.5880000000000001</v>
      </c>
      <c r="AF110" s="22">
        <v>5.42</v>
      </c>
      <c r="AG110" s="22">
        <v>5.452</v>
      </c>
      <c r="AH110" s="22">
        <f t="shared" si="14"/>
        <v>5.4359999999999999</v>
      </c>
      <c r="AI110" s="41"/>
      <c r="AJ110" s="41"/>
      <c r="AK110" s="41"/>
      <c r="AL110" s="41"/>
      <c r="AM110" s="41"/>
      <c r="AN110" s="41"/>
      <c r="AO110" s="41"/>
      <c r="AP110" s="3"/>
      <c r="AQ110" s="8"/>
    </row>
    <row r="111" spans="1:43" ht="15">
      <c r="A111" s="1">
        <f t="shared" si="8"/>
        <v>109</v>
      </c>
      <c r="B111" s="19"/>
      <c r="C111" s="1">
        <v>8</v>
      </c>
      <c r="D111" s="4">
        <f t="shared" si="7"/>
        <v>69</v>
      </c>
      <c r="E111" s="4" t="s">
        <v>163</v>
      </c>
      <c r="F111" s="4">
        <v>1</v>
      </c>
      <c r="G111" s="4" t="s">
        <v>11</v>
      </c>
      <c r="H111" s="4" t="s">
        <v>12</v>
      </c>
      <c r="I111" s="4" t="s">
        <v>320</v>
      </c>
      <c r="J111" s="5">
        <v>79.8</v>
      </c>
      <c r="K111" s="63">
        <v>1E-3</v>
      </c>
      <c r="L111" s="38">
        <v>5.6559999999999997</v>
      </c>
      <c r="M111" s="127" t="s">
        <v>339</v>
      </c>
      <c r="N111" s="1" t="s">
        <v>13</v>
      </c>
      <c r="O111" s="36"/>
      <c r="P111" s="36"/>
      <c r="Q111" s="3" t="s">
        <v>205</v>
      </c>
      <c r="R111" s="22">
        <v>6.8019999999999996</v>
      </c>
      <c r="S111" s="22">
        <v>5.6029999999999998</v>
      </c>
      <c r="T111" s="22">
        <v>6.444</v>
      </c>
      <c r="U111" s="22">
        <v>6.0979999999999999</v>
      </c>
      <c r="V111" s="22">
        <v>6.44</v>
      </c>
      <c r="W111" s="22">
        <v>6.0190000000000001</v>
      </c>
      <c r="X111" s="22">
        <v>6.0030000000000001</v>
      </c>
      <c r="Y111" s="22">
        <v>5.9649999999999999</v>
      </c>
      <c r="Z111" s="6">
        <v>5.7549999999999999</v>
      </c>
      <c r="AA111" s="41"/>
      <c r="AB111" s="22">
        <v>6.4420000000000002</v>
      </c>
      <c r="AC111" s="22">
        <v>6.4960000000000004</v>
      </c>
      <c r="AD111" s="22">
        <v>6.2030000000000003</v>
      </c>
      <c r="AE111" s="22">
        <v>6.173</v>
      </c>
      <c r="AF111" s="22">
        <v>5.5679999999999996</v>
      </c>
      <c r="AG111" s="22">
        <v>5.577</v>
      </c>
      <c r="AH111" s="22">
        <f t="shared" si="14"/>
        <v>5.5724999999999998</v>
      </c>
      <c r="AI111" s="90">
        <v>6.5430000000000001</v>
      </c>
      <c r="AJ111" s="22">
        <v>5.774</v>
      </c>
      <c r="AK111" s="22">
        <v>5.0019999999999998</v>
      </c>
      <c r="AL111" s="22">
        <v>6.0629999999999997</v>
      </c>
      <c r="AM111" s="22">
        <v>5.9539999999999997</v>
      </c>
      <c r="AN111" s="22">
        <v>6.02</v>
      </c>
      <c r="AO111" s="22">
        <v>5.944</v>
      </c>
      <c r="AP111" s="3"/>
      <c r="AQ111" s="8"/>
    </row>
    <row r="112" spans="1:43" ht="15">
      <c r="A112" s="1">
        <f t="shared" si="8"/>
        <v>110</v>
      </c>
      <c r="B112" s="19"/>
      <c r="C112" s="1">
        <v>8</v>
      </c>
      <c r="D112" s="4">
        <f t="shared" si="7"/>
        <v>69</v>
      </c>
      <c r="E112" s="4" t="s">
        <v>232</v>
      </c>
      <c r="F112" s="4">
        <v>1</v>
      </c>
      <c r="G112" s="4" t="s">
        <v>11</v>
      </c>
      <c r="H112" s="4" t="s">
        <v>12</v>
      </c>
      <c r="I112" s="4" t="s">
        <v>320</v>
      </c>
      <c r="J112" s="5">
        <v>76.2</v>
      </c>
      <c r="K112" s="68"/>
      <c r="L112" s="38">
        <v>5.7640000000000002</v>
      </c>
      <c r="M112" s="127" t="s">
        <v>339</v>
      </c>
      <c r="N112" s="1" t="s">
        <v>13</v>
      </c>
      <c r="O112" s="36"/>
      <c r="P112" s="36"/>
      <c r="Q112" s="3" t="s">
        <v>205</v>
      </c>
      <c r="R112" s="22">
        <v>6.5529999999999999</v>
      </c>
      <c r="S112" s="22">
        <v>5.7629999999999999</v>
      </c>
      <c r="T112" s="22">
        <v>6.7460000000000004</v>
      </c>
      <c r="U112" s="41"/>
      <c r="V112" s="22">
        <v>6.7460000000000004</v>
      </c>
      <c r="W112" s="22">
        <v>6.26</v>
      </c>
      <c r="X112" s="22">
        <v>6.2450000000000001</v>
      </c>
      <c r="Y112" s="22">
        <v>6.1769999999999996</v>
      </c>
      <c r="Z112" s="6">
        <v>5.9349999999999996</v>
      </c>
      <c r="AA112" s="41"/>
      <c r="AB112" s="22">
        <v>6.6369999999999996</v>
      </c>
      <c r="AC112" s="22">
        <v>6.7210000000000001</v>
      </c>
      <c r="AD112" s="22">
        <v>6.4059999999999997</v>
      </c>
      <c r="AE112" s="22">
        <v>6.351</v>
      </c>
      <c r="AF112" s="22">
        <v>5.7060000000000004</v>
      </c>
      <c r="AG112" s="22">
        <v>5.5330000000000004</v>
      </c>
      <c r="AH112" s="22">
        <f t="shared" si="14"/>
        <v>5.6195000000000004</v>
      </c>
      <c r="AI112" s="90">
        <v>6.5389999999999997</v>
      </c>
      <c r="AJ112" s="22">
        <v>5.7610000000000001</v>
      </c>
      <c r="AK112" s="22">
        <v>5.0049999999999999</v>
      </c>
      <c r="AL112" s="22">
        <v>6.0279999999999996</v>
      </c>
      <c r="AM112" s="22">
        <v>5.95</v>
      </c>
      <c r="AN112" s="22">
        <v>6.0039999999999996</v>
      </c>
      <c r="AO112" s="22">
        <v>5.9320000000000004</v>
      </c>
      <c r="AP112" s="3"/>
      <c r="AQ112" s="8"/>
    </row>
    <row r="113" spans="1:43" ht="15">
      <c r="A113" s="1">
        <f t="shared" si="8"/>
        <v>111</v>
      </c>
      <c r="B113" s="19"/>
      <c r="C113" s="1">
        <v>8</v>
      </c>
      <c r="D113" s="4">
        <f t="shared" si="7"/>
        <v>69</v>
      </c>
      <c r="E113" s="4" t="s">
        <v>150</v>
      </c>
      <c r="F113" s="4">
        <v>1</v>
      </c>
      <c r="G113" s="4" t="s">
        <v>11</v>
      </c>
      <c r="H113" s="4" t="s">
        <v>12</v>
      </c>
      <c r="I113" s="4" t="s">
        <v>320</v>
      </c>
      <c r="J113" s="5">
        <v>74.8</v>
      </c>
      <c r="K113" s="68"/>
      <c r="L113" s="38">
        <v>6.0830000000000002</v>
      </c>
      <c r="M113" s="127" t="s">
        <v>339</v>
      </c>
      <c r="N113" s="1" t="s">
        <v>13</v>
      </c>
      <c r="O113" s="36"/>
      <c r="P113" s="36"/>
      <c r="Q113" s="3" t="s">
        <v>205</v>
      </c>
      <c r="R113" s="22">
        <v>6.7750000000000004</v>
      </c>
      <c r="S113" s="22">
        <v>6.3150000000000004</v>
      </c>
      <c r="T113" s="22">
        <v>7.2729999999999997</v>
      </c>
      <c r="U113" s="41"/>
      <c r="V113" s="22">
        <v>7.1669999999999998</v>
      </c>
      <c r="W113" s="22">
        <v>6.6760000000000002</v>
      </c>
      <c r="X113" s="22">
        <v>6.6459999999999999</v>
      </c>
      <c r="Y113" s="22">
        <v>6.548</v>
      </c>
      <c r="Z113" s="6">
        <v>6.2690000000000001</v>
      </c>
      <c r="AA113" s="41"/>
      <c r="AB113" s="22">
        <v>7.0839999999999996</v>
      </c>
      <c r="AC113" s="22">
        <v>7.1379999999999999</v>
      </c>
      <c r="AD113" s="22">
        <v>6.8570000000000002</v>
      </c>
      <c r="AE113" s="22">
        <v>6.8</v>
      </c>
      <c r="AF113" s="22">
        <v>6.2729999999999997</v>
      </c>
      <c r="AG113" s="22">
        <v>6.0629999999999997</v>
      </c>
      <c r="AH113" s="22">
        <f t="shared" si="14"/>
        <v>6.1679999999999993</v>
      </c>
      <c r="AI113" s="90">
        <v>6.6840000000000002</v>
      </c>
      <c r="AJ113" s="22">
        <v>6.21</v>
      </c>
      <c r="AK113" s="22">
        <v>5.5469999999999997</v>
      </c>
      <c r="AL113" s="22">
        <v>6.4219999999999997</v>
      </c>
      <c r="AM113" s="22">
        <v>6.3520000000000003</v>
      </c>
      <c r="AN113" s="22">
        <v>6.548</v>
      </c>
      <c r="AO113" s="22">
        <v>6.5019999999999998</v>
      </c>
      <c r="AP113" s="3"/>
      <c r="AQ113" s="8"/>
    </row>
    <row r="114" spans="1:43">
      <c r="A114" s="1">
        <f t="shared" si="8"/>
        <v>112</v>
      </c>
      <c r="B114" s="19"/>
      <c r="C114" s="1">
        <v>8</v>
      </c>
      <c r="D114" s="4">
        <f t="shared" si="7"/>
        <v>69</v>
      </c>
      <c r="E114" s="4" t="s">
        <v>240</v>
      </c>
      <c r="F114" s="4">
        <v>1</v>
      </c>
      <c r="G114" s="4" t="s">
        <v>11</v>
      </c>
      <c r="H114" s="4" t="s">
        <v>12</v>
      </c>
      <c r="I114" s="4"/>
      <c r="J114" s="5">
        <v>83.5</v>
      </c>
      <c r="K114" s="68"/>
      <c r="L114" s="38">
        <v>6.2229999999999999</v>
      </c>
      <c r="M114" s="127" t="s">
        <v>339</v>
      </c>
      <c r="N114" s="1" t="s">
        <v>13</v>
      </c>
      <c r="O114" s="36"/>
      <c r="P114" s="36"/>
      <c r="Q114" s="3" t="s">
        <v>205</v>
      </c>
      <c r="R114" s="22">
        <v>6.7389999999999999</v>
      </c>
      <c r="S114" s="22">
        <v>6.3659999999999997</v>
      </c>
      <c r="T114" s="22">
        <v>6.8330000000000002</v>
      </c>
      <c r="U114" s="22">
        <v>6.5119999999999996</v>
      </c>
      <c r="V114" s="22">
        <v>6.7329999999999997</v>
      </c>
      <c r="W114" s="22">
        <v>6.4989999999999997</v>
      </c>
      <c r="X114" s="22">
        <v>6.5</v>
      </c>
      <c r="Y114" s="22">
        <v>6.4779999999999998</v>
      </c>
      <c r="Z114" s="6">
        <v>6.3360000000000003</v>
      </c>
      <c r="AA114" s="41"/>
      <c r="AB114" s="22">
        <v>6.915</v>
      </c>
      <c r="AC114" s="22">
        <v>6.9589999999999996</v>
      </c>
      <c r="AD114" s="22">
        <v>6.7690000000000001</v>
      </c>
      <c r="AE114" s="22">
        <v>6.6660000000000004</v>
      </c>
      <c r="AF114" s="22">
        <v>6.29</v>
      </c>
      <c r="AG114" s="22">
        <v>6.2210000000000001</v>
      </c>
      <c r="AH114" s="22">
        <f t="shared" si="14"/>
        <v>6.2554999999999996</v>
      </c>
      <c r="AI114" s="41"/>
      <c r="AJ114" s="41"/>
      <c r="AK114" s="41"/>
      <c r="AL114" s="41"/>
      <c r="AM114" s="41"/>
      <c r="AN114" s="41"/>
      <c r="AO114" s="41"/>
      <c r="AP114" s="3"/>
      <c r="AQ114" s="8"/>
    </row>
    <row r="115" spans="1:43" ht="15">
      <c r="A115" s="1">
        <f t="shared" si="8"/>
        <v>113</v>
      </c>
      <c r="B115" s="19"/>
      <c r="C115" s="1">
        <v>8</v>
      </c>
      <c r="D115" s="4">
        <f t="shared" si="7"/>
        <v>69</v>
      </c>
      <c r="E115" s="4" t="s">
        <v>240</v>
      </c>
      <c r="F115" s="4">
        <v>1</v>
      </c>
      <c r="G115" s="4" t="s">
        <v>11</v>
      </c>
      <c r="H115" s="4" t="s">
        <v>12</v>
      </c>
      <c r="I115" s="4" t="s">
        <v>320</v>
      </c>
      <c r="J115" s="5">
        <v>70.400000000000006</v>
      </c>
      <c r="K115" s="68"/>
      <c r="L115" s="101">
        <v>6.4690000000000003</v>
      </c>
      <c r="M115" s="127" t="s">
        <v>339</v>
      </c>
      <c r="N115" s="10" t="s">
        <v>111</v>
      </c>
      <c r="O115" s="36"/>
      <c r="P115" s="36"/>
      <c r="Q115" s="3"/>
      <c r="R115" s="41"/>
      <c r="S115" s="22">
        <v>6.992</v>
      </c>
      <c r="T115" s="22">
        <v>7.9050000000000002</v>
      </c>
      <c r="U115" s="41"/>
      <c r="V115" s="22">
        <v>7.8019999999999996</v>
      </c>
      <c r="W115" s="22">
        <v>7.2510000000000003</v>
      </c>
      <c r="X115" s="22">
        <v>7.1749999999999998</v>
      </c>
      <c r="Y115" s="6">
        <v>6.9749999999999996</v>
      </c>
      <c r="Z115" s="6">
        <v>6.681</v>
      </c>
      <c r="AA115" s="41"/>
      <c r="AB115" s="22">
        <v>7.7549999999999999</v>
      </c>
      <c r="AC115" s="22">
        <v>6.9589999999999996</v>
      </c>
      <c r="AD115" s="22">
        <v>7.5</v>
      </c>
      <c r="AE115" s="22">
        <v>7.484</v>
      </c>
      <c r="AF115" s="22">
        <v>7.0350000000000001</v>
      </c>
      <c r="AG115" s="22">
        <v>6.4950000000000001</v>
      </c>
      <c r="AH115" s="22">
        <f t="shared" si="14"/>
        <v>6.7650000000000006</v>
      </c>
      <c r="AI115" s="90">
        <v>6.6970000000000001</v>
      </c>
      <c r="AJ115" s="22">
        <v>6.234</v>
      </c>
      <c r="AK115" s="22">
        <v>5.4790000000000001</v>
      </c>
      <c r="AL115" s="22">
        <v>6.4509999999999996</v>
      </c>
      <c r="AM115" s="22">
        <v>6.492</v>
      </c>
      <c r="AN115" s="22">
        <v>6.5739999999999998</v>
      </c>
      <c r="AO115" s="22">
        <v>6.53</v>
      </c>
      <c r="AP115" s="3"/>
      <c r="AQ115" s="8"/>
    </row>
    <row r="116" spans="1:43">
      <c r="A116" s="1">
        <f t="shared" si="8"/>
        <v>114</v>
      </c>
      <c r="B116" s="19"/>
      <c r="C116" s="1">
        <v>8</v>
      </c>
      <c r="D116" s="4">
        <f t="shared" si="7"/>
        <v>69</v>
      </c>
      <c r="E116" s="4" t="s">
        <v>160</v>
      </c>
      <c r="F116" s="4">
        <v>1</v>
      </c>
      <c r="G116" s="4" t="s">
        <v>14</v>
      </c>
      <c r="H116" s="4" t="s">
        <v>15</v>
      </c>
      <c r="I116" s="4"/>
      <c r="J116" s="5">
        <v>87.8</v>
      </c>
      <c r="K116" s="68"/>
      <c r="L116" s="38">
        <v>7.0830000000000002</v>
      </c>
      <c r="M116" s="127" t="s">
        <v>339</v>
      </c>
      <c r="N116" s="1" t="s">
        <v>13</v>
      </c>
      <c r="O116" s="36"/>
      <c r="P116" s="36"/>
      <c r="Q116" s="3"/>
      <c r="R116" s="22">
        <v>6.6120000000000001</v>
      </c>
      <c r="S116" s="22">
        <v>6.5270000000000001</v>
      </c>
      <c r="T116" s="22">
        <v>7.4809999999999999</v>
      </c>
      <c r="U116" s="22">
        <v>7.4109999999999996</v>
      </c>
      <c r="V116" s="22">
        <v>7.3630000000000004</v>
      </c>
      <c r="W116" s="22">
        <v>7.17</v>
      </c>
      <c r="X116" s="22">
        <v>7.157</v>
      </c>
      <c r="Y116" s="22">
        <v>7.18</v>
      </c>
      <c r="Z116" s="6">
        <v>7.0389999999999997</v>
      </c>
      <c r="AA116" s="41"/>
      <c r="AB116" s="22">
        <v>7.3239999999999998</v>
      </c>
      <c r="AC116" s="22">
        <v>7.3090000000000002</v>
      </c>
      <c r="AD116" s="22">
        <v>7.0519999999999996</v>
      </c>
      <c r="AE116" s="22">
        <v>7.1180000000000003</v>
      </c>
      <c r="AF116" s="22">
        <v>6.5670000000000002</v>
      </c>
      <c r="AG116" s="22">
        <v>7.6319999999999997</v>
      </c>
      <c r="AH116" s="22">
        <f t="shared" si="14"/>
        <v>7.0994999999999999</v>
      </c>
      <c r="AI116" s="9"/>
      <c r="AJ116" s="9"/>
      <c r="AK116" s="9"/>
      <c r="AL116" s="9"/>
      <c r="AM116" s="9"/>
      <c r="AN116" s="9"/>
      <c r="AO116" s="9"/>
      <c r="AP116" s="3"/>
      <c r="AQ116" s="8"/>
    </row>
    <row r="117" spans="1:43">
      <c r="A117" s="1">
        <f t="shared" si="8"/>
        <v>115</v>
      </c>
      <c r="B117" s="19"/>
      <c r="C117" s="1">
        <v>8</v>
      </c>
      <c r="D117" s="4">
        <f t="shared" si="7"/>
        <v>69</v>
      </c>
      <c r="E117" s="4" t="s">
        <v>232</v>
      </c>
      <c r="F117" s="4">
        <v>1</v>
      </c>
      <c r="G117" s="4" t="s">
        <v>11</v>
      </c>
      <c r="H117" s="4" t="s">
        <v>12</v>
      </c>
      <c r="I117" s="4"/>
      <c r="J117" s="5">
        <v>86.6</v>
      </c>
      <c r="K117" s="68"/>
      <c r="L117" s="38">
        <v>7.22</v>
      </c>
      <c r="M117" s="127" t="s">
        <v>339</v>
      </c>
      <c r="N117" s="1" t="s">
        <v>13</v>
      </c>
      <c r="O117" s="36"/>
      <c r="P117" s="36"/>
      <c r="Q117" s="3" t="s">
        <v>205</v>
      </c>
      <c r="R117" s="22">
        <v>7.2249999999999996</v>
      </c>
      <c r="S117" s="22">
        <v>7.2409999999999997</v>
      </c>
      <c r="T117" s="22">
        <v>7.7149999999999999</v>
      </c>
      <c r="U117" s="22">
        <v>7.282</v>
      </c>
      <c r="V117" s="22">
        <v>7.59</v>
      </c>
      <c r="W117" s="22">
        <v>7.3470000000000004</v>
      </c>
      <c r="X117" s="22">
        <v>7.3250000000000002</v>
      </c>
      <c r="Y117" s="22">
        <v>7.306</v>
      </c>
      <c r="Z117" s="6">
        <v>7.1980000000000004</v>
      </c>
      <c r="AA117" s="41"/>
      <c r="AB117" s="22">
        <v>7.7370000000000001</v>
      </c>
      <c r="AC117" s="22">
        <v>7.8109999999999999</v>
      </c>
      <c r="AD117" s="22">
        <v>7.6239999999999997</v>
      </c>
      <c r="AE117" s="22">
        <v>7.492</v>
      </c>
      <c r="AF117" s="22">
        <v>7.1909999999999998</v>
      </c>
      <c r="AG117" s="22">
        <v>7.1230000000000002</v>
      </c>
      <c r="AH117" s="22">
        <f t="shared" si="14"/>
        <v>7.157</v>
      </c>
      <c r="AI117" s="9"/>
      <c r="AJ117" s="9"/>
      <c r="AK117" s="9"/>
      <c r="AL117" s="9"/>
      <c r="AM117" s="9"/>
      <c r="AN117" s="9"/>
      <c r="AO117" s="9"/>
      <c r="AP117" s="3"/>
      <c r="AQ117" s="8"/>
    </row>
    <row r="118" spans="1:43">
      <c r="A118" s="1">
        <f t="shared" si="8"/>
        <v>116</v>
      </c>
      <c r="B118" s="19"/>
      <c r="C118" s="1">
        <v>8</v>
      </c>
      <c r="D118" s="4">
        <f t="shared" si="7"/>
        <v>69</v>
      </c>
      <c r="E118" s="4" t="s">
        <v>160</v>
      </c>
      <c r="F118" s="4">
        <v>1</v>
      </c>
      <c r="G118" s="4" t="s">
        <v>11</v>
      </c>
      <c r="H118" s="4" t="s">
        <v>17</v>
      </c>
      <c r="I118" s="4"/>
      <c r="J118" s="5">
        <v>85.4</v>
      </c>
      <c r="K118" s="68"/>
      <c r="L118" s="38">
        <v>7.1980000000000004</v>
      </c>
      <c r="M118" s="127" t="s">
        <v>339</v>
      </c>
      <c r="N118" s="1" t="s">
        <v>13</v>
      </c>
      <c r="O118" s="36"/>
      <c r="P118" s="36"/>
      <c r="Q118" s="3"/>
      <c r="R118" s="22">
        <v>7.22</v>
      </c>
      <c r="S118" s="22">
        <v>7.2939999999999996</v>
      </c>
      <c r="T118" s="22">
        <v>7.6440000000000001</v>
      </c>
      <c r="U118" s="22">
        <v>7.2220000000000004</v>
      </c>
      <c r="V118" s="22">
        <v>7.5949999999999998</v>
      </c>
      <c r="W118" s="22">
        <v>7.3289999999999997</v>
      </c>
      <c r="X118" s="22">
        <v>7.3319999999999999</v>
      </c>
      <c r="Y118" s="22">
        <v>7.3369999999999997</v>
      </c>
      <c r="Z118" s="6">
        <v>7.2370000000000001</v>
      </c>
      <c r="AA118" s="41"/>
      <c r="AB118" s="22">
        <v>7.6150000000000002</v>
      </c>
      <c r="AC118" s="22">
        <v>7.6909999999999998</v>
      </c>
      <c r="AD118" s="22">
        <v>7.5570000000000004</v>
      </c>
      <c r="AE118" s="22">
        <v>7.3920000000000003</v>
      </c>
      <c r="AF118" s="22">
        <v>7.2190000000000003</v>
      </c>
      <c r="AG118" s="22">
        <v>7.0620000000000003</v>
      </c>
      <c r="AH118" s="22">
        <f t="shared" si="14"/>
        <v>7.1405000000000003</v>
      </c>
      <c r="AI118" s="9"/>
      <c r="AJ118" s="9"/>
      <c r="AK118" s="9"/>
      <c r="AL118" s="9"/>
      <c r="AM118" s="9"/>
      <c r="AN118" s="9"/>
      <c r="AO118" s="9"/>
      <c r="AP118" s="3"/>
      <c r="AQ118" s="8"/>
    </row>
    <row r="119" spans="1:43">
      <c r="A119" s="1">
        <f t="shared" si="8"/>
        <v>117</v>
      </c>
      <c r="B119" s="19"/>
      <c r="C119" s="1">
        <v>8</v>
      </c>
      <c r="D119" s="4">
        <f t="shared" si="7"/>
        <v>69</v>
      </c>
      <c r="E119" s="4" t="s">
        <v>161</v>
      </c>
      <c r="F119" s="4">
        <v>1</v>
      </c>
      <c r="G119" s="4" t="s">
        <v>14</v>
      </c>
      <c r="H119" s="4" t="s">
        <v>15</v>
      </c>
      <c r="I119" s="4"/>
      <c r="J119" s="5">
        <v>87</v>
      </c>
      <c r="K119" s="63">
        <v>1.7000000000000001E-2</v>
      </c>
      <c r="L119" s="38">
        <v>7.2960000000000003</v>
      </c>
      <c r="M119" s="127" t="s">
        <v>339</v>
      </c>
      <c r="N119" s="1" t="s">
        <v>13</v>
      </c>
      <c r="O119" s="36"/>
      <c r="P119" s="36"/>
      <c r="Q119" s="3"/>
      <c r="R119" s="22">
        <v>6.7750000000000004</v>
      </c>
      <c r="S119" s="22">
        <v>6.6879999999999997</v>
      </c>
      <c r="T119" s="22">
        <v>7.6779999999999999</v>
      </c>
      <c r="U119" s="22">
        <v>7.5730000000000004</v>
      </c>
      <c r="V119" s="22">
        <v>7.5640000000000001</v>
      </c>
      <c r="W119" s="22">
        <v>7.3849999999999998</v>
      </c>
      <c r="X119" s="22">
        <v>7.3780000000000001</v>
      </c>
      <c r="Y119" s="22">
        <v>7.4050000000000002</v>
      </c>
      <c r="Z119" s="6">
        <v>7.2539999999999996</v>
      </c>
      <c r="AA119" s="41"/>
      <c r="AB119" s="22">
        <v>7.4470000000000001</v>
      </c>
      <c r="AC119" s="22">
        <v>7.4530000000000003</v>
      </c>
      <c r="AD119" s="22">
        <v>7.2030000000000003</v>
      </c>
      <c r="AE119" s="22">
        <v>7.2359999999999998</v>
      </c>
      <c r="AF119" s="22">
        <v>6.7030000000000003</v>
      </c>
      <c r="AG119" s="22">
        <v>7.9210000000000003</v>
      </c>
      <c r="AH119" s="22">
        <f t="shared" si="14"/>
        <v>7.3120000000000003</v>
      </c>
      <c r="AI119" s="9"/>
      <c r="AJ119" s="9"/>
      <c r="AK119" s="9"/>
      <c r="AL119" s="9"/>
      <c r="AM119" s="9"/>
      <c r="AN119" s="9"/>
      <c r="AO119" s="9"/>
      <c r="AP119" s="3"/>
      <c r="AQ119" s="8"/>
    </row>
    <row r="120" spans="1:43">
      <c r="A120" s="1">
        <f t="shared" si="8"/>
        <v>118</v>
      </c>
      <c r="B120" s="19"/>
      <c r="C120" s="1">
        <v>8</v>
      </c>
      <c r="D120" s="4">
        <f t="shared" si="7"/>
        <v>69</v>
      </c>
      <c r="E120" s="4" t="s">
        <v>241</v>
      </c>
      <c r="F120" s="4">
        <v>3</v>
      </c>
      <c r="G120" s="4" t="s">
        <v>11</v>
      </c>
      <c r="H120" s="4" t="s">
        <v>12</v>
      </c>
      <c r="I120" s="4"/>
      <c r="J120" s="5">
        <v>96</v>
      </c>
      <c r="K120" s="68"/>
      <c r="L120" s="38">
        <v>2.5770000000000004</v>
      </c>
      <c r="M120" s="127" t="s">
        <v>113</v>
      </c>
      <c r="N120" s="1" t="s">
        <v>13</v>
      </c>
      <c r="O120" s="60"/>
      <c r="P120" s="9"/>
      <c r="Q120" s="3" t="s">
        <v>205</v>
      </c>
      <c r="R120" s="22">
        <v>2.7349999999999999</v>
      </c>
      <c r="S120" s="22">
        <v>2.5099999999999998</v>
      </c>
      <c r="T120" s="22">
        <v>2.8959999999999999</v>
      </c>
      <c r="U120" s="22">
        <v>2.5619999999999998</v>
      </c>
      <c r="V120" s="22">
        <v>2.7778</v>
      </c>
      <c r="W120" s="41"/>
      <c r="X120" s="41"/>
      <c r="Y120" s="41"/>
      <c r="Z120" s="6">
        <v>2.5550000000000002</v>
      </c>
      <c r="AA120" s="41"/>
      <c r="AB120" s="22">
        <v>2.9329999999999998</v>
      </c>
      <c r="AC120" s="22">
        <v>3.032</v>
      </c>
      <c r="AD120" s="22">
        <v>2.8639999999999999</v>
      </c>
      <c r="AE120" s="22">
        <v>2.7069999999999999</v>
      </c>
      <c r="AF120" s="22">
        <v>2.4159999999999999</v>
      </c>
      <c r="AG120" s="22">
        <v>2.633</v>
      </c>
      <c r="AH120" s="22">
        <f t="shared" si="14"/>
        <v>2.5244999999999997</v>
      </c>
      <c r="AI120" s="9"/>
      <c r="AJ120" s="9"/>
      <c r="AK120" s="9"/>
      <c r="AL120" s="9"/>
      <c r="AM120" s="9"/>
      <c r="AN120" s="9"/>
      <c r="AO120" s="9"/>
      <c r="AP120" s="3"/>
      <c r="AQ120" s="8"/>
    </row>
    <row r="121" spans="1:43">
      <c r="A121" s="1">
        <f t="shared" si="8"/>
        <v>119</v>
      </c>
      <c r="B121" s="19"/>
      <c r="C121" s="1">
        <v>8</v>
      </c>
      <c r="D121" s="4">
        <f t="shared" si="7"/>
        <v>69</v>
      </c>
      <c r="E121" s="4" t="s">
        <v>149</v>
      </c>
      <c r="F121" s="4">
        <v>3</v>
      </c>
      <c r="G121" s="4" t="s">
        <v>11</v>
      </c>
      <c r="H121" s="4" t="s">
        <v>12</v>
      </c>
      <c r="I121" s="4"/>
      <c r="J121" s="5">
        <v>95.6</v>
      </c>
      <c r="K121" s="68"/>
      <c r="L121" s="38">
        <v>2.7269999999999994</v>
      </c>
      <c r="M121" s="127" t="s">
        <v>113</v>
      </c>
      <c r="N121" s="1" t="s">
        <v>13</v>
      </c>
      <c r="O121" s="22">
        <v>2.7409999999999997</v>
      </c>
      <c r="P121" s="1" t="s">
        <v>7</v>
      </c>
      <c r="Q121" s="3" t="s">
        <v>205</v>
      </c>
      <c r="R121" s="22">
        <v>2.9049999999999998</v>
      </c>
      <c r="S121" s="22">
        <v>2.6749999999999998</v>
      </c>
      <c r="T121" s="22">
        <v>3.0529999999999999</v>
      </c>
      <c r="U121" s="22">
        <v>2.7189999999999999</v>
      </c>
      <c r="V121" s="22">
        <v>2.9449999999999998</v>
      </c>
      <c r="W121" s="43"/>
      <c r="X121" s="43"/>
      <c r="Y121" s="43"/>
      <c r="Z121" s="6">
        <v>2.71</v>
      </c>
      <c r="AA121" s="41"/>
      <c r="AB121" s="22">
        <v>3.0640000000000001</v>
      </c>
      <c r="AC121" s="22">
        <v>3.1869999999999998</v>
      </c>
      <c r="AD121" s="22">
        <v>3.0230000000000001</v>
      </c>
      <c r="AE121" s="22">
        <v>2.8330000000000002</v>
      </c>
      <c r="AF121" s="22">
        <v>2.552</v>
      </c>
      <c r="AG121" s="22">
        <v>2.8460000000000001</v>
      </c>
      <c r="AH121" s="22">
        <f t="shared" si="14"/>
        <v>2.6989999999999998</v>
      </c>
      <c r="AI121" s="9"/>
      <c r="AJ121" s="9"/>
      <c r="AK121" s="9"/>
      <c r="AL121" s="9"/>
      <c r="AM121" s="9"/>
      <c r="AN121" s="9"/>
      <c r="AO121" s="9"/>
      <c r="AP121" s="3"/>
      <c r="AQ121" s="8"/>
    </row>
    <row r="122" spans="1:43">
      <c r="A122" s="1">
        <f t="shared" si="8"/>
        <v>120</v>
      </c>
      <c r="B122" s="19"/>
      <c r="C122" s="1">
        <v>8</v>
      </c>
      <c r="D122" s="4">
        <f t="shared" si="7"/>
        <v>69</v>
      </c>
      <c r="E122" s="4" t="s">
        <v>166</v>
      </c>
      <c r="F122" s="4">
        <v>3</v>
      </c>
      <c r="G122" s="4" t="s">
        <v>11</v>
      </c>
      <c r="H122" s="4" t="s">
        <v>17</v>
      </c>
      <c r="I122" s="4"/>
      <c r="J122" s="5">
        <v>97.7</v>
      </c>
      <c r="K122" s="68"/>
      <c r="L122" s="38">
        <v>3.1259999999999994</v>
      </c>
      <c r="M122" s="127" t="s">
        <v>113</v>
      </c>
      <c r="N122" s="1" t="s">
        <v>13</v>
      </c>
      <c r="O122" s="22">
        <v>3.1339999999999995</v>
      </c>
      <c r="P122" s="1" t="s">
        <v>7</v>
      </c>
      <c r="Q122" s="3" t="s">
        <v>205</v>
      </c>
      <c r="R122" s="22">
        <v>3.4660000000000002</v>
      </c>
      <c r="S122" s="22">
        <v>3.2959999999999998</v>
      </c>
      <c r="T122" s="22">
        <v>3.3940000000000001</v>
      </c>
      <c r="U122" s="22">
        <v>2.82</v>
      </c>
      <c r="V122" s="22">
        <v>3.093</v>
      </c>
      <c r="W122" s="41"/>
      <c r="X122" s="41"/>
      <c r="Y122" s="41"/>
      <c r="Z122" s="6">
        <v>3.1429999999999998</v>
      </c>
      <c r="AA122" s="41"/>
      <c r="AB122" s="22">
        <v>3.37</v>
      </c>
      <c r="AC122" s="22">
        <v>3.391</v>
      </c>
      <c r="AD122" s="22">
        <v>3.363</v>
      </c>
      <c r="AE122" s="22">
        <v>3.2189999999999999</v>
      </c>
      <c r="AF122" s="22">
        <v>3.2639999999999998</v>
      </c>
      <c r="AG122" s="22">
        <v>2.8450000000000002</v>
      </c>
      <c r="AH122" s="22">
        <f t="shared" si="14"/>
        <v>3.0545</v>
      </c>
      <c r="AI122" s="9"/>
      <c r="AJ122" s="9"/>
      <c r="AK122" s="9"/>
      <c r="AL122" s="9"/>
      <c r="AM122" s="9"/>
      <c r="AN122" s="9"/>
      <c r="AO122" s="9"/>
      <c r="AP122" s="3"/>
      <c r="AQ122" s="8"/>
    </row>
    <row r="123" spans="1:43">
      <c r="A123" s="1">
        <f t="shared" si="8"/>
        <v>121</v>
      </c>
      <c r="B123" s="19"/>
      <c r="C123" s="1">
        <v>8</v>
      </c>
      <c r="D123" s="4">
        <f t="shared" si="7"/>
        <v>69</v>
      </c>
      <c r="E123" s="4" t="s">
        <v>233</v>
      </c>
      <c r="F123" s="4">
        <v>3</v>
      </c>
      <c r="G123" s="4" t="s">
        <v>11</v>
      </c>
      <c r="H123" s="4" t="s">
        <v>17</v>
      </c>
      <c r="I123" s="4"/>
      <c r="J123" s="5">
        <v>97.9</v>
      </c>
      <c r="K123" s="68"/>
      <c r="L123" s="38">
        <v>3.4619999999999997</v>
      </c>
      <c r="M123" s="127" t="s">
        <v>113</v>
      </c>
      <c r="N123" s="1" t="s">
        <v>13</v>
      </c>
      <c r="O123" s="22">
        <v>3.4579999999999997</v>
      </c>
      <c r="P123" s="1" t="s">
        <v>7</v>
      </c>
      <c r="Q123" s="3" t="s">
        <v>205</v>
      </c>
      <c r="R123" s="22">
        <v>3.7240000000000002</v>
      </c>
      <c r="S123" s="22">
        <v>3.5449999999999999</v>
      </c>
      <c r="T123" s="22">
        <v>3.661</v>
      </c>
      <c r="U123" s="22">
        <v>3.234</v>
      </c>
      <c r="V123" s="22">
        <v>3.46</v>
      </c>
      <c r="W123" s="43"/>
      <c r="X123" s="43"/>
      <c r="Y123" s="43"/>
      <c r="Z123" s="6">
        <v>3.44</v>
      </c>
      <c r="AA123" s="41"/>
      <c r="AB123" s="22">
        <v>3.7429999999999999</v>
      </c>
      <c r="AC123" s="22">
        <v>3.734</v>
      </c>
      <c r="AD123" s="22">
        <v>3.6749999999999998</v>
      </c>
      <c r="AE123" s="22">
        <v>3.605</v>
      </c>
      <c r="AF123" s="22">
        <v>3.5659999999999998</v>
      </c>
      <c r="AG123" s="22">
        <v>3.1160000000000001</v>
      </c>
      <c r="AH123" s="22">
        <f t="shared" si="14"/>
        <v>3.3410000000000002</v>
      </c>
      <c r="AI123" s="9"/>
      <c r="AJ123" s="9"/>
      <c r="AK123" s="9"/>
      <c r="AL123" s="9"/>
      <c r="AM123" s="9"/>
      <c r="AN123" s="9"/>
      <c r="AO123" s="9"/>
      <c r="AP123" s="3"/>
      <c r="AQ123" s="8"/>
    </row>
    <row r="124" spans="1:43">
      <c r="A124" s="1">
        <f t="shared" si="8"/>
        <v>122</v>
      </c>
      <c r="B124" s="2" t="s">
        <v>261</v>
      </c>
      <c r="C124" s="1">
        <v>9</v>
      </c>
      <c r="D124" s="4">
        <f t="shared" si="7"/>
        <v>69</v>
      </c>
      <c r="E124" s="4" t="s">
        <v>137</v>
      </c>
      <c r="F124" s="4">
        <v>1</v>
      </c>
      <c r="G124" s="4" t="s">
        <v>11</v>
      </c>
      <c r="H124" s="4" t="s">
        <v>17</v>
      </c>
      <c r="I124" s="4" t="s">
        <v>208</v>
      </c>
      <c r="J124" s="5">
        <v>86.1</v>
      </c>
      <c r="K124" s="63">
        <v>4.1000000000000002E-2</v>
      </c>
      <c r="L124" s="38">
        <v>4.2910000000000004</v>
      </c>
      <c r="M124" s="127" t="s">
        <v>110</v>
      </c>
      <c r="N124" s="1" t="s">
        <v>13</v>
      </c>
      <c r="O124" s="60"/>
      <c r="P124" s="9"/>
      <c r="Q124" s="3"/>
      <c r="R124" s="42">
        <v>4.6630000000000003</v>
      </c>
      <c r="S124" s="42">
        <v>4.3929999999999998</v>
      </c>
      <c r="T124" s="42">
        <v>4.984</v>
      </c>
      <c r="U124" s="42">
        <v>4.4020000000000001</v>
      </c>
      <c r="V124" s="40">
        <v>4.5590000000000002</v>
      </c>
      <c r="W124" s="42">
        <v>4.3810000000000002</v>
      </c>
      <c r="X124" s="42">
        <v>4.37</v>
      </c>
      <c r="Y124" s="42">
        <v>4.3230000000000004</v>
      </c>
      <c r="Z124" s="22">
        <v>4.2290000000000001</v>
      </c>
      <c r="AA124" s="41"/>
      <c r="AB124" s="42">
        <v>4.5039999999999996</v>
      </c>
      <c r="AC124" s="42">
        <v>4.5199999999999996</v>
      </c>
      <c r="AD124" s="42">
        <v>4.4790000000000001</v>
      </c>
      <c r="AE124" s="42">
        <v>4.2850000000000001</v>
      </c>
      <c r="AF124" s="61">
        <v>4.3899999999999997</v>
      </c>
      <c r="AG124" s="42">
        <v>3.9740000000000002</v>
      </c>
      <c r="AH124" s="22">
        <f t="shared" ref="AH124:AH129" si="15">SUM(AF124:AG124)/2</f>
        <v>4.1820000000000004</v>
      </c>
      <c r="AI124" s="9"/>
      <c r="AJ124" s="9"/>
      <c r="AK124" s="9"/>
      <c r="AL124" s="9"/>
      <c r="AM124" s="9"/>
      <c r="AN124" s="9"/>
      <c r="AO124" s="9"/>
      <c r="AP124" s="3"/>
      <c r="AQ124" s="8"/>
    </row>
    <row r="125" spans="1:43">
      <c r="A125" s="1">
        <f t="shared" si="8"/>
        <v>123</v>
      </c>
      <c r="B125" s="19"/>
      <c r="C125" s="1">
        <v>9</v>
      </c>
      <c r="D125" s="4">
        <f t="shared" si="7"/>
        <v>69</v>
      </c>
      <c r="E125" s="4" t="s">
        <v>118</v>
      </c>
      <c r="F125" s="4">
        <v>1</v>
      </c>
      <c r="G125" s="4" t="s">
        <v>11</v>
      </c>
      <c r="H125" s="4" t="s">
        <v>17</v>
      </c>
      <c r="I125" s="4"/>
      <c r="J125" s="5">
        <v>86.5</v>
      </c>
      <c r="K125" s="63">
        <v>0.17799999999999999</v>
      </c>
      <c r="L125" s="38">
        <v>4.3709999999999996</v>
      </c>
      <c r="M125" s="127" t="s">
        <v>110</v>
      </c>
      <c r="N125" s="1" t="s">
        <v>13</v>
      </c>
      <c r="O125" s="60"/>
      <c r="P125" s="9"/>
      <c r="Q125" s="3"/>
      <c r="R125" s="42">
        <v>4.617</v>
      </c>
      <c r="S125" s="42">
        <v>4.5140000000000002</v>
      </c>
      <c r="T125" s="42">
        <v>4.9969999999999999</v>
      </c>
      <c r="U125" s="41"/>
      <c r="V125" s="40">
        <v>4.54</v>
      </c>
      <c r="W125" s="42">
        <v>4.47</v>
      </c>
      <c r="X125" s="42">
        <v>4.4669999999999996</v>
      </c>
      <c r="Y125" s="42">
        <v>4.4109999999999996</v>
      </c>
      <c r="Z125" s="22">
        <v>4.359</v>
      </c>
      <c r="AA125" s="43"/>
      <c r="AB125" s="42">
        <v>4.4539999999999997</v>
      </c>
      <c r="AC125" s="42">
        <v>4.4420000000000002</v>
      </c>
      <c r="AD125" s="42">
        <v>4.4649999999999999</v>
      </c>
      <c r="AE125" s="42">
        <v>4.2229999999999999</v>
      </c>
      <c r="AF125" s="61">
        <v>4.5129999999999999</v>
      </c>
      <c r="AG125" s="42">
        <v>4.141</v>
      </c>
      <c r="AH125" s="22">
        <f t="shared" si="15"/>
        <v>4.327</v>
      </c>
      <c r="AI125" s="9"/>
      <c r="AJ125" s="9"/>
      <c r="AK125" s="9"/>
      <c r="AL125" s="9"/>
      <c r="AM125" s="9"/>
      <c r="AN125" s="9"/>
      <c r="AO125" s="9"/>
      <c r="AP125" s="3"/>
      <c r="AQ125" s="8"/>
    </row>
    <row r="126" spans="1:43">
      <c r="A126" s="1">
        <f t="shared" si="8"/>
        <v>124</v>
      </c>
      <c r="B126" s="19"/>
      <c r="C126" s="1">
        <v>9</v>
      </c>
      <c r="D126" s="4">
        <f t="shared" si="7"/>
        <v>69</v>
      </c>
      <c r="E126" s="4" t="s">
        <v>131</v>
      </c>
      <c r="F126" s="4">
        <v>1</v>
      </c>
      <c r="G126" s="4" t="s">
        <v>11</v>
      </c>
      <c r="H126" s="4" t="s">
        <v>12</v>
      </c>
      <c r="I126" s="4"/>
      <c r="J126" s="5">
        <v>87.7</v>
      </c>
      <c r="K126" s="68"/>
      <c r="L126" s="38">
        <v>4.806</v>
      </c>
      <c r="M126" s="127" t="s">
        <v>110</v>
      </c>
      <c r="N126" s="1" t="s">
        <v>13</v>
      </c>
      <c r="O126" s="60"/>
      <c r="P126" s="9"/>
      <c r="Q126" s="3"/>
      <c r="R126" s="42">
        <v>5.1509999999999998</v>
      </c>
      <c r="S126" s="42">
        <v>4.72</v>
      </c>
      <c r="T126" s="42">
        <v>6.13</v>
      </c>
      <c r="U126" s="42">
        <v>4.681</v>
      </c>
      <c r="V126" s="40">
        <v>5.0190000000000001</v>
      </c>
      <c r="W126" s="42">
        <v>4.9219999999999997</v>
      </c>
      <c r="X126" s="42">
        <v>4.9249999999999998</v>
      </c>
      <c r="Y126" s="42">
        <v>4.8680000000000003</v>
      </c>
      <c r="Z126" s="22">
        <v>4.7949999999999999</v>
      </c>
      <c r="AA126" s="41"/>
      <c r="AB126" s="42">
        <v>5.0949999999999998</v>
      </c>
      <c r="AC126" s="42">
        <v>5.0709999999999997</v>
      </c>
      <c r="AD126" s="42">
        <v>4.9580000000000002</v>
      </c>
      <c r="AE126" s="42">
        <v>4.851</v>
      </c>
      <c r="AF126" s="61">
        <v>4.7329999999999997</v>
      </c>
      <c r="AG126" s="42">
        <v>4.7699999999999996</v>
      </c>
      <c r="AH126" s="22">
        <f t="shared" si="15"/>
        <v>4.7515000000000001</v>
      </c>
      <c r="AI126" s="9"/>
      <c r="AJ126" s="9"/>
      <c r="AK126" s="9"/>
      <c r="AL126" s="9"/>
      <c r="AM126" s="9"/>
      <c r="AN126" s="9"/>
      <c r="AO126" s="9"/>
      <c r="AP126" s="3"/>
      <c r="AQ126" s="8"/>
    </row>
    <row r="127" spans="1:43">
      <c r="A127" s="1">
        <f t="shared" si="8"/>
        <v>125</v>
      </c>
      <c r="B127" s="19"/>
      <c r="C127" s="1">
        <v>9</v>
      </c>
      <c r="D127" s="4">
        <f t="shared" si="7"/>
        <v>69</v>
      </c>
      <c r="E127" s="4" t="s">
        <v>128</v>
      </c>
      <c r="F127" s="4">
        <v>1</v>
      </c>
      <c r="G127" s="4" t="s">
        <v>11</v>
      </c>
      <c r="H127" s="4" t="s">
        <v>12</v>
      </c>
      <c r="I127" s="4"/>
      <c r="J127" s="5">
        <v>86.1</v>
      </c>
      <c r="K127" s="63">
        <v>0</v>
      </c>
      <c r="L127" s="38">
        <v>5.4220000000000006</v>
      </c>
      <c r="M127" s="127" t="s">
        <v>110</v>
      </c>
      <c r="N127" s="1" t="s">
        <v>13</v>
      </c>
      <c r="O127" s="60"/>
      <c r="P127" s="9"/>
      <c r="Q127" s="3"/>
      <c r="R127" s="42">
        <v>5.7370000000000001</v>
      </c>
      <c r="S127" s="42">
        <v>5.399</v>
      </c>
      <c r="T127" s="42">
        <v>5.4909999999999997</v>
      </c>
      <c r="U127" s="41"/>
      <c r="V127" s="40">
        <v>5.694</v>
      </c>
      <c r="W127" s="42">
        <v>5.5510000000000002</v>
      </c>
      <c r="X127" s="42">
        <v>5.5529999999999999</v>
      </c>
      <c r="Y127" s="42">
        <v>5.5030000000000001</v>
      </c>
      <c r="Z127" s="22">
        <v>5.4169999999999998</v>
      </c>
      <c r="AA127" s="43"/>
      <c r="AB127" s="42">
        <v>5.7960000000000003</v>
      </c>
      <c r="AC127" s="42">
        <v>5.7560000000000002</v>
      </c>
      <c r="AD127" s="42">
        <v>5.6420000000000003</v>
      </c>
      <c r="AE127" s="42">
        <v>5.5519999999999996</v>
      </c>
      <c r="AF127" s="61">
        <v>5.4349999999999996</v>
      </c>
      <c r="AG127" s="42">
        <v>5.343</v>
      </c>
      <c r="AH127" s="22">
        <f t="shared" si="15"/>
        <v>5.3889999999999993</v>
      </c>
      <c r="AI127" s="9"/>
      <c r="AJ127" s="9"/>
      <c r="AK127" s="9"/>
      <c r="AL127" s="9"/>
      <c r="AM127" s="9"/>
      <c r="AN127" s="9"/>
      <c r="AO127" s="9"/>
      <c r="AP127" s="3"/>
      <c r="AQ127" s="8"/>
    </row>
    <row r="128" spans="1:43">
      <c r="A128" s="1">
        <f t="shared" si="8"/>
        <v>126</v>
      </c>
      <c r="B128" s="19"/>
      <c r="C128" s="1">
        <v>9</v>
      </c>
      <c r="D128" s="4">
        <f t="shared" si="7"/>
        <v>69</v>
      </c>
      <c r="E128" s="4" t="s">
        <v>142</v>
      </c>
      <c r="F128" s="4">
        <v>3</v>
      </c>
      <c r="G128" s="4" t="s">
        <v>11</v>
      </c>
      <c r="H128" s="4" t="s">
        <v>17</v>
      </c>
      <c r="I128" s="4"/>
      <c r="J128" s="5">
        <v>97.3</v>
      </c>
      <c r="K128" s="68"/>
      <c r="L128" s="38">
        <v>2.794</v>
      </c>
      <c r="M128" s="127" t="s">
        <v>113</v>
      </c>
      <c r="N128" s="1" t="s">
        <v>13</v>
      </c>
      <c r="O128" s="60"/>
      <c r="P128" s="9"/>
      <c r="Q128" s="3"/>
      <c r="R128" s="42">
        <v>3.262</v>
      </c>
      <c r="S128" s="42">
        <v>3.0550000000000002</v>
      </c>
      <c r="T128" s="42">
        <v>3.2610000000000001</v>
      </c>
      <c r="U128" s="42">
        <v>2.484</v>
      </c>
      <c r="V128" s="40">
        <v>2.7389999999999999</v>
      </c>
      <c r="W128" s="41"/>
      <c r="X128" s="41"/>
      <c r="Y128" s="41"/>
      <c r="Z128" s="22">
        <v>2.82</v>
      </c>
      <c r="AA128" s="41"/>
      <c r="AB128" s="42">
        <v>3.0049999999999999</v>
      </c>
      <c r="AC128" s="42">
        <v>3.016</v>
      </c>
      <c r="AD128" s="42">
        <v>3.03</v>
      </c>
      <c r="AE128" s="42">
        <v>2.8420000000000001</v>
      </c>
      <c r="AF128" s="61">
        <v>3.0310000000000001</v>
      </c>
      <c r="AG128" s="42">
        <v>2.4220000000000002</v>
      </c>
      <c r="AH128" s="22">
        <f t="shared" si="15"/>
        <v>2.7265000000000001</v>
      </c>
      <c r="AI128" s="9"/>
      <c r="AJ128" s="9"/>
      <c r="AK128" s="9"/>
      <c r="AL128" s="9"/>
      <c r="AM128" s="9"/>
      <c r="AN128" s="9"/>
      <c r="AO128" s="9"/>
      <c r="AP128" s="3"/>
      <c r="AQ128" s="8"/>
    </row>
    <row r="129" spans="1:43">
      <c r="A129" s="1">
        <f t="shared" si="8"/>
        <v>127</v>
      </c>
      <c r="B129" s="19"/>
      <c r="C129" s="1">
        <v>9</v>
      </c>
      <c r="D129" s="4">
        <f t="shared" si="7"/>
        <v>69</v>
      </c>
      <c r="E129" s="4" t="s">
        <v>143</v>
      </c>
      <c r="F129" s="4">
        <v>3</v>
      </c>
      <c r="G129" s="4" t="s">
        <v>11</v>
      </c>
      <c r="H129" s="4" t="s">
        <v>17</v>
      </c>
      <c r="I129" s="4"/>
      <c r="J129" s="5">
        <v>97.3</v>
      </c>
      <c r="K129" s="68"/>
      <c r="L129" s="38">
        <v>3.4860000000000002</v>
      </c>
      <c r="M129" s="127" t="s">
        <v>113</v>
      </c>
      <c r="N129" s="1" t="s">
        <v>13</v>
      </c>
      <c r="O129" s="60"/>
      <c r="P129" s="9"/>
      <c r="Q129" s="3"/>
      <c r="R129" s="42">
        <v>3.7789999999999999</v>
      </c>
      <c r="S129" s="42">
        <v>3.6890000000000001</v>
      </c>
      <c r="T129" s="42">
        <v>3.9009999999999998</v>
      </c>
      <c r="U129" s="42">
        <v>3.2709999999999999</v>
      </c>
      <c r="V129" s="42">
        <v>3.4710000000000001</v>
      </c>
      <c r="W129" s="43"/>
      <c r="X129" s="43"/>
      <c r="Y129" s="43"/>
      <c r="Z129" s="22">
        <v>3.4849999999999999</v>
      </c>
      <c r="AA129" s="43"/>
      <c r="AB129" s="42">
        <v>3.6150000000000002</v>
      </c>
      <c r="AC129" s="42">
        <v>3.637</v>
      </c>
      <c r="AD129" s="42">
        <v>3.6549999999999998</v>
      </c>
      <c r="AE129" s="42">
        <v>3.44</v>
      </c>
      <c r="AF129" s="61">
        <v>3.645</v>
      </c>
      <c r="AG129" s="42">
        <v>3.1059999999999999</v>
      </c>
      <c r="AH129" s="22">
        <f t="shared" si="15"/>
        <v>3.3754999999999997</v>
      </c>
      <c r="AI129" s="9"/>
      <c r="AJ129" s="9"/>
      <c r="AK129" s="9"/>
      <c r="AL129" s="9"/>
      <c r="AM129" s="9"/>
      <c r="AN129" s="9"/>
      <c r="AO129" s="9"/>
      <c r="AP129" s="3"/>
      <c r="AQ129" s="8"/>
    </row>
    <row r="130" spans="1:43">
      <c r="A130" s="1">
        <f t="shared" si="8"/>
        <v>128</v>
      </c>
      <c r="B130" s="2" t="s">
        <v>262</v>
      </c>
      <c r="C130" s="1">
        <v>9</v>
      </c>
      <c r="D130" s="4">
        <f t="shared" si="7"/>
        <v>69</v>
      </c>
      <c r="E130" s="4" t="s">
        <v>137</v>
      </c>
      <c r="F130" s="4">
        <v>1</v>
      </c>
      <c r="G130" s="4" t="s">
        <v>11</v>
      </c>
      <c r="H130" s="4" t="s">
        <v>17</v>
      </c>
      <c r="I130" s="4"/>
      <c r="J130" s="5">
        <v>88.6</v>
      </c>
      <c r="K130" s="63">
        <v>7.3999999999999996E-2</v>
      </c>
      <c r="L130" s="38">
        <v>4.6059999999999999</v>
      </c>
      <c r="M130" s="127" t="s">
        <v>110</v>
      </c>
      <c r="N130" s="1" t="s">
        <v>13</v>
      </c>
      <c r="O130" s="60"/>
      <c r="P130" s="9"/>
      <c r="Q130" s="3"/>
      <c r="R130" s="22">
        <v>4.9059999999999997</v>
      </c>
      <c r="S130" s="22">
        <v>4.6870000000000003</v>
      </c>
      <c r="T130" s="22">
        <v>5.2089999999999996</v>
      </c>
      <c r="U130" s="41"/>
      <c r="V130" s="22">
        <v>4.8369999999999997</v>
      </c>
      <c r="W130" s="42">
        <v>4.6689999999999996</v>
      </c>
      <c r="X130" s="22">
        <v>4.6459999999999999</v>
      </c>
      <c r="Y130" s="22">
        <v>4.6070000000000002</v>
      </c>
      <c r="Z130" s="22">
        <v>4.5199999999999996</v>
      </c>
      <c r="AA130" s="41"/>
      <c r="AB130" s="22">
        <v>4.7949999999999999</v>
      </c>
      <c r="AC130" s="22">
        <v>4.8239999999999998</v>
      </c>
      <c r="AD130" s="22">
        <v>4.7779999999999996</v>
      </c>
      <c r="AE130" s="22">
        <v>4.5780000000000003</v>
      </c>
      <c r="AF130" s="22">
        <v>4.6429999999999998</v>
      </c>
      <c r="AG130" s="22">
        <v>4.2679999999999998</v>
      </c>
      <c r="AH130" s="22">
        <f t="shared" ref="AH130:AH135" si="16">SUM(AF130:AG130)/2</f>
        <v>4.4554999999999998</v>
      </c>
      <c r="AI130" s="9"/>
      <c r="AJ130" s="9"/>
      <c r="AK130" s="9"/>
      <c r="AL130" s="9"/>
      <c r="AM130" s="9"/>
      <c r="AN130" s="9"/>
      <c r="AO130" s="9"/>
      <c r="AP130" s="3"/>
      <c r="AQ130" s="8"/>
    </row>
    <row r="131" spans="1:43">
      <c r="A131" s="1">
        <f t="shared" si="8"/>
        <v>129</v>
      </c>
      <c r="B131" s="19"/>
      <c r="C131" s="1">
        <v>9</v>
      </c>
      <c r="D131" s="4">
        <f t="shared" si="7"/>
        <v>69</v>
      </c>
      <c r="E131" s="4" t="s">
        <v>118</v>
      </c>
      <c r="F131" s="4">
        <v>1</v>
      </c>
      <c r="G131" s="4" t="s">
        <v>11</v>
      </c>
      <c r="H131" s="4" t="s">
        <v>17</v>
      </c>
      <c r="I131" s="4"/>
      <c r="J131" s="5">
        <v>83.5</v>
      </c>
      <c r="K131" s="63">
        <v>6.2E-2</v>
      </c>
      <c r="L131" s="45">
        <v>4.9109999999999996</v>
      </c>
      <c r="M131" s="127" t="s">
        <v>110</v>
      </c>
      <c r="N131" s="10" t="s">
        <v>111</v>
      </c>
      <c r="O131" s="60"/>
      <c r="P131" s="9"/>
      <c r="Q131" s="3"/>
      <c r="R131" s="22">
        <v>4.99</v>
      </c>
      <c r="S131" s="22">
        <v>5.0140000000000002</v>
      </c>
      <c r="T131" s="22">
        <v>5.665</v>
      </c>
      <c r="U131" s="41"/>
      <c r="V131" s="22">
        <v>5.2210000000000001</v>
      </c>
      <c r="W131" s="42">
        <v>5.0780000000000003</v>
      </c>
      <c r="X131" s="22">
        <v>5.07</v>
      </c>
      <c r="Y131" s="22">
        <v>4.9989999999999997</v>
      </c>
      <c r="Z131" s="22">
        <v>4.9059999999999997</v>
      </c>
      <c r="AA131" s="43"/>
      <c r="AB131" s="22">
        <v>5.0659999999999998</v>
      </c>
      <c r="AC131" s="22">
        <v>5.0919999999999996</v>
      </c>
      <c r="AD131" s="22">
        <v>5.0609999999999999</v>
      </c>
      <c r="AE131" s="22">
        <v>4.7990000000000004</v>
      </c>
      <c r="AF131" s="22">
        <v>4.9189999999999996</v>
      </c>
      <c r="AG131" s="22">
        <v>4.3280000000000003</v>
      </c>
      <c r="AH131" s="22">
        <f t="shared" si="16"/>
        <v>4.6234999999999999</v>
      </c>
      <c r="AI131" s="9"/>
      <c r="AJ131" s="9"/>
      <c r="AK131" s="9"/>
      <c r="AL131" s="9"/>
      <c r="AM131" s="9"/>
      <c r="AN131" s="9"/>
      <c r="AO131" s="9"/>
      <c r="AP131" s="3"/>
      <c r="AQ131" s="8"/>
    </row>
    <row r="132" spans="1:43">
      <c r="A132" s="1">
        <f t="shared" si="8"/>
        <v>130</v>
      </c>
      <c r="B132" s="19"/>
      <c r="C132" s="1">
        <v>9</v>
      </c>
      <c r="D132" s="4">
        <f t="shared" ref="D132:D195" si="17">_xlfn.SWITCH(C132,1,12,2,12,3,35,4,35,5,35,6,69,7,69,8,69,9,69,1016)</f>
        <v>69</v>
      </c>
      <c r="E132" s="4" t="s">
        <v>131</v>
      </c>
      <c r="F132" s="4">
        <v>1</v>
      </c>
      <c r="G132" s="4" t="s">
        <v>11</v>
      </c>
      <c r="H132" s="4" t="s">
        <v>17</v>
      </c>
      <c r="I132" s="4"/>
      <c r="J132" s="5">
        <v>86.9</v>
      </c>
      <c r="K132" s="68"/>
      <c r="L132" s="38">
        <v>5.3120000000000003</v>
      </c>
      <c r="M132" s="127" t="s">
        <v>110</v>
      </c>
      <c r="N132" s="1" t="s">
        <v>13</v>
      </c>
      <c r="O132" s="60"/>
      <c r="P132" s="9"/>
      <c r="Q132" s="3"/>
      <c r="R132" s="22">
        <v>5.7549999999999999</v>
      </c>
      <c r="S132" s="22">
        <v>5.2640000000000002</v>
      </c>
      <c r="T132" s="22">
        <v>6.03</v>
      </c>
      <c r="U132" s="22">
        <v>5.2119999999999997</v>
      </c>
      <c r="V132" s="22">
        <v>5.5759999999999996</v>
      </c>
      <c r="W132" s="42">
        <v>5.4429999999999996</v>
      </c>
      <c r="X132" s="22">
        <v>5.4420000000000002</v>
      </c>
      <c r="Y132" s="22">
        <v>5.38</v>
      </c>
      <c r="Z132" s="22">
        <v>5.2839999999999998</v>
      </c>
      <c r="AA132" s="41"/>
      <c r="AB132" s="22">
        <v>5.7190000000000003</v>
      </c>
      <c r="AC132" s="22">
        <v>5.7279999999999998</v>
      </c>
      <c r="AD132" s="22">
        <v>5.58</v>
      </c>
      <c r="AE132" s="22">
        <v>5.4630000000000001</v>
      </c>
      <c r="AF132" s="22">
        <v>5.22</v>
      </c>
      <c r="AG132" s="22">
        <v>5.1580000000000004</v>
      </c>
      <c r="AH132" s="22">
        <f t="shared" si="16"/>
        <v>5.1890000000000001</v>
      </c>
      <c r="AI132" s="9"/>
      <c r="AJ132" s="9"/>
      <c r="AK132" s="9"/>
      <c r="AL132" s="9"/>
      <c r="AM132" s="9"/>
      <c r="AN132" s="9"/>
      <c r="AO132" s="9"/>
      <c r="AP132" s="3"/>
      <c r="AQ132" s="8"/>
    </row>
    <row r="133" spans="1:43">
      <c r="A133" s="1">
        <f t="shared" ref="A133:A200" si="18">A132+1</f>
        <v>131</v>
      </c>
      <c r="B133" s="19"/>
      <c r="C133" s="1">
        <v>9</v>
      </c>
      <c r="D133" s="4">
        <f t="shared" si="17"/>
        <v>69</v>
      </c>
      <c r="E133" s="4" t="s">
        <v>128</v>
      </c>
      <c r="F133" s="4">
        <v>1</v>
      </c>
      <c r="G133" s="4" t="s">
        <v>11</v>
      </c>
      <c r="H133" s="4" t="s">
        <v>17</v>
      </c>
      <c r="I133" s="4"/>
      <c r="J133" s="5">
        <v>85.6</v>
      </c>
      <c r="K133" s="63">
        <v>4.0000000000000001E-3</v>
      </c>
      <c r="L133" s="38">
        <v>5.84</v>
      </c>
      <c r="M133" s="127" t="s">
        <v>110</v>
      </c>
      <c r="N133" s="1" t="s">
        <v>13</v>
      </c>
      <c r="O133" s="60"/>
      <c r="P133" s="9"/>
      <c r="Q133" s="3"/>
      <c r="R133" s="22">
        <v>6.3250000000000002</v>
      </c>
      <c r="S133" s="22">
        <v>5.91</v>
      </c>
      <c r="T133" s="22">
        <v>6.5810000000000004</v>
      </c>
      <c r="U133" s="41"/>
      <c r="V133" s="22">
        <v>6.1479999999999997</v>
      </c>
      <c r="W133" s="42">
        <v>5.9960000000000004</v>
      </c>
      <c r="X133" s="22">
        <v>5.9960000000000004</v>
      </c>
      <c r="Y133" s="22">
        <v>5.93</v>
      </c>
      <c r="Z133" s="22">
        <v>5.8330000000000002</v>
      </c>
      <c r="AA133" s="43"/>
      <c r="AB133" s="22">
        <v>6.3120000000000003</v>
      </c>
      <c r="AC133" s="22">
        <v>6.3029999999999999</v>
      </c>
      <c r="AD133" s="22">
        <v>6.1779999999999999</v>
      </c>
      <c r="AE133" s="22">
        <v>6.0570000000000004</v>
      </c>
      <c r="AF133" s="22">
        <v>5.883</v>
      </c>
      <c r="AG133" s="22">
        <v>5.6029999999999998</v>
      </c>
      <c r="AH133" s="22">
        <f t="shared" si="16"/>
        <v>5.7430000000000003</v>
      </c>
      <c r="AI133" s="9"/>
      <c r="AJ133" s="9"/>
      <c r="AK133" s="9"/>
      <c r="AL133" s="9"/>
      <c r="AM133" s="9"/>
      <c r="AN133" s="9"/>
      <c r="AO133" s="9"/>
      <c r="AP133" s="3"/>
      <c r="AQ133" s="8"/>
    </row>
    <row r="134" spans="1:43">
      <c r="A134" s="1">
        <f t="shared" si="18"/>
        <v>132</v>
      </c>
      <c r="B134" s="19"/>
      <c r="C134" s="1">
        <v>9</v>
      </c>
      <c r="D134" s="4">
        <f t="shared" si="17"/>
        <v>69</v>
      </c>
      <c r="E134" s="4" t="s">
        <v>142</v>
      </c>
      <c r="F134" s="4">
        <v>3</v>
      </c>
      <c r="G134" s="4" t="s">
        <v>11</v>
      </c>
      <c r="H134" s="4" t="s">
        <v>17</v>
      </c>
      <c r="I134" s="4"/>
      <c r="J134" s="5">
        <v>97.5</v>
      </c>
      <c r="K134" s="68"/>
      <c r="L134" s="38">
        <v>2.714</v>
      </c>
      <c r="M134" s="127" t="s">
        <v>113</v>
      </c>
      <c r="N134" s="1" t="s">
        <v>13</v>
      </c>
      <c r="O134" s="60"/>
      <c r="P134" s="9"/>
      <c r="Q134" s="3"/>
      <c r="R134" s="22">
        <v>3.1930000000000001</v>
      </c>
      <c r="S134" s="22">
        <v>3.008</v>
      </c>
      <c r="T134" s="22">
        <v>3.1419999999999999</v>
      </c>
      <c r="U134" s="22">
        <v>2.3650000000000002</v>
      </c>
      <c r="V134" s="22">
        <v>2.6349999999999998</v>
      </c>
      <c r="W134" s="41"/>
      <c r="X134" s="41"/>
      <c r="Y134" s="41"/>
      <c r="Z134" s="22">
        <v>2.7389999999999999</v>
      </c>
      <c r="AA134" s="41"/>
      <c r="AB134" s="22">
        <v>2.944</v>
      </c>
      <c r="AC134" s="22">
        <v>2.9729999999999999</v>
      </c>
      <c r="AD134" s="22">
        <v>2.984</v>
      </c>
      <c r="AE134" s="22">
        <v>2.7839999999999998</v>
      </c>
      <c r="AF134" s="22">
        <v>2.9489999999999998</v>
      </c>
      <c r="AG134" s="22">
        <v>2.2909999999999999</v>
      </c>
      <c r="AH134" s="22">
        <f t="shared" si="16"/>
        <v>2.62</v>
      </c>
      <c r="AI134" s="9"/>
      <c r="AJ134" s="9"/>
      <c r="AK134" s="9"/>
      <c r="AL134" s="9"/>
      <c r="AM134" s="9"/>
      <c r="AN134" s="9"/>
      <c r="AO134" s="9"/>
      <c r="AP134" s="3"/>
      <c r="AQ134" s="8"/>
    </row>
    <row r="135" spans="1:43">
      <c r="A135" s="1">
        <f t="shared" si="18"/>
        <v>133</v>
      </c>
      <c r="B135" s="19"/>
      <c r="C135" s="1">
        <v>9</v>
      </c>
      <c r="D135" s="4">
        <f t="shared" si="17"/>
        <v>69</v>
      </c>
      <c r="E135" s="4" t="s">
        <v>143</v>
      </c>
      <c r="F135" s="4">
        <v>3</v>
      </c>
      <c r="G135" s="4" t="s">
        <v>11</v>
      </c>
      <c r="H135" s="4" t="s">
        <v>17</v>
      </c>
      <c r="I135" s="4"/>
      <c r="J135" s="5">
        <v>97.2</v>
      </c>
      <c r="K135" s="68"/>
      <c r="L135" s="38">
        <v>4.0709999999999997</v>
      </c>
      <c r="M135" s="127" t="s">
        <v>113</v>
      </c>
      <c r="N135" s="1" t="s">
        <v>13</v>
      </c>
      <c r="O135" s="60"/>
      <c r="P135" s="9"/>
      <c r="Q135" s="3"/>
      <c r="R135" s="22">
        <v>4.3959999999999999</v>
      </c>
      <c r="S135" s="22">
        <v>4.3</v>
      </c>
      <c r="T135" s="22">
        <v>4.4619999999999997</v>
      </c>
      <c r="U135" s="22">
        <v>3.87</v>
      </c>
      <c r="V135" s="22">
        <v>4.0720000000000001</v>
      </c>
      <c r="W135" s="43"/>
      <c r="X135" s="43"/>
      <c r="Y135" s="43"/>
      <c r="Z135" s="22">
        <v>4.0839999999999996</v>
      </c>
      <c r="AA135" s="43"/>
      <c r="AB135" s="22">
        <v>4.1420000000000003</v>
      </c>
      <c r="AC135" s="22">
        <v>4.218</v>
      </c>
      <c r="AD135" s="22">
        <v>4.2480000000000002</v>
      </c>
      <c r="AE135" s="22">
        <v>3.9569999999999999</v>
      </c>
      <c r="AF135" s="22">
        <v>4.1289999999999996</v>
      </c>
      <c r="AG135" s="22">
        <v>3.6960000000000002</v>
      </c>
      <c r="AH135" s="22">
        <f t="shared" si="16"/>
        <v>3.9124999999999996</v>
      </c>
      <c r="AI135" s="9"/>
      <c r="AJ135" s="9"/>
      <c r="AK135" s="9"/>
      <c r="AL135" s="9"/>
      <c r="AM135" s="9"/>
      <c r="AN135" s="9"/>
      <c r="AO135" s="9"/>
      <c r="AP135" s="3"/>
      <c r="AQ135" s="8"/>
    </row>
    <row r="136" spans="1:43">
      <c r="A136" s="1">
        <f t="shared" si="18"/>
        <v>134</v>
      </c>
      <c r="B136" s="31" t="s">
        <v>181</v>
      </c>
      <c r="C136" s="1">
        <v>1</v>
      </c>
      <c r="D136" s="4">
        <f t="shared" si="17"/>
        <v>12</v>
      </c>
      <c r="E136" s="4" t="s">
        <v>182</v>
      </c>
      <c r="F136" s="4">
        <v>1</v>
      </c>
      <c r="G136" s="4" t="s">
        <v>14</v>
      </c>
      <c r="H136" s="4" t="s">
        <v>121</v>
      </c>
      <c r="I136" s="4" t="s">
        <v>321</v>
      </c>
      <c r="J136" s="5">
        <v>31.4</v>
      </c>
      <c r="K136" s="68"/>
      <c r="L136" s="38">
        <v>7.1509999999999998</v>
      </c>
      <c r="M136" s="127" t="s">
        <v>189</v>
      </c>
      <c r="N136" s="1" t="s">
        <v>13</v>
      </c>
      <c r="O136" s="22">
        <v>7.1059999999999999</v>
      </c>
      <c r="P136" s="1" t="s">
        <v>322</v>
      </c>
      <c r="Q136" s="3" t="s">
        <v>205</v>
      </c>
      <c r="R136" s="41"/>
      <c r="S136" s="41"/>
      <c r="T136" s="41"/>
      <c r="U136" s="41"/>
      <c r="V136" s="41"/>
      <c r="W136" s="41"/>
      <c r="X136" s="41"/>
      <c r="Y136" s="22">
        <v>7.157</v>
      </c>
      <c r="Z136" s="22">
        <v>7.1580000000000004</v>
      </c>
      <c r="AA136" s="22">
        <v>7.1520000000000001</v>
      </c>
      <c r="AB136" s="41"/>
      <c r="AC136" s="41"/>
      <c r="AD136" s="41"/>
      <c r="AE136" s="41"/>
      <c r="AF136" s="41"/>
      <c r="AG136" s="22">
        <v>6.1180000000000003</v>
      </c>
      <c r="AH136" s="41"/>
      <c r="AI136" s="41"/>
      <c r="AJ136" s="16">
        <v>7.12</v>
      </c>
      <c r="AK136" s="41"/>
      <c r="AL136" s="41"/>
      <c r="AM136" s="41"/>
      <c r="AN136" s="41"/>
      <c r="AO136" s="16">
        <v>7.11</v>
      </c>
      <c r="AP136" s="3"/>
      <c r="AQ136" s="8"/>
    </row>
    <row r="137" spans="1:43">
      <c r="A137" s="1">
        <f t="shared" si="18"/>
        <v>135</v>
      </c>
      <c r="B137" s="2" t="s">
        <v>187</v>
      </c>
      <c r="C137" s="1">
        <v>2</v>
      </c>
      <c r="D137" s="4">
        <f t="shared" si="17"/>
        <v>12</v>
      </c>
      <c r="E137" s="4" t="s">
        <v>242</v>
      </c>
      <c r="F137" s="4">
        <v>1</v>
      </c>
      <c r="G137" s="4" t="s">
        <v>11</v>
      </c>
      <c r="H137" s="4" t="s">
        <v>12</v>
      </c>
      <c r="I137" s="4"/>
      <c r="J137" s="5">
        <v>94</v>
      </c>
      <c r="K137" s="63">
        <v>0.47</v>
      </c>
      <c r="L137" s="38">
        <v>6.4189999999999996</v>
      </c>
      <c r="M137" s="127" t="s">
        <v>103</v>
      </c>
      <c r="N137" s="1" t="s">
        <v>13</v>
      </c>
      <c r="O137" s="22">
        <v>6.4059999999999997</v>
      </c>
      <c r="P137" s="1" t="s">
        <v>184</v>
      </c>
      <c r="Q137" s="3" t="s">
        <v>205</v>
      </c>
      <c r="R137" s="22">
        <v>6.4640000000000004</v>
      </c>
      <c r="S137" s="22">
        <v>6.4450000000000003</v>
      </c>
      <c r="T137" s="22">
        <v>6.17</v>
      </c>
      <c r="U137" s="22">
        <v>6.508</v>
      </c>
      <c r="V137" s="22">
        <v>6.4640000000000004</v>
      </c>
      <c r="W137" s="22">
        <v>6.4189999999999996</v>
      </c>
      <c r="X137" s="22">
        <v>6.4169999999999998</v>
      </c>
      <c r="Y137" s="22">
        <v>6.423</v>
      </c>
      <c r="Z137" s="22">
        <v>6.41</v>
      </c>
      <c r="AA137" s="22">
        <v>6.423</v>
      </c>
      <c r="AB137" s="22">
        <v>6.4640000000000004</v>
      </c>
      <c r="AC137" s="22">
        <v>6.4550000000000001</v>
      </c>
      <c r="AD137" s="22">
        <v>6.452</v>
      </c>
      <c r="AE137" s="22">
        <v>6.3710000000000004</v>
      </c>
      <c r="AF137" s="22">
        <v>6.4470000000000001</v>
      </c>
      <c r="AG137" s="22">
        <v>6.16</v>
      </c>
      <c r="AH137" s="63">
        <f t="shared" ref="AH137" si="19">IF((AF137&lt;&gt;0)*AND(AG137&lt;&gt;0),AVERAGE(AF137:AG137),"")</f>
        <v>6.3034999999999997</v>
      </c>
      <c r="AI137" s="9"/>
      <c r="AJ137" s="9"/>
      <c r="AK137" s="9"/>
      <c r="AL137" s="9"/>
      <c r="AM137" s="9"/>
      <c r="AN137" s="9"/>
      <c r="AO137" s="9"/>
      <c r="AP137" s="3"/>
      <c r="AQ137" s="8"/>
    </row>
    <row r="138" spans="1:43">
      <c r="A138" s="1">
        <f t="shared" si="18"/>
        <v>136</v>
      </c>
      <c r="B138" s="2" t="s">
        <v>188</v>
      </c>
      <c r="C138" s="1">
        <v>1</v>
      </c>
      <c r="D138" s="4">
        <f t="shared" si="17"/>
        <v>12</v>
      </c>
      <c r="E138" s="4" t="s">
        <v>242</v>
      </c>
      <c r="F138" s="4">
        <v>1</v>
      </c>
      <c r="G138" s="4" t="s">
        <v>11</v>
      </c>
      <c r="H138" s="4" t="s">
        <v>170</v>
      </c>
      <c r="I138" s="4"/>
      <c r="J138" s="5">
        <v>95</v>
      </c>
      <c r="K138" s="63">
        <v>4.8000000000000001E-2</v>
      </c>
      <c r="L138" s="38">
        <v>2.9009999999999998</v>
      </c>
      <c r="M138" s="127" t="s">
        <v>189</v>
      </c>
      <c r="N138" s="1" t="s">
        <v>13</v>
      </c>
      <c r="O138" s="22">
        <v>2.891</v>
      </c>
      <c r="P138" s="1" t="s">
        <v>184</v>
      </c>
      <c r="Q138" s="3" t="s">
        <v>205</v>
      </c>
      <c r="R138" s="64">
        <v>2.8239999999999998</v>
      </c>
      <c r="S138" s="64">
        <v>2.831</v>
      </c>
      <c r="T138" s="64">
        <v>2.4260000000000002</v>
      </c>
      <c r="U138" s="42">
        <v>2.9277000000000002</v>
      </c>
      <c r="V138" s="42">
        <v>2.9277000000000002</v>
      </c>
      <c r="W138" s="42">
        <v>2.89</v>
      </c>
      <c r="X138" s="42">
        <v>2.91</v>
      </c>
      <c r="Y138" s="64">
        <v>2.9129999999999998</v>
      </c>
      <c r="Z138" s="42">
        <v>2.91</v>
      </c>
      <c r="AA138" s="42">
        <v>2.9001000000000001</v>
      </c>
      <c r="AB138" s="64">
        <v>2.915</v>
      </c>
      <c r="AC138" s="64">
        <v>2.9239999999999999</v>
      </c>
      <c r="AD138" s="42">
        <v>2.8929999999999998</v>
      </c>
      <c r="AE138" s="42">
        <v>2.8420000000000001</v>
      </c>
      <c r="AF138" s="42">
        <v>2.8210000000000002</v>
      </c>
      <c r="AG138" s="42">
        <v>2.64</v>
      </c>
      <c r="AH138" s="63">
        <f t="shared" ref="AH138:AH247" si="20">IF((AF138&lt;&gt;0)*AND(AG138&lt;&gt;0),AVERAGE(AF138:AG138),"")</f>
        <v>2.7305000000000001</v>
      </c>
      <c r="AI138" s="9"/>
      <c r="AJ138" s="9"/>
      <c r="AK138" s="9"/>
      <c r="AL138" s="9"/>
      <c r="AM138" s="9"/>
      <c r="AN138" s="9"/>
      <c r="AO138" s="9"/>
      <c r="AP138" s="3"/>
      <c r="AQ138" s="8"/>
    </row>
    <row r="139" spans="1:43">
      <c r="A139" s="1">
        <f t="shared" si="18"/>
        <v>137</v>
      </c>
      <c r="B139" s="2"/>
      <c r="C139" s="1">
        <v>1</v>
      </c>
      <c r="D139" s="4">
        <f t="shared" si="17"/>
        <v>12</v>
      </c>
      <c r="E139" s="4" t="s">
        <v>269</v>
      </c>
      <c r="F139" s="4">
        <v>1</v>
      </c>
      <c r="G139" s="4" t="s">
        <v>11</v>
      </c>
      <c r="H139" s="4" t="s">
        <v>170</v>
      </c>
      <c r="I139" s="4" t="s">
        <v>251</v>
      </c>
      <c r="J139" s="5">
        <v>95.1</v>
      </c>
      <c r="K139" s="63">
        <v>0.05</v>
      </c>
      <c r="L139" s="38">
        <v>2.8980000000000001</v>
      </c>
      <c r="M139" s="127" t="s">
        <v>189</v>
      </c>
      <c r="N139" s="1" t="s">
        <v>13</v>
      </c>
      <c r="O139" s="22">
        <v>2.8879999999999999</v>
      </c>
      <c r="P139" s="1" t="s">
        <v>184</v>
      </c>
      <c r="Q139" s="3" t="s">
        <v>205</v>
      </c>
      <c r="R139" s="64">
        <v>2.8170000000000002</v>
      </c>
      <c r="S139" s="64">
        <v>2.8239999999999998</v>
      </c>
      <c r="T139" s="64">
        <v>2.423</v>
      </c>
      <c r="U139" s="42">
        <v>2.9089999999999998</v>
      </c>
      <c r="V139" s="42">
        <v>2.9239999999999999</v>
      </c>
      <c r="W139" s="42">
        <v>2.8959999999999999</v>
      </c>
      <c r="X139" s="42">
        <v>2.895</v>
      </c>
      <c r="Y139" s="64">
        <v>2.9089999999999998</v>
      </c>
      <c r="Z139" s="40">
        <v>2.9060000000000001</v>
      </c>
      <c r="AA139" s="40">
        <v>2.8969999999999998</v>
      </c>
      <c r="AB139" s="64">
        <v>2.9089999999999998</v>
      </c>
      <c r="AC139" s="64">
        <v>2.9180000000000001</v>
      </c>
      <c r="AD139" s="42">
        <v>2.887</v>
      </c>
      <c r="AE139" s="42">
        <v>2.8370000000000002</v>
      </c>
      <c r="AF139" s="42">
        <v>2.8149999999999999</v>
      </c>
      <c r="AG139" s="42">
        <v>2.637</v>
      </c>
      <c r="AH139" s="63">
        <f t="shared" si="20"/>
        <v>2.726</v>
      </c>
      <c r="AI139" s="9"/>
      <c r="AJ139" s="9"/>
      <c r="AK139" s="9"/>
      <c r="AL139" s="9"/>
      <c r="AM139" s="9"/>
      <c r="AN139" s="9"/>
      <c r="AO139" s="9"/>
      <c r="AP139" s="3"/>
      <c r="AQ139" s="8"/>
    </row>
    <row r="140" spans="1:43">
      <c r="A140" s="1">
        <f t="shared" si="18"/>
        <v>138</v>
      </c>
      <c r="B140" s="2" t="s">
        <v>252</v>
      </c>
      <c r="C140" s="1">
        <v>5</v>
      </c>
      <c r="D140" s="4">
        <f t="shared" si="17"/>
        <v>35</v>
      </c>
      <c r="E140" s="4" t="s">
        <v>137</v>
      </c>
      <c r="F140" s="4">
        <v>1</v>
      </c>
      <c r="G140" s="4" t="s">
        <v>11</v>
      </c>
      <c r="H140" s="4" t="s">
        <v>17</v>
      </c>
      <c r="I140" s="4"/>
      <c r="J140" s="12">
        <v>93.3</v>
      </c>
      <c r="K140" s="42">
        <v>3.0000000000000001E-3</v>
      </c>
      <c r="L140" s="38">
        <v>2.7730000000000001</v>
      </c>
      <c r="M140" s="127" t="s">
        <v>329</v>
      </c>
      <c r="N140" s="1" t="s">
        <v>13</v>
      </c>
      <c r="O140" s="22">
        <v>2.7759999999999998</v>
      </c>
      <c r="P140" s="1" t="s">
        <v>7</v>
      </c>
      <c r="Q140" s="3"/>
      <c r="R140" s="22">
        <v>2.8119999999999998</v>
      </c>
      <c r="S140" s="22">
        <v>2.7349999999999999</v>
      </c>
      <c r="T140" s="22">
        <v>2.8410000000000002</v>
      </c>
      <c r="U140" s="22">
        <v>2.6619999999999999</v>
      </c>
      <c r="V140" s="22">
        <v>2.8929999999999998</v>
      </c>
      <c r="W140" s="22">
        <v>2.758</v>
      </c>
      <c r="X140" s="22">
        <v>2.7570000000000001</v>
      </c>
      <c r="Y140" s="34">
        <v>2.7869999999999999</v>
      </c>
      <c r="Z140" s="22">
        <v>2.762</v>
      </c>
      <c r="AA140" s="22">
        <v>2.7810000000000001</v>
      </c>
      <c r="AB140" s="22">
        <v>3.012</v>
      </c>
      <c r="AC140" s="22">
        <v>3.0310000000000001</v>
      </c>
      <c r="AD140" s="22">
        <v>2.9319999999999999</v>
      </c>
      <c r="AE140" s="22">
        <v>2.8620000000000001</v>
      </c>
      <c r="AF140" s="22">
        <v>2.7280000000000002</v>
      </c>
      <c r="AG140" s="22">
        <v>2.5939999999999999</v>
      </c>
      <c r="AH140" s="22">
        <f t="shared" ref="AH140:AH146" si="21">0.5*(AF140+AG140)</f>
        <v>2.661</v>
      </c>
      <c r="AI140" s="60"/>
      <c r="AJ140" s="60"/>
      <c r="AK140" s="60"/>
      <c r="AL140" s="60"/>
      <c r="AM140" s="60"/>
      <c r="AN140" s="60"/>
      <c r="AO140" s="60"/>
      <c r="AP140" s="3"/>
      <c r="AQ140" s="8"/>
    </row>
    <row r="141" spans="1:43">
      <c r="A141" s="1">
        <f t="shared" si="18"/>
        <v>139</v>
      </c>
      <c r="B141" s="2"/>
      <c r="C141" s="1">
        <v>5</v>
      </c>
      <c r="D141" s="4">
        <f t="shared" si="17"/>
        <v>35</v>
      </c>
      <c r="E141" s="4" t="s">
        <v>131</v>
      </c>
      <c r="F141" s="4">
        <v>1</v>
      </c>
      <c r="G141" s="4" t="s">
        <v>11</v>
      </c>
      <c r="H141" s="4" t="s">
        <v>140</v>
      </c>
      <c r="I141" s="4"/>
      <c r="J141" s="12">
        <v>90.6</v>
      </c>
      <c r="K141" s="68"/>
      <c r="L141" s="38">
        <v>4.5449999999999999</v>
      </c>
      <c r="M141" s="127" t="s">
        <v>329</v>
      </c>
      <c r="N141" s="1" t="s">
        <v>13</v>
      </c>
      <c r="O141" s="22">
        <v>4.5570000000000004</v>
      </c>
      <c r="P141" s="1" t="s">
        <v>7</v>
      </c>
      <c r="Q141" s="3"/>
      <c r="R141" s="22">
        <v>4.6970000000000001</v>
      </c>
      <c r="S141" s="22">
        <v>4.625</v>
      </c>
      <c r="T141" s="22">
        <v>4.6369999999999996</v>
      </c>
      <c r="U141" s="22">
        <v>4.4930000000000003</v>
      </c>
      <c r="V141" s="22">
        <v>4.7050000000000001</v>
      </c>
      <c r="W141" s="22">
        <v>4.5759999999999996</v>
      </c>
      <c r="X141" s="22">
        <v>4.5750000000000002</v>
      </c>
      <c r="Y141" s="34">
        <v>4.5990000000000002</v>
      </c>
      <c r="Z141" s="22">
        <v>4.5609999999999999</v>
      </c>
      <c r="AA141" s="22">
        <v>4.5519999999999996</v>
      </c>
      <c r="AB141" s="22">
        <v>5.391</v>
      </c>
      <c r="AC141" s="22">
        <v>4.9539999999999997</v>
      </c>
      <c r="AD141" s="22">
        <v>4.8470000000000004</v>
      </c>
      <c r="AE141" s="22">
        <v>4.8209999999999997</v>
      </c>
      <c r="AF141" s="22">
        <v>4.6589999999999998</v>
      </c>
      <c r="AG141" s="22">
        <v>4.532</v>
      </c>
      <c r="AH141" s="22">
        <f t="shared" si="21"/>
        <v>4.5954999999999995</v>
      </c>
      <c r="AI141" s="60"/>
      <c r="AJ141" s="60"/>
      <c r="AK141" s="60"/>
      <c r="AL141" s="60"/>
      <c r="AM141" s="60"/>
      <c r="AN141" s="60"/>
      <c r="AO141" s="60"/>
      <c r="AP141" s="3"/>
      <c r="AQ141" s="8"/>
    </row>
    <row r="142" spans="1:43">
      <c r="A142" s="1">
        <f t="shared" si="18"/>
        <v>140</v>
      </c>
      <c r="B142" s="2"/>
      <c r="C142" s="1">
        <v>5</v>
      </c>
      <c r="D142" s="4">
        <f t="shared" si="17"/>
        <v>35</v>
      </c>
      <c r="E142" s="4" t="s">
        <v>128</v>
      </c>
      <c r="F142" s="4">
        <v>1</v>
      </c>
      <c r="G142" s="4" t="s">
        <v>11</v>
      </c>
      <c r="H142" s="4" t="s">
        <v>140</v>
      </c>
      <c r="I142" s="4"/>
      <c r="J142" s="12">
        <v>91.4</v>
      </c>
      <c r="K142" s="42">
        <v>1E-3</v>
      </c>
      <c r="L142" s="38">
        <v>4.8630000000000004</v>
      </c>
      <c r="M142" s="127" t="s">
        <v>329</v>
      </c>
      <c r="N142" s="1" t="s">
        <v>13</v>
      </c>
      <c r="O142" s="22">
        <v>4.867</v>
      </c>
      <c r="P142" s="1" t="s">
        <v>7</v>
      </c>
      <c r="Q142" s="3"/>
      <c r="R142" s="22">
        <v>5.0679999999999996</v>
      </c>
      <c r="S142" s="22">
        <v>4.9749999999999996</v>
      </c>
      <c r="T142" s="22">
        <v>4.9169999999999998</v>
      </c>
      <c r="U142" s="22">
        <v>4.8099999999999996</v>
      </c>
      <c r="V142" s="22">
        <v>5.0250000000000004</v>
      </c>
      <c r="W142" s="22">
        <v>4.9000000000000004</v>
      </c>
      <c r="X142" s="22">
        <v>4.8970000000000002</v>
      </c>
      <c r="Y142" s="34">
        <v>4.92</v>
      </c>
      <c r="Z142" s="22">
        <v>4.8819999999999997</v>
      </c>
      <c r="AA142" s="22">
        <v>4.8739999999999997</v>
      </c>
      <c r="AB142" s="22">
        <v>4.984</v>
      </c>
      <c r="AC142" s="22">
        <v>5.36</v>
      </c>
      <c r="AD142" s="22">
        <v>5.2359999999999998</v>
      </c>
      <c r="AE142" s="22">
        <v>5.242</v>
      </c>
      <c r="AF142" s="22">
        <v>5.0149999999999997</v>
      </c>
      <c r="AG142" s="22">
        <v>4.835</v>
      </c>
      <c r="AH142" s="22">
        <f t="shared" si="21"/>
        <v>4.9249999999999998</v>
      </c>
      <c r="AI142" s="60"/>
      <c r="AJ142" s="60"/>
      <c r="AK142" s="60"/>
      <c r="AL142" s="60"/>
      <c r="AM142" s="60"/>
      <c r="AN142" s="60"/>
      <c r="AO142" s="60"/>
      <c r="AP142" s="3"/>
      <c r="AQ142" s="8"/>
    </row>
    <row r="143" spans="1:43" ht="15">
      <c r="A143" s="1">
        <f t="shared" si="18"/>
        <v>141</v>
      </c>
      <c r="B143" s="2"/>
      <c r="C143" s="1">
        <v>5</v>
      </c>
      <c r="D143" s="4">
        <f t="shared" si="17"/>
        <v>35</v>
      </c>
      <c r="E143" s="4" t="s">
        <v>118</v>
      </c>
      <c r="F143" s="4">
        <v>1</v>
      </c>
      <c r="G143" s="4" t="s">
        <v>11</v>
      </c>
      <c r="H143" s="4" t="s">
        <v>121</v>
      </c>
      <c r="I143" s="4" t="s">
        <v>321</v>
      </c>
      <c r="J143" s="12">
        <v>19.899999999999999</v>
      </c>
      <c r="K143" s="63">
        <v>1.0999999999999999E-2</v>
      </c>
      <c r="L143" s="45">
        <v>4.7080000000000002</v>
      </c>
      <c r="M143" s="127" t="s">
        <v>565</v>
      </c>
      <c r="N143" s="10" t="s">
        <v>111</v>
      </c>
      <c r="O143" s="60"/>
      <c r="P143" s="9"/>
      <c r="Q143" s="3"/>
      <c r="R143" s="60"/>
      <c r="S143" s="60"/>
      <c r="T143" s="60"/>
      <c r="U143" s="60"/>
      <c r="V143" s="60"/>
      <c r="W143" s="60"/>
      <c r="X143" s="60"/>
      <c r="Y143" s="22">
        <v>5.7729999999999997</v>
      </c>
      <c r="Z143" s="22">
        <v>5.5170000000000003</v>
      </c>
      <c r="AA143" s="22">
        <v>5.2110000000000003</v>
      </c>
      <c r="AB143" s="60"/>
      <c r="AC143" s="60"/>
      <c r="AD143" s="60"/>
      <c r="AE143" s="60"/>
      <c r="AF143" s="60"/>
      <c r="AG143" s="22">
        <v>3.5129999999999999</v>
      </c>
      <c r="AH143" s="60"/>
      <c r="AI143" s="91">
        <v>5.0129999999999999</v>
      </c>
      <c r="AJ143" s="91">
        <v>4.798</v>
      </c>
      <c r="AK143" s="91">
        <v>4.58</v>
      </c>
      <c r="AL143" s="91">
        <v>4.7910000000000004</v>
      </c>
      <c r="AM143" s="91">
        <v>4.7530000000000001</v>
      </c>
      <c r="AN143" s="91">
        <v>4.7850000000000001</v>
      </c>
      <c r="AO143" s="91">
        <v>4.76</v>
      </c>
      <c r="AP143" s="3"/>
      <c r="AQ143" s="8"/>
    </row>
    <row r="144" spans="1:43">
      <c r="A144" s="1">
        <f t="shared" si="18"/>
        <v>142</v>
      </c>
      <c r="B144" s="2"/>
      <c r="C144" s="1">
        <v>5</v>
      </c>
      <c r="D144" s="4">
        <f t="shared" si="17"/>
        <v>35</v>
      </c>
      <c r="E144" s="4" t="s">
        <v>131</v>
      </c>
      <c r="F144" s="4">
        <v>1</v>
      </c>
      <c r="G144" s="4" t="s">
        <v>14</v>
      </c>
      <c r="H144" s="4" t="s">
        <v>22</v>
      </c>
      <c r="I144" s="4"/>
      <c r="J144" s="12">
        <v>94.4</v>
      </c>
      <c r="K144" s="68"/>
      <c r="L144" s="38">
        <v>6.1349999999999998</v>
      </c>
      <c r="M144" s="127" t="s">
        <v>329</v>
      </c>
      <c r="N144" s="1" t="s">
        <v>13</v>
      </c>
      <c r="O144" s="22">
        <v>6.1559999999999997</v>
      </c>
      <c r="P144" s="1" t="s">
        <v>7</v>
      </c>
      <c r="Q144" s="3"/>
      <c r="R144" s="22">
        <v>6.0570000000000004</v>
      </c>
      <c r="S144" s="22">
        <v>5.9939999999999998</v>
      </c>
      <c r="T144" s="22">
        <v>6.218</v>
      </c>
      <c r="U144" s="22">
        <v>6.1479999999999997</v>
      </c>
      <c r="V144" s="22">
        <v>6.1539999999999999</v>
      </c>
      <c r="W144" s="22">
        <v>6.1070000000000002</v>
      </c>
      <c r="X144" s="22">
        <v>6.11</v>
      </c>
      <c r="Y144" s="34">
        <v>6.117</v>
      </c>
      <c r="Z144" s="22">
        <v>6.1139999999999999</v>
      </c>
      <c r="AA144" s="22">
        <v>6.1189999999999998</v>
      </c>
      <c r="AB144" s="22">
        <v>6.6509999999999998</v>
      </c>
      <c r="AC144" s="22">
        <v>6.2190000000000003</v>
      </c>
      <c r="AD144" s="22">
        <v>6.1440000000000001</v>
      </c>
      <c r="AE144" s="22">
        <v>6.1470000000000002</v>
      </c>
      <c r="AF144" s="22">
        <v>6.0259999999999998</v>
      </c>
      <c r="AG144" s="22">
        <v>5.9349999999999996</v>
      </c>
      <c r="AH144" s="22">
        <f t="shared" si="21"/>
        <v>5.9804999999999993</v>
      </c>
      <c r="AI144" s="60"/>
      <c r="AJ144" s="60"/>
      <c r="AK144" s="60"/>
      <c r="AL144" s="60"/>
      <c r="AM144" s="60"/>
      <c r="AN144" s="60"/>
      <c r="AO144" s="60"/>
      <c r="AP144" s="3"/>
      <c r="AQ144" s="8"/>
    </row>
    <row r="145" spans="1:43">
      <c r="A145" s="1">
        <f t="shared" si="18"/>
        <v>143</v>
      </c>
      <c r="B145" s="2"/>
      <c r="C145" s="1">
        <v>5</v>
      </c>
      <c r="D145" s="4">
        <f t="shared" si="17"/>
        <v>35</v>
      </c>
      <c r="E145" s="4" t="s">
        <v>128</v>
      </c>
      <c r="F145" s="4">
        <v>1</v>
      </c>
      <c r="G145" s="4" t="s">
        <v>11</v>
      </c>
      <c r="H145" s="4" t="s">
        <v>140</v>
      </c>
      <c r="I145" s="4"/>
      <c r="J145" s="12">
        <v>91</v>
      </c>
      <c r="K145" s="42">
        <v>0</v>
      </c>
      <c r="L145" s="38">
        <v>6.1230000000000002</v>
      </c>
      <c r="M145" s="127" t="s">
        <v>329</v>
      </c>
      <c r="N145" s="1" t="s">
        <v>13</v>
      </c>
      <c r="O145" s="22">
        <v>6.1310000000000002</v>
      </c>
      <c r="P145" s="1" t="s">
        <v>7</v>
      </c>
      <c r="Q145" s="3"/>
      <c r="R145" s="22">
        <v>6.3949999999999996</v>
      </c>
      <c r="S145" s="22">
        <v>6.1479999999999997</v>
      </c>
      <c r="T145" s="22">
        <v>6.29</v>
      </c>
      <c r="U145" s="22">
        <v>6.1310000000000002</v>
      </c>
      <c r="V145" s="22">
        <v>6.3209999999999997</v>
      </c>
      <c r="W145" s="22">
        <v>6.1459999999999999</v>
      </c>
      <c r="X145" s="22">
        <v>6.1479999999999997</v>
      </c>
      <c r="Y145" s="34">
        <v>6.1769999999999996</v>
      </c>
      <c r="Z145" s="22">
        <v>6.1219999999999999</v>
      </c>
      <c r="AA145" s="22">
        <v>6.1280000000000001</v>
      </c>
      <c r="AB145" s="22">
        <v>6.2480000000000002</v>
      </c>
      <c r="AC145" s="22">
        <v>6.5880000000000001</v>
      </c>
      <c r="AD145" s="22">
        <v>6.4429999999999996</v>
      </c>
      <c r="AE145" s="22">
        <v>6.4749999999999996</v>
      </c>
      <c r="AF145" s="22">
        <v>6.2110000000000003</v>
      </c>
      <c r="AG145" s="22">
        <v>6.1289999999999996</v>
      </c>
      <c r="AH145" s="22">
        <f t="shared" si="21"/>
        <v>6.17</v>
      </c>
      <c r="AI145" s="60"/>
      <c r="AJ145" s="60"/>
      <c r="AK145" s="60"/>
      <c r="AL145" s="60"/>
      <c r="AM145" s="60"/>
      <c r="AN145" s="60"/>
      <c r="AO145" s="60"/>
      <c r="AP145" s="3"/>
      <c r="AQ145" s="8"/>
    </row>
    <row r="146" spans="1:43" ht="15">
      <c r="A146" s="1">
        <f t="shared" si="18"/>
        <v>144</v>
      </c>
      <c r="B146" s="2"/>
      <c r="C146" s="1">
        <v>5</v>
      </c>
      <c r="D146" s="4">
        <f t="shared" si="17"/>
        <v>35</v>
      </c>
      <c r="E146" s="4" t="s">
        <v>118</v>
      </c>
      <c r="F146" s="4">
        <v>1</v>
      </c>
      <c r="G146" s="4" t="s">
        <v>11</v>
      </c>
      <c r="H146" s="4" t="s">
        <v>17</v>
      </c>
      <c r="I146" s="4" t="s">
        <v>320</v>
      </c>
      <c r="J146" s="12">
        <v>80.7</v>
      </c>
      <c r="K146" s="63">
        <v>5.6000000000000001E-2</v>
      </c>
      <c r="L146" s="38">
        <v>6.484</v>
      </c>
      <c r="M146" s="127" t="s">
        <v>329</v>
      </c>
      <c r="N146" s="1" t="s">
        <v>13</v>
      </c>
      <c r="O146" s="22">
        <v>6.4829999999999997</v>
      </c>
      <c r="P146" s="1" t="s">
        <v>7</v>
      </c>
      <c r="Q146" s="3"/>
      <c r="R146" s="22">
        <v>6.56</v>
      </c>
      <c r="S146" s="22">
        <v>6.4729999999999999</v>
      </c>
      <c r="T146" s="22">
        <v>6.577</v>
      </c>
      <c r="U146" s="22">
        <v>6.4880000000000004</v>
      </c>
      <c r="V146" s="22">
        <v>6.609</v>
      </c>
      <c r="W146" s="22">
        <v>6.3</v>
      </c>
      <c r="X146" s="22">
        <v>6.2809999999999997</v>
      </c>
      <c r="Y146" s="22">
        <v>6.6890000000000001</v>
      </c>
      <c r="Z146" s="22">
        <v>6.5709999999999997</v>
      </c>
      <c r="AA146" s="22">
        <v>6.5410000000000004</v>
      </c>
      <c r="AB146" s="22">
        <v>6.8460000000000001</v>
      </c>
      <c r="AC146" s="22">
        <v>6.8559999999999999</v>
      </c>
      <c r="AD146" s="22">
        <v>6.7279999999999998</v>
      </c>
      <c r="AE146" s="22">
        <v>6.6719999999999997</v>
      </c>
      <c r="AF146" s="22">
        <v>6.4749999999999996</v>
      </c>
      <c r="AG146" s="22">
        <v>6.4660000000000002</v>
      </c>
      <c r="AH146" s="22">
        <f t="shared" si="21"/>
        <v>6.4704999999999995</v>
      </c>
      <c r="AI146" s="90">
        <v>7.8140000000000001</v>
      </c>
      <c r="AJ146" s="90">
        <v>6.65</v>
      </c>
      <c r="AK146" s="90">
        <v>5.9790000000000001</v>
      </c>
      <c r="AL146" s="90">
        <v>6.76</v>
      </c>
      <c r="AM146" s="90">
        <v>6.6219999999999999</v>
      </c>
      <c r="AN146" s="90">
        <v>6.484</v>
      </c>
      <c r="AO146" s="90">
        <v>6.6379999999999999</v>
      </c>
      <c r="AP146" s="3"/>
      <c r="AQ146" s="8"/>
    </row>
    <row r="147" spans="1:43">
      <c r="A147" s="1">
        <f t="shared" si="18"/>
        <v>145</v>
      </c>
      <c r="B147" s="2"/>
      <c r="C147" s="1">
        <v>5</v>
      </c>
      <c r="D147" s="4">
        <f t="shared" si="17"/>
        <v>35</v>
      </c>
      <c r="E147" s="4" t="s">
        <v>142</v>
      </c>
      <c r="F147" s="4">
        <v>3</v>
      </c>
      <c r="G147" s="4" t="s">
        <v>11</v>
      </c>
      <c r="H147" s="4" t="s">
        <v>17</v>
      </c>
      <c r="I147" s="4"/>
      <c r="J147" s="12">
        <v>98.3</v>
      </c>
      <c r="K147" s="68"/>
      <c r="L147" s="38">
        <v>1.6639999999999999</v>
      </c>
      <c r="M147" s="127" t="s">
        <v>110</v>
      </c>
      <c r="N147" s="1" t="s">
        <v>13</v>
      </c>
      <c r="O147" s="22">
        <v>1.6729999999999998</v>
      </c>
      <c r="P147" s="1" t="s">
        <v>7</v>
      </c>
      <c r="Q147" s="3"/>
      <c r="R147" s="22">
        <v>1.831</v>
      </c>
      <c r="S147" s="22">
        <v>1.702</v>
      </c>
      <c r="T147" s="22">
        <v>1.7</v>
      </c>
      <c r="U147" s="22">
        <v>1.5620000000000001</v>
      </c>
      <c r="V147" s="22">
        <v>1.659</v>
      </c>
      <c r="W147" s="60"/>
      <c r="X147" s="60"/>
      <c r="Y147" s="60"/>
      <c r="Z147" s="22">
        <v>1.68</v>
      </c>
      <c r="AA147" s="60"/>
      <c r="AB147" s="22">
        <v>1.9259999999999999</v>
      </c>
      <c r="AC147" s="22">
        <v>1.9379999999999999</v>
      </c>
      <c r="AD147" s="22">
        <v>1.86</v>
      </c>
      <c r="AE147" s="22">
        <v>1.81</v>
      </c>
      <c r="AF147" s="22">
        <v>1.696</v>
      </c>
      <c r="AG147" s="22">
        <v>1.4370000000000001</v>
      </c>
      <c r="AH147" s="22">
        <f t="shared" ref="AH147:AH150" si="22">0.5*(AF147+AG147)</f>
        <v>1.5665</v>
      </c>
      <c r="AI147" s="9"/>
      <c r="AJ147" s="9"/>
      <c r="AK147" s="9"/>
      <c r="AL147" s="9"/>
      <c r="AM147" s="9"/>
      <c r="AN147" s="9"/>
      <c r="AO147" s="9"/>
      <c r="AP147" s="3"/>
      <c r="AQ147" s="8"/>
    </row>
    <row r="148" spans="1:43">
      <c r="A148" s="1">
        <f t="shared" si="18"/>
        <v>146</v>
      </c>
      <c r="B148" s="2"/>
      <c r="C148" s="1">
        <v>5</v>
      </c>
      <c r="D148" s="4">
        <f t="shared" si="17"/>
        <v>35</v>
      </c>
      <c r="E148" s="4" t="s">
        <v>143</v>
      </c>
      <c r="F148" s="4">
        <v>3</v>
      </c>
      <c r="G148" s="4" t="s">
        <v>11</v>
      </c>
      <c r="H148" s="4" t="s">
        <v>17</v>
      </c>
      <c r="I148" s="4"/>
      <c r="J148" s="12">
        <v>98.6</v>
      </c>
      <c r="K148" s="68"/>
      <c r="L148" s="38">
        <v>4.3560000000000008</v>
      </c>
      <c r="M148" s="127" t="s">
        <v>110</v>
      </c>
      <c r="N148" s="1" t="s">
        <v>13</v>
      </c>
      <c r="O148" s="22">
        <v>4.3640000000000008</v>
      </c>
      <c r="P148" s="1" t="s">
        <v>7</v>
      </c>
      <c r="Q148" s="3"/>
      <c r="R148" s="22">
        <v>4.5350000000000001</v>
      </c>
      <c r="S148" s="22">
        <v>4.4370000000000003</v>
      </c>
      <c r="T148" s="22">
        <v>4.3440000000000003</v>
      </c>
      <c r="U148" s="22">
        <v>4.12</v>
      </c>
      <c r="V148" s="22">
        <v>4.3019999999999996</v>
      </c>
      <c r="W148" s="60"/>
      <c r="X148" s="60"/>
      <c r="Y148" s="60"/>
      <c r="Z148" s="22">
        <v>4.34</v>
      </c>
      <c r="AA148" s="60"/>
      <c r="AB148" s="22">
        <v>4.3789999999999996</v>
      </c>
      <c r="AC148" s="22">
        <v>4.375</v>
      </c>
      <c r="AD148" s="22">
        <v>4.399</v>
      </c>
      <c r="AE148" s="22">
        <v>4.2859999999999996</v>
      </c>
      <c r="AF148" s="22">
        <v>4.4329999999999998</v>
      </c>
      <c r="AG148" s="22">
        <v>4.08</v>
      </c>
      <c r="AH148" s="22">
        <f t="shared" si="22"/>
        <v>4.2565</v>
      </c>
      <c r="AI148" s="9"/>
      <c r="AJ148" s="9"/>
      <c r="AK148" s="9"/>
      <c r="AL148" s="9"/>
      <c r="AM148" s="9"/>
      <c r="AN148" s="9"/>
      <c r="AO148" s="9"/>
      <c r="AP148" s="3"/>
      <c r="AQ148" s="8"/>
    </row>
    <row r="149" spans="1:43">
      <c r="A149" s="1">
        <f t="shared" si="18"/>
        <v>147</v>
      </c>
      <c r="B149" s="2"/>
      <c r="C149" s="1">
        <v>5</v>
      </c>
      <c r="D149" s="4">
        <f t="shared" si="17"/>
        <v>35</v>
      </c>
      <c r="E149" s="4" t="s">
        <v>130</v>
      </c>
      <c r="F149" s="4">
        <v>3</v>
      </c>
      <c r="G149" s="4" t="s">
        <v>11</v>
      </c>
      <c r="H149" s="4" t="s">
        <v>140</v>
      </c>
      <c r="I149" s="4"/>
      <c r="J149" s="12">
        <v>97.5</v>
      </c>
      <c r="K149" s="68"/>
      <c r="L149" s="38">
        <v>4.1619999999999999</v>
      </c>
      <c r="M149" s="127" t="s">
        <v>110</v>
      </c>
      <c r="N149" s="1" t="s">
        <v>13</v>
      </c>
      <c r="O149" s="22">
        <v>4.1790000000000003</v>
      </c>
      <c r="P149" s="1" t="s">
        <v>7</v>
      </c>
      <c r="Q149" s="3"/>
      <c r="R149" s="22">
        <v>4.3730000000000002</v>
      </c>
      <c r="S149" s="22">
        <v>4.2549999999999999</v>
      </c>
      <c r="T149" s="22">
        <v>4.2469999999999999</v>
      </c>
      <c r="U149" s="22">
        <v>4.1669999999999998</v>
      </c>
      <c r="V149" s="22">
        <v>4.32</v>
      </c>
      <c r="W149" s="60"/>
      <c r="X149" s="60"/>
      <c r="Y149" s="60"/>
      <c r="Z149" s="22">
        <v>4.2309999999999999</v>
      </c>
      <c r="AA149" s="60"/>
      <c r="AB149" s="22">
        <v>4.6669999999999998</v>
      </c>
      <c r="AC149" s="22">
        <v>4.6429999999999998</v>
      </c>
      <c r="AD149" s="22">
        <v>4.5149999999999997</v>
      </c>
      <c r="AE149" s="22">
        <v>4.5250000000000004</v>
      </c>
      <c r="AF149" s="22">
        <v>4.282</v>
      </c>
      <c r="AG149" s="22">
        <v>4.1820000000000004</v>
      </c>
      <c r="AH149" s="22">
        <f t="shared" si="22"/>
        <v>4.2320000000000002</v>
      </c>
      <c r="AI149" s="9"/>
      <c r="AJ149" s="9"/>
      <c r="AK149" s="9"/>
      <c r="AL149" s="9"/>
      <c r="AM149" s="9"/>
      <c r="AN149" s="9"/>
      <c r="AO149" s="9"/>
      <c r="AP149" s="3"/>
      <c r="AQ149" s="8"/>
    </row>
    <row r="150" spans="1:43">
      <c r="A150" s="1">
        <f t="shared" si="18"/>
        <v>148</v>
      </c>
      <c r="B150" s="2"/>
      <c r="C150" s="1">
        <v>5</v>
      </c>
      <c r="D150" s="4">
        <f t="shared" si="17"/>
        <v>35</v>
      </c>
      <c r="E150" s="4" t="s">
        <v>129</v>
      </c>
      <c r="F150" s="4">
        <v>3</v>
      </c>
      <c r="G150" s="4" t="s">
        <v>11</v>
      </c>
      <c r="H150" s="4" t="s">
        <v>140</v>
      </c>
      <c r="I150" s="4"/>
      <c r="J150" s="12">
        <v>97.6</v>
      </c>
      <c r="K150" s="68"/>
      <c r="L150" s="38">
        <v>4.444</v>
      </c>
      <c r="M150" s="127" t="s">
        <v>110</v>
      </c>
      <c r="N150" s="1" t="s">
        <v>13</v>
      </c>
      <c r="O150" s="22">
        <v>4.4540000000000015</v>
      </c>
      <c r="P150" s="1" t="s">
        <v>7</v>
      </c>
      <c r="Q150" s="3"/>
      <c r="R150" s="22">
        <v>4.7039999999999997</v>
      </c>
      <c r="S150" s="22">
        <v>4.5620000000000003</v>
      </c>
      <c r="T150" s="22">
        <v>4.5049999999999999</v>
      </c>
      <c r="U150" s="22">
        <v>4.468</v>
      </c>
      <c r="V150" s="22">
        <v>4.6100000000000003</v>
      </c>
      <c r="W150" s="60"/>
      <c r="X150" s="60"/>
      <c r="Y150" s="60"/>
      <c r="Z150" s="22">
        <v>4.5149999999999997</v>
      </c>
      <c r="AA150" s="60"/>
      <c r="AB150" s="22">
        <v>5.0270000000000001</v>
      </c>
      <c r="AC150" s="22">
        <v>4.9989999999999997</v>
      </c>
      <c r="AD150" s="22">
        <v>4.8550000000000004</v>
      </c>
      <c r="AE150" s="22">
        <v>4.8979999999999997</v>
      </c>
      <c r="AF150" s="22">
        <v>4.5979999999999999</v>
      </c>
      <c r="AG150" s="22">
        <v>4.4589999999999996</v>
      </c>
      <c r="AH150" s="22">
        <f t="shared" si="22"/>
        <v>4.5284999999999993</v>
      </c>
      <c r="AI150" s="9"/>
      <c r="AJ150" s="9"/>
      <c r="AK150" s="9"/>
      <c r="AL150" s="9"/>
      <c r="AM150" s="9"/>
      <c r="AN150" s="9"/>
      <c r="AO150" s="9"/>
      <c r="AP150" s="3"/>
      <c r="AQ150" s="8"/>
    </row>
    <row r="151" spans="1:43">
      <c r="A151" s="1">
        <f t="shared" si="18"/>
        <v>149</v>
      </c>
      <c r="B151" s="2" t="s">
        <v>26</v>
      </c>
      <c r="C151" s="1">
        <v>4</v>
      </c>
      <c r="D151" s="4">
        <f t="shared" si="17"/>
        <v>35</v>
      </c>
      <c r="E151" s="4" t="s">
        <v>223</v>
      </c>
      <c r="F151" s="4">
        <v>1</v>
      </c>
      <c r="G151" s="4" t="s">
        <v>11</v>
      </c>
      <c r="H151" s="4" t="s">
        <v>17</v>
      </c>
      <c r="I151" s="4"/>
      <c r="J151" s="5">
        <v>93.3</v>
      </c>
      <c r="K151" s="63">
        <v>0.66400000000000003</v>
      </c>
      <c r="L151" s="38">
        <v>6.2219999999999986</v>
      </c>
      <c r="M151" s="127" t="s">
        <v>329</v>
      </c>
      <c r="N151" s="1" t="s">
        <v>13</v>
      </c>
      <c r="O151" s="22">
        <v>6.2159999999999984</v>
      </c>
      <c r="P151" s="1" t="s">
        <v>7</v>
      </c>
      <c r="Q151" s="3" t="s">
        <v>205</v>
      </c>
      <c r="R151" s="22">
        <v>6.2380000000000004</v>
      </c>
      <c r="S151" s="22">
        <v>6.1559999999999997</v>
      </c>
      <c r="T151" s="22">
        <v>6.2450000000000001</v>
      </c>
      <c r="U151" s="22">
        <v>6.2359999999999998</v>
      </c>
      <c r="V151" s="22">
        <v>6.3470000000000004</v>
      </c>
      <c r="W151" s="22">
        <v>6.218</v>
      </c>
      <c r="X151" s="22">
        <v>6.2089999999999996</v>
      </c>
      <c r="Y151" s="22">
        <v>6.242</v>
      </c>
      <c r="Z151" s="22">
        <v>6.2190000000000003</v>
      </c>
      <c r="AA151" s="22">
        <v>6.2380000000000004</v>
      </c>
      <c r="AB151" s="22">
        <v>6.3019999999999996</v>
      </c>
      <c r="AC151" s="22">
        <v>6.3419999999999996</v>
      </c>
      <c r="AD151" s="22">
        <v>6.2809999999999997</v>
      </c>
      <c r="AE151" s="22">
        <v>6.1580000000000004</v>
      </c>
      <c r="AF151" s="22">
        <v>6.1180000000000003</v>
      </c>
      <c r="AG151" s="22">
        <v>6.0149999999999997</v>
      </c>
      <c r="AH151" s="6">
        <f t="shared" si="20"/>
        <v>6.0664999999999996</v>
      </c>
      <c r="AI151" s="7">
        <v>6.65</v>
      </c>
      <c r="AJ151" s="7">
        <v>6.76</v>
      </c>
      <c r="AK151" s="7">
        <v>6.52</v>
      </c>
      <c r="AL151" s="7">
        <v>6.72</v>
      </c>
      <c r="AM151" s="7">
        <v>6.65</v>
      </c>
      <c r="AN151" s="7">
        <v>6.72</v>
      </c>
      <c r="AO151" s="7">
        <v>6.68</v>
      </c>
      <c r="AP151" s="3"/>
      <c r="AQ151" s="8"/>
    </row>
    <row r="152" spans="1:43">
      <c r="A152" s="1">
        <f t="shared" si="18"/>
        <v>150</v>
      </c>
      <c r="B152" s="19"/>
      <c r="C152" s="1">
        <v>4</v>
      </c>
      <c r="D152" s="4">
        <f t="shared" si="17"/>
        <v>35</v>
      </c>
      <c r="E152" s="4" t="s">
        <v>219</v>
      </c>
      <c r="F152" s="4">
        <v>1</v>
      </c>
      <c r="G152" s="4" t="s">
        <v>14</v>
      </c>
      <c r="H152" s="4" t="s">
        <v>22</v>
      </c>
      <c r="I152" s="4"/>
      <c r="J152" s="5">
        <v>94.1</v>
      </c>
      <c r="K152" s="68"/>
      <c r="L152" s="38">
        <v>6.3509999999999991</v>
      </c>
      <c r="M152" s="127" t="s">
        <v>329</v>
      </c>
      <c r="N152" s="1" t="s">
        <v>13</v>
      </c>
      <c r="O152" s="22">
        <v>6.3709999999999987</v>
      </c>
      <c r="P152" s="1" t="s">
        <v>7</v>
      </c>
      <c r="Q152" s="3" t="s">
        <v>205</v>
      </c>
      <c r="R152" s="22">
        <v>6.3360000000000003</v>
      </c>
      <c r="S152" s="22">
        <v>6.2560000000000002</v>
      </c>
      <c r="T152" s="22">
        <v>6.4420000000000002</v>
      </c>
      <c r="U152" s="22">
        <v>6.3810000000000002</v>
      </c>
      <c r="V152" s="22">
        <v>6.3979999999999997</v>
      </c>
      <c r="W152" s="22">
        <v>6.33</v>
      </c>
      <c r="X152" s="22">
        <v>6.3330000000000002</v>
      </c>
      <c r="Y152" s="22">
        <v>6.3419999999999996</v>
      </c>
      <c r="Z152" s="22">
        <v>6.33</v>
      </c>
      <c r="AA152" s="22">
        <v>6.3440000000000003</v>
      </c>
      <c r="AB152" s="22">
        <v>6.5350000000000001</v>
      </c>
      <c r="AC152" s="22">
        <v>6.49</v>
      </c>
      <c r="AD152" s="22">
        <v>6.4109999999999996</v>
      </c>
      <c r="AE152" s="22">
        <v>6.4390000000000001</v>
      </c>
      <c r="AF152" s="22">
        <v>6.31</v>
      </c>
      <c r="AG152" s="22">
        <v>6.1210000000000004</v>
      </c>
      <c r="AH152" s="6">
        <f t="shared" si="20"/>
        <v>6.2155000000000005</v>
      </c>
      <c r="AI152" s="7">
        <v>5.94</v>
      </c>
      <c r="AJ152" s="7">
        <v>6.49</v>
      </c>
      <c r="AK152" s="7">
        <v>6.32</v>
      </c>
      <c r="AL152" s="7">
        <v>6.43</v>
      </c>
      <c r="AM152" s="7">
        <v>6.38</v>
      </c>
      <c r="AN152" s="7">
        <v>6.48</v>
      </c>
      <c r="AO152" s="7">
        <v>6.44</v>
      </c>
      <c r="AP152" s="3"/>
      <c r="AQ152" s="8"/>
    </row>
    <row r="153" spans="1:43">
      <c r="A153" s="1">
        <f t="shared" si="18"/>
        <v>151</v>
      </c>
      <c r="B153" s="32"/>
      <c r="C153" s="1">
        <v>4</v>
      </c>
      <c r="D153" s="4">
        <f t="shared" si="17"/>
        <v>35</v>
      </c>
      <c r="E153" s="4" t="s">
        <v>120</v>
      </c>
      <c r="F153" s="4">
        <v>1</v>
      </c>
      <c r="G153" s="4" t="s">
        <v>11</v>
      </c>
      <c r="H153" s="4" t="s">
        <v>17</v>
      </c>
      <c r="I153" s="4" t="s">
        <v>320</v>
      </c>
      <c r="J153" s="5">
        <v>75.099999999999994</v>
      </c>
      <c r="K153" s="68"/>
      <c r="L153" s="38">
        <v>6.5149999999999988</v>
      </c>
      <c r="M153" s="127" t="s">
        <v>329</v>
      </c>
      <c r="N153" s="1" t="s">
        <v>13</v>
      </c>
      <c r="O153" s="22">
        <v>6.5149999999999997</v>
      </c>
      <c r="P153" s="1" t="s">
        <v>7</v>
      </c>
      <c r="Q153" s="3" t="s">
        <v>205</v>
      </c>
      <c r="R153" s="22">
        <v>7.3520000000000003</v>
      </c>
      <c r="S153" s="22">
        <v>7.0919999999999996</v>
      </c>
      <c r="T153" s="22">
        <v>7.1379999999999999</v>
      </c>
      <c r="U153" s="22">
        <v>7.0190000000000001</v>
      </c>
      <c r="V153" s="22">
        <v>7.1230000000000002</v>
      </c>
      <c r="W153" s="22">
        <v>6.89</v>
      </c>
      <c r="X153" s="22">
        <v>6.8570000000000002</v>
      </c>
      <c r="Y153" s="22">
        <v>6.7649999999999997</v>
      </c>
      <c r="Z153" s="22">
        <v>6.6710000000000003</v>
      </c>
      <c r="AA153" s="22">
        <v>6.5979999999999999</v>
      </c>
      <c r="AB153" s="22">
        <v>7.3689999999999998</v>
      </c>
      <c r="AC153" s="22">
        <v>7.3440000000000003</v>
      </c>
      <c r="AD153" s="22">
        <v>7.26</v>
      </c>
      <c r="AE153" s="22">
        <v>7.2249999999999996</v>
      </c>
      <c r="AF153" s="22">
        <v>7.14</v>
      </c>
      <c r="AG153" s="22">
        <v>5.8559999999999999</v>
      </c>
      <c r="AH153" s="6">
        <f t="shared" si="20"/>
        <v>6.4979999999999993</v>
      </c>
      <c r="AI153" s="22">
        <v>6.99</v>
      </c>
      <c r="AJ153" s="22">
        <v>6.7359999999999998</v>
      </c>
      <c r="AK153" s="22">
        <v>6.3840000000000003</v>
      </c>
      <c r="AL153" s="22">
        <v>6.718</v>
      </c>
      <c r="AM153" s="22">
        <v>6.6269999999999998</v>
      </c>
      <c r="AN153" s="22">
        <v>6.78</v>
      </c>
      <c r="AO153" s="22">
        <v>6.7</v>
      </c>
      <c r="AP153" s="3"/>
      <c r="AQ153" s="8"/>
    </row>
    <row r="154" spans="1:43">
      <c r="A154" s="1">
        <f t="shared" si="18"/>
        <v>152</v>
      </c>
      <c r="B154" s="19"/>
      <c r="C154" s="1">
        <v>4</v>
      </c>
      <c r="D154" s="4">
        <f t="shared" si="17"/>
        <v>35</v>
      </c>
      <c r="E154" s="4" t="s">
        <v>150</v>
      </c>
      <c r="F154" s="4">
        <v>1</v>
      </c>
      <c r="G154" s="4" t="s">
        <v>14</v>
      </c>
      <c r="H154" s="4" t="s">
        <v>23</v>
      </c>
      <c r="I154" s="4"/>
      <c r="J154" s="5">
        <v>94.1</v>
      </c>
      <c r="K154" s="63">
        <v>1E-3</v>
      </c>
      <c r="L154" s="38">
        <v>6.6630000000000011</v>
      </c>
      <c r="M154" s="127" t="s">
        <v>329</v>
      </c>
      <c r="N154" s="1" t="s">
        <v>13</v>
      </c>
      <c r="O154" s="22">
        <v>6.6830000000000007</v>
      </c>
      <c r="P154" s="1" t="s">
        <v>7</v>
      </c>
      <c r="Q154" s="3" t="s">
        <v>205</v>
      </c>
      <c r="R154" s="22">
        <v>6.6539999999999999</v>
      </c>
      <c r="S154" s="22">
        <v>6.5709999999999997</v>
      </c>
      <c r="T154" s="22">
        <v>6.7489999999999997</v>
      </c>
      <c r="U154" s="22">
        <v>6.7270000000000003</v>
      </c>
      <c r="V154" s="22">
        <v>6.7130000000000001</v>
      </c>
      <c r="W154" s="22">
        <v>6.6429999999999998</v>
      </c>
      <c r="X154" s="22">
        <v>6.6449999999999996</v>
      </c>
      <c r="Y154" s="22">
        <v>6.6559999999999997</v>
      </c>
      <c r="Z154" s="22">
        <v>6.6429999999999998</v>
      </c>
      <c r="AA154" s="22">
        <v>6.6580000000000004</v>
      </c>
      <c r="AB154" s="22">
        <v>6.875</v>
      </c>
      <c r="AC154" s="22">
        <v>6.8319999999999999</v>
      </c>
      <c r="AD154" s="22">
        <v>6.7439999999999998</v>
      </c>
      <c r="AE154" s="22">
        <v>6.7779999999999996</v>
      </c>
      <c r="AF154" s="22">
        <v>6.6260000000000003</v>
      </c>
      <c r="AG154" s="22">
        <v>6.4379999999999997</v>
      </c>
      <c r="AH154" s="6">
        <f t="shared" si="20"/>
        <v>6.532</v>
      </c>
      <c r="AI154" s="7">
        <v>5.95</v>
      </c>
      <c r="AJ154" s="7">
        <v>6.74</v>
      </c>
      <c r="AK154" s="7">
        <v>6.64</v>
      </c>
      <c r="AL154" s="7">
        <v>6.7</v>
      </c>
      <c r="AM154" s="7">
        <v>6.67</v>
      </c>
      <c r="AN154" s="7">
        <v>6.81</v>
      </c>
      <c r="AO154" s="7">
        <v>6.84</v>
      </c>
      <c r="AP154" s="3"/>
      <c r="AQ154" s="8"/>
    </row>
    <row r="155" spans="1:43">
      <c r="A155" s="1">
        <f t="shared" si="18"/>
        <v>153</v>
      </c>
      <c r="B155" s="19"/>
      <c r="C155" s="1">
        <v>4</v>
      </c>
      <c r="D155" s="4">
        <f t="shared" si="17"/>
        <v>35</v>
      </c>
      <c r="E155" s="4" t="s">
        <v>150</v>
      </c>
      <c r="F155" s="4">
        <v>1</v>
      </c>
      <c r="G155" s="4" t="s">
        <v>14</v>
      </c>
      <c r="H155" s="4" t="s">
        <v>23</v>
      </c>
      <c r="I155" s="4"/>
      <c r="J155" s="5">
        <v>94.1</v>
      </c>
      <c r="K155" s="63">
        <v>4.9000000000000002E-2</v>
      </c>
      <c r="L155" s="38">
        <v>6.8200000000000021</v>
      </c>
      <c r="M155" s="127" t="s">
        <v>329</v>
      </c>
      <c r="N155" s="1" t="s">
        <v>13</v>
      </c>
      <c r="O155" s="22">
        <v>6.8390000000000013</v>
      </c>
      <c r="P155" s="1" t="s">
        <v>7</v>
      </c>
      <c r="Q155" s="3" t="s">
        <v>205</v>
      </c>
      <c r="R155" s="22">
        <v>6.782</v>
      </c>
      <c r="S155" s="22">
        <v>6.702</v>
      </c>
      <c r="T155" s="22">
        <v>6.9160000000000004</v>
      </c>
      <c r="U155" s="22">
        <v>6.88</v>
      </c>
      <c r="V155" s="22">
        <v>6.8739999999999997</v>
      </c>
      <c r="W155" s="22">
        <v>6.8019999999999996</v>
      </c>
      <c r="X155" s="22">
        <v>6.8049999999999997</v>
      </c>
      <c r="Y155" s="22">
        <v>6.8120000000000003</v>
      </c>
      <c r="Z155" s="22">
        <v>6.7990000000000004</v>
      </c>
      <c r="AA155" s="22">
        <v>6.8140000000000001</v>
      </c>
      <c r="AB155" s="22">
        <v>7.0170000000000003</v>
      </c>
      <c r="AC155" s="22">
        <v>6.97</v>
      </c>
      <c r="AD155" s="22">
        <v>6.88</v>
      </c>
      <c r="AE155" s="22">
        <v>6.92</v>
      </c>
      <c r="AF155" s="22">
        <v>6.76</v>
      </c>
      <c r="AG155" s="22">
        <v>6.59</v>
      </c>
      <c r="AH155" s="6">
        <f t="shared" si="20"/>
        <v>6.6749999999999998</v>
      </c>
      <c r="AI155" s="7">
        <v>6.12</v>
      </c>
      <c r="AJ155" s="7">
        <v>6.95</v>
      </c>
      <c r="AK155" s="7">
        <v>6.84</v>
      </c>
      <c r="AL155" s="7">
        <v>6.9</v>
      </c>
      <c r="AM155" s="7">
        <v>6.86</v>
      </c>
      <c r="AN155" s="7">
        <v>7</v>
      </c>
      <c r="AO155" s="7">
        <v>7.02</v>
      </c>
      <c r="AP155" s="3"/>
      <c r="AQ155" s="8"/>
    </row>
    <row r="156" spans="1:43">
      <c r="A156" s="1">
        <f t="shared" si="18"/>
        <v>154</v>
      </c>
      <c r="B156" s="19"/>
      <c r="C156" s="1">
        <v>4</v>
      </c>
      <c r="D156" s="4">
        <f t="shared" si="17"/>
        <v>35</v>
      </c>
      <c r="E156" s="4" t="s">
        <v>219</v>
      </c>
      <c r="F156" s="4">
        <v>1</v>
      </c>
      <c r="G156" s="4" t="s">
        <v>14</v>
      </c>
      <c r="H156" s="4" t="s">
        <v>214</v>
      </c>
      <c r="I156" s="4"/>
      <c r="J156" s="5">
        <v>94.2</v>
      </c>
      <c r="K156" s="68"/>
      <c r="L156" s="38">
        <v>7.5609999999999999</v>
      </c>
      <c r="M156" s="127" t="s">
        <v>329</v>
      </c>
      <c r="N156" s="1" t="s">
        <v>13</v>
      </c>
      <c r="O156" s="22">
        <v>7.5639999999999992</v>
      </c>
      <c r="P156" s="1" t="s">
        <v>7</v>
      </c>
      <c r="Q156" s="3"/>
      <c r="R156" s="22">
        <v>7.5149999999999997</v>
      </c>
      <c r="S156" s="22">
        <v>7.4249999999999998</v>
      </c>
      <c r="T156" s="22">
        <v>7.6479999999999997</v>
      </c>
      <c r="U156" s="22">
        <v>7.6159999999999997</v>
      </c>
      <c r="V156" s="22">
        <v>7.6029999999999998</v>
      </c>
      <c r="W156" s="22">
        <v>7.5380000000000003</v>
      </c>
      <c r="X156" s="22">
        <v>7.5410000000000004</v>
      </c>
      <c r="Y156" s="22">
        <v>7.5490000000000004</v>
      </c>
      <c r="Z156" s="22">
        <v>7.5369999999999999</v>
      </c>
      <c r="AA156" s="22">
        <v>7.5529999999999999</v>
      </c>
      <c r="AB156" s="22">
        <v>7.7380000000000004</v>
      </c>
      <c r="AC156" s="22">
        <v>7.69</v>
      </c>
      <c r="AD156" s="22">
        <v>7.601</v>
      </c>
      <c r="AE156" s="22">
        <v>7.6429999999999998</v>
      </c>
      <c r="AF156" s="22">
        <v>7.4820000000000002</v>
      </c>
      <c r="AG156" s="22">
        <v>7.3310000000000004</v>
      </c>
      <c r="AH156" s="6">
        <f t="shared" si="20"/>
        <v>7.4065000000000003</v>
      </c>
      <c r="AI156" s="9"/>
      <c r="AJ156" s="9"/>
      <c r="AK156" s="9"/>
      <c r="AL156" s="9"/>
      <c r="AM156" s="9"/>
      <c r="AN156" s="9"/>
      <c r="AO156" s="9"/>
      <c r="AP156" s="3"/>
      <c r="AQ156" s="8"/>
    </row>
    <row r="157" spans="1:43">
      <c r="A157" s="1">
        <f t="shared" si="18"/>
        <v>155</v>
      </c>
      <c r="B157" s="19"/>
      <c r="C157" s="1">
        <v>4</v>
      </c>
      <c r="D157" s="4">
        <f t="shared" si="17"/>
        <v>35</v>
      </c>
      <c r="E157" s="4" t="s">
        <v>219</v>
      </c>
      <c r="F157" s="4">
        <v>1</v>
      </c>
      <c r="G157" s="4" t="s">
        <v>14</v>
      </c>
      <c r="H157" s="4" t="s">
        <v>214</v>
      </c>
      <c r="I157" s="4"/>
      <c r="J157" s="5">
        <v>94.5</v>
      </c>
      <c r="K157" s="68"/>
      <c r="L157" s="38">
        <v>7.6279999999999974</v>
      </c>
      <c r="M157" s="127" t="s">
        <v>329</v>
      </c>
      <c r="N157" s="1" t="s">
        <v>13</v>
      </c>
      <c r="O157" s="22">
        <v>7.6259999999999977</v>
      </c>
      <c r="P157" s="1" t="s">
        <v>7</v>
      </c>
      <c r="Q157" s="3"/>
      <c r="R157" s="22">
        <v>7.5449999999999999</v>
      </c>
      <c r="S157" s="22">
        <v>7.4790000000000001</v>
      </c>
      <c r="T157" s="22">
        <v>7.71</v>
      </c>
      <c r="U157" s="22">
        <v>7.6559999999999997</v>
      </c>
      <c r="V157" s="22">
        <v>7.6630000000000003</v>
      </c>
      <c r="W157" s="22">
        <v>7.6040000000000001</v>
      </c>
      <c r="X157" s="22">
        <v>7.6070000000000002</v>
      </c>
      <c r="Y157" s="22">
        <v>7.6139999999999999</v>
      </c>
      <c r="Z157" s="22">
        <v>7.6050000000000004</v>
      </c>
      <c r="AA157" s="22">
        <v>7.62</v>
      </c>
      <c r="AB157" s="22">
        <v>7.7910000000000004</v>
      </c>
      <c r="AC157" s="22">
        <v>7.7430000000000003</v>
      </c>
      <c r="AD157" s="22">
        <v>7.6539999999999999</v>
      </c>
      <c r="AE157" s="22">
        <v>7.6980000000000004</v>
      </c>
      <c r="AF157" s="22">
        <v>7.5380000000000003</v>
      </c>
      <c r="AG157" s="22">
        <v>7.3949999999999996</v>
      </c>
      <c r="AH157" s="6">
        <f t="shared" si="20"/>
        <v>7.4664999999999999</v>
      </c>
      <c r="AI157" s="9"/>
      <c r="AJ157" s="9"/>
      <c r="AK157" s="9"/>
      <c r="AL157" s="9"/>
      <c r="AM157" s="9"/>
      <c r="AN157" s="9"/>
      <c r="AO157" s="9"/>
      <c r="AP157" s="3"/>
      <c r="AQ157" s="8"/>
    </row>
    <row r="158" spans="1:43">
      <c r="A158" s="1">
        <f t="shared" si="18"/>
        <v>156</v>
      </c>
      <c r="B158" s="19"/>
      <c r="C158" s="1">
        <v>4</v>
      </c>
      <c r="D158" s="4">
        <f t="shared" si="17"/>
        <v>35</v>
      </c>
      <c r="E158" s="4" t="s">
        <v>223</v>
      </c>
      <c r="F158" s="4">
        <v>1</v>
      </c>
      <c r="G158" s="4" t="s">
        <v>14</v>
      </c>
      <c r="H158" s="4" t="s">
        <v>23</v>
      </c>
      <c r="I158" s="4"/>
      <c r="J158" s="5">
        <v>93.8</v>
      </c>
      <c r="K158" s="63">
        <v>5.5E-2</v>
      </c>
      <c r="L158" s="38">
        <v>7.6890000000000001</v>
      </c>
      <c r="M158" s="127" t="s">
        <v>329</v>
      </c>
      <c r="N158" s="1" t="s">
        <v>13</v>
      </c>
      <c r="O158" s="22">
        <v>7.55</v>
      </c>
      <c r="P158" s="1" t="s">
        <v>7</v>
      </c>
      <c r="Q158" s="3" t="s">
        <v>205</v>
      </c>
      <c r="R158" s="22">
        <v>7.7110000000000003</v>
      </c>
      <c r="S158" s="22">
        <v>7.6269999999999998</v>
      </c>
      <c r="T158" s="22">
        <v>7.7869999999999999</v>
      </c>
      <c r="U158" s="22">
        <v>7.774</v>
      </c>
      <c r="V158" s="22">
        <v>7.76</v>
      </c>
      <c r="W158" s="22">
        <v>7.6760000000000002</v>
      </c>
      <c r="X158" s="22">
        <v>7.6760000000000002</v>
      </c>
      <c r="Y158" s="22">
        <v>7.69</v>
      </c>
      <c r="Z158" s="22">
        <v>7.6749999999999998</v>
      </c>
      <c r="AA158" s="22">
        <v>7.69</v>
      </c>
      <c r="AB158" s="22">
        <v>7.8390000000000004</v>
      </c>
      <c r="AC158" s="22">
        <v>7.8029999999999999</v>
      </c>
      <c r="AD158" s="22">
        <v>7.7439999999999998</v>
      </c>
      <c r="AE158" s="22">
        <v>7.7370000000000001</v>
      </c>
      <c r="AF158" s="22">
        <v>7.6660000000000004</v>
      </c>
      <c r="AG158" s="22">
        <v>7.4640000000000004</v>
      </c>
      <c r="AH158" s="6">
        <f t="shared" si="20"/>
        <v>7.5650000000000004</v>
      </c>
      <c r="AI158" s="7">
        <v>7.93</v>
      </c>
      <c r="AJ158" s="7">
        <v>7.6</v>
      </c>
      <c r="AK158" s="7">
        <v>7.3</v>
      </c>
      <c r="AL158" s="7">
        <v>7.62</v>
      </c>
      <c r="AM158" s="7">
        <v>7.54</v>
      </c>
      <c r="AN158" s="7">
        <v>7.53</v>
      </c>
      <c r="AO158" s="7">
        <v>7.45</v>
      </c>
      <c r="AP158" s="3"/>
      <c r="AQ158" s="8"/>
    </row>
    <row r="159" spans="1:43">
      <c r="A159" s="1">
        <f>A158+1</f>
        <v>157</v>
      </c>
      <c r="B159" s="19"/>
      <c r="C159" s="1">
        <v>4</v>
      </c>
      <c r="D159" s="4">
        <f t="shared" si="17"/>
        <v>35</v>
      </c>
      <c r="E159" s="4" t="s">
        <v>177</v>
      </c>
      <c r="F159" s="4">
        <v>3</v>
      </c>
      <c r="G159" s="4" t="s">
        <v>11</v>
      </c>
      <c r="H159" s="4" t="s">
        <v>17</v>
      </c>
      <c r="I159" s="4"/>
      <c r="J159" s="5">
        <v>98.4</v>
      </c>
      <c r="K159" s="68"/>
      <c r="L159" s="38">
        <v>3.3619999999999997</v>
      </c>
      <c r="M159" s="127" t="s">
        <v>110</v>
      </c>
      <c r="N159" s="1" t="s">
        <v>13</v>
      </c>
      <c r="O159" s="22">
        <v>3.3689999999999993</v>
      </c>
      <c r="P159" s="1" t="s">
        <v>7</v>
      </c>
      <c r="Q159" s="3" t="s">
        <v>205</v>
      </c>
      <c r="R159" s="22">
        <v>3.55</v>
      </c>
      <c r="S159" s="22">
        <v>3.452</v>
      </c>
      <c r="T159" s="22">
        <v>3.37</v>
      </c>
      <c r="U159" s="22">
        <v>3.1760000000000002</v>
      </c>
      <c r="V159" s="22">
        <v>3.2949999999999999</v>
      </c>
      <c r="W159" s="60"/>
      <c r="X159" s="60"/>
      <c r="Y159" s="60"/>
      <c r="Z159" s="22">
        <v>3.3610000000000002</v>
      </c>
      <c r="AA159" s="60"/>
      <c r="AB159" s="22">
        <v>3.5350000000000001</v>
      </c>
      <c r="AC159" s="22">
        <v>3.5339999999999998</v>
      </c>
      <c r="AD159" s="22">
        <v>3.5070000000000001</v>
      </c>
      <c r="AE159" s="22">
        <v>3.4319999999999999</v>
      </c>
      <c r="AF159" s="22">
        <v>3.4609999999999999</v>
      </c>
      <c r="AG159" s="22">
        <v>3.089</v>
      </c>
      <c r="AH159" s="6">
        <f t="shared" si="20"/>
        <v>3.2749999999999999</v>
      </c>
      <c r="AI159" s="7">
        <v>3.55</v>
      </c>
      <c r="AJ159" s="7">
        <v>3.4</v>
      </c>
      <c r="AK159" s="7">
        <v>3.19</v>
      </c>
      <c r="AL159" s="7">
        <v>3.4</v>
      </c>
      <c r="AM159" s="7">
        <v>3.35</v>
      </c>
      <c r="AN159" s="7">
        <v>3.43</v>
      </c>
      <c r="AO159" s="7">
        <v>3.4</v>
      </c>
      <c r="AP159" s="3"/>
      <c r="AQ159" s="8"/>
    </row>
    <row r="160" spans="1:43">
      <c r="A160" s="1">
        <f t="shared" si="18"/>
        <v>158</v>
      </c>
      <c r="B160" s="19"/>
      <c r="C160" s="1">
        <v>4</v>
      </c>
      <c r="D160" s="4">
        <f t="shared" si="17"/>
        <v>35</v>
      </c>
      <c r="E160" s="4" t="s">
        <v>169</v>
      </c>
      <c r="F160" s="4">
        <v>3</v>
      </c>
      <c r="G160" s="4" t="s">
        <v>11</v>
      </c>
      <c r="H160" s="4" t="s">
        <v>17</v>
      </c>
      <c r="I160" s="4"/>
      <c r="J160" s="5">
        <v>98.7</v>
      </c>
      <c r="K160" s="68"/>
      <c r="L160" s="38">
        <v>5.1980000000000004</v>
      </c>
      <c r="M160" s="127" t="s">
        <v>110</v>
      </c>
      <c r="N160" s="1" t="s">
        <v>13</v>
      </c>
      <c r="O160" s="22">
        <v>5.2070000000000007</v>
      </c>
      <c r="P160" s="1" t="s">
        <v>7</v>
      </c>
      <c r="Q160" s="3" t="s">
        <v>205</v>
      </c>
      <c r="R160" s="22">
        <v>5.3250000000000002</v>
      </c>
      <c r="S160" s="22">
        <v>5.2949999999999999</v>
      </c>
      <c r="T160" s="22">
        <v>5.1550000000000002</v>
      </c>
      <c r="U160" s="22">
        <v>5.0369999999999999</v>
      </c>
      <c r="V160" s="22">
        <v>5.1660000000000004</v>
      </c>
      <c r="W160" s="60"/>
      <c r="X160" s="60"/>
      <c r="Y160" s="60"/>
      <c r="Z160" s="22">
        <v>5.1989999999999998</v>
      </c>
      <c r="AA160" s="60"/>
      <c r="AB160" s="22">
        <v>5.2220000000000004</v>
      </c>
      <c r="AC160" s="22">
        <v>5.2229999999999999</v>
      </c>
      <c r="AD160" s="22">
        <v>5.2469999999999999</v>
      </c>
      <c r="AE160" s="22">
        <v>5.1310000000000002</v>
      </c>
      <c r="AF160" s="22">
        <v>5.2779999999999996</v>
      </c>
      <c r="AG160" s="22">
        <v>4.9359999999999999</v>
      </c>
      <c r="AH160" s="6">
        <f t="shared" si="20"/>
        <v>5.1069999999999993</v>
      </c>
      <c r="AI160" s="7">
        <v>5.52</v>
      </c>
      <c r="AJ160" s="7">
        <v>5.32</v>
      </c>
      <c r="AK160" s="7">
        <v>4.93</v>
      </c>
      <c r="AL160" s="7">
        <v>5.29</v>
      </c>
      <c r="AM160" s="7">
        <v>5.19</v>
      </c>
      <c r="AN160" s="7">
        <v>5.36</v>
      </c>
      <c r="AO160" s="7">
        <v>5.3</v>
      </c>
      <c r="AP160" s="3"/>
      <c r="AQ160" s="8"/>
    </row>
    <row r="161" spans="1:43">
      <c r="A161" s="1">
        <f t="shared" si="18"/>
        <v>159</v>
      </c>
      <c r="B161" s="19"/>
      <c r="C161" s="1">
        <v>4</v>
      </c>
      <c r="D161" s="4">
        <f t="shared" si="17"/>
        <v>35</v>
      </c>
      <c r="E161" s="4" t="s">
        <v>221</v>
      </c>
      <c r="F161" s="4">
        <v>3</v>
      </c>
      <c r="G161" s="4" t="s">
        <v>14</v>
      </c>
      <c r="H161" s="4" t="s">
        <v>22</v>
      </c>
      <c r="I161" s="4"/>
      <c r="J161" s="5">
        <v>97.9</v>
      </c>
      <c r="K161" s="68"/>
      <c r="L161" s="44">
        <v>6.2889999999999997</v>
      </c>
      <c r="M161" s="127" t="s">
        <v>110</v>
      </c>
      <c r="N161" s="1" t="s">
        <v>13</v>
      </c>
      <c r="O161" s="22">
        <v>6.3109999999999999</v>
      </c>
      <c r="P161" s="1" t="s">
        <v>7</v>
      </c>
      <c r="Q161" s="3" t="s">
        <v>205</v>
      </c>
      <c r="R161" s="22">
        <v>6.3049999999999997</v>
      </c>
      <c r="S161" s="22">
        <v>6.2119999999999997</v>
      </c>
      <c r="T161" s="22">
        <v>6.375</v>
      </c>
      <c r="U161" s="22">
        <v>6.4180000000000001</v>
      </c>
      <c r="V161" s="22">
        <v>6.3330000000000002</v>
      </c>
      <c r="W161" s="60"/>
      <c r="X161" s="60"/>
      <c r="Y161" s="60"/>
      <c r="Z161" s="22">
        <v>6.2770000000000001</v>
      </c>
      <c r="AA161" s="60"/>
      <c r="AB161" s="22">
        <v>6.5090000000000003</v>
      </c>
      <c r="AC161" s="22">
        <v>6.4649999999999999</v>
      </c>
      <c r="AD161" s="22">
        <v>6.38</v>
      </c>
      <c r="AE161" s="22">
        <v>6.4169999999999998</v>
      </c>
      <c r="AF161" s="22">
        <v>6.2649999999999997</v>
      </c>
      <c r="AG161" s="22">
        <v>6.0650000000000004</v>
      </c>
      <c r="AH161" s="6">
        <f t="shared" si="20"/>
        <v>6.165</v>
      </c>
      <c r="AI161" s="7">
        <v>5.89</v>
      </c>
      <c r="AJ161" s="7">
        <v>6.44</v>
      </c>
      <c r="AK161" s="7">
        <v>6.27</v>
      </c>
      <c r="AL161" s="7">
        <v>6.38</v>
      </c>
      <c r="AM161" s="7">
        <v>6.33</v>
      </c>
      <c r="AN161" s="7">
        <v>6.43</v>
      </c>
      <c r="AO161" s="7">
        <v>6.38</v>
      </c>
      <c r="AP161" s="3"/>
      <c r="AQ161" s="8"/>
    </row>
    <row r="162" spans="1:43">
      <c r="A162" s="1">
        <f t="shared" si="18"/>
        <v>160</v>
      </c>
      <c r="B162" s="19"/>
      <c r="C162" s="1">
        <v>4</v>
      </c>
      <c r="D162" s="4">
        <f t="shared" si="17"/>
        <v>35</v>
      </c>
      <c r="E162" s="4" t="s">
        <v>149</v>
      </c>
      <c r="F162" s="4">
        <v>3</v>
      </c>
      <c r="G162" s="4" t="s">
        <v>14</v>
      </c>
      <c r="H162" s="4" t="s">
        <v>23</v>
      </c>
      <c r="I162" s="4"/>
      <c r="J162" s="5">
        <v>97.9</v>
      </c>
      <c r="K162" s="68"/>
      <c r="L162" s="38">
        <v>6.6340000000000003</v>
      </c>
      <c r="M162" s="127" t="s">
        <v>110</v>
      </c>
      <c r="N162" s="1" t="s">
        <v>13</v>
      </c>
      <c r="O162" s="22">
        <v>6.6540000000000008</v>
      </c>
      <c r="P162" s="1" t="s">
        <v>7</v>
      </c>
      <c r="Q162" s="3"/>
      <c r="R162" s="22">
        <v>6.6420000000000003</v>
      </c>
      <c r="S162" s="22">
        <v>6.5490000000000004</v>
      </c>
      <c r="T162" s="22">
        <v>6.7210000000000001</v>
      </c>
      <c r="U162" s="22">
        <v>6.7809999999999997</v>
      </c>
      <c r="V162" s="22">
        <v>6.6840000000000002</v>
      </c>
      <c r="W162" s="60"/>
      <c r="X162" s="60"/>
      <c r="Y162" s="60"/>
      <c r="Z162" s="22">
        <v>6.62</v>
      </c>
      <c r="AA162" s="60"/>
      <c r="AB162" s="22">
        <v>6.8609999999999998</v>
      </c>
      <c r="AC162" s="22">
        <v>6.8170000000000002</v>
      </c>
      <c r="AD162" s="22">
        <v>6.7270000000000003</v>
      </c>
      <c r="AE162" s="22">
        <v>6.7649999999999997</v>
      </c>
      <c r="AF162" s="22">
        <v>6.6029999999999998</v>
      </c>
      <c r="AG162" s="22">
        <v>6.4130000000000003</v>
      </c>
      <c r="AH162" s="6">
        <f t="shared" si="20"/>
        <v>6.508</v>
      </c>
      <c r="AI162" s="9"/>
      <c r="AJ162" s="9"/>
      <c r="AK162" s="9"/>
      <c r="AL162" s="9"/>
      <c r="AM162" s="9"/>
      <c r="AN162" s="9"/>
      <c r="AO162" s="9"/>
      <c r="AP162" s="3"/>
      <c r="AQ162" s="8"/>
    </row>
    <row r="163" spans="1:43">
      <c r="A163" s="1">
        <f t="shared" si="18"/>
        <v>161</v>
      </c>
      <c r="B163" s="19"/>
      <c r="C163" s="1">
        <v>4</v>
      </c>
      <c r="D163" s="4">
        <f t="shared" si="17"/>
        <v>35</v>
      </c>
      <c r="E163" s="4" t="s">
        <v>149</v>
      </c>
      <c r="F163" s="4">
        <v>3</v>
      </c>
      <c r="G163" s="4" t="s">
        <v>14</v>
      </c>
      <c r="H163" s="4" t="s">
        <v>23</v>
      </c>
      <c r="I163" s="4"/>
      <c r="J163" s="5">
        <v>97.9</v>
      </c>
      <c r="K163" s="68"/>
      <c r="L163" s="38">
        <v>6.7399999999999993</v>
      </c>
      <c r="M163" s="127" t="s">
        <v>110</v>
      </c>
      <c r="N163" s="1" t="s">
        <v>13</v>
      </c>
      <c r="O163" s="22">
        <v>6.7619999999999987</v>
      </c>
      <c r="P163" s="1" t="s">
        <v>7</v>
      </c>
      <c r="Q163" s="3"/>
      <c r="R163" s="22">
        <v>6.7190000000000003</v>
      </c>
      <c r="S163" s="22">
        <v>6.6390000000000002</v>
      </c>
      <c r="T163" s="22">
        <v>6.8330000000000002</v>
      </c>
      <c r="U163" s="22">
        <v>6.9269999999999996</v>
      </c>
      <c r="V163" s="22">
        <v>6.7910000000000004</v>
      </c>
      <c r="W163" s="60"/>
      <c r="X163" s="60"/>
      <c r="Y163" s="60"/>
      <c r="Z163" s="22">
        <v>6.7279999999999998</v>
      </c>
      <c r="AA163" s="60"/>
      <c r="AB163" s="22">
        <v>6.9669999999999996</v>
      </c>
      <c r="AC163" s="22">
        <v>6.92</v>
      </c>
      <c r="AD163" s="22">
        <v>6.8259999999999996</v>
      </c>
      <c r="AE163" s="22">
        <v>6.8739999999999997</v>
      </c>
      <c r="AF163" s="22">
        <v>6.6959999999999997</v>
      </c>
      <c r="AG163" s="22">
        <v>6.52</v>
      </c>
      <c r="AH163" s="6">
        <f t="shared" si="20"/>
        <v>6.6079999999999997</v>
      </c>
      <c r="AI163" s="9"/>
      <c r="AJ163" s="9"/>
      <c r="AK163" s="9"/>
      <c r="AL163" s="9"/>
      <c r="AM163" s="9"/>
      <c r="AN163" s="9"/>
      <c r="AO163" s="9"/>
      <c r="AP163" s="3"/>
      <c r="AQ163" s="8"/>
    </row>
    <row r="164" spans="1:43">
      <c r="A164" s="1">
        <f t="shared" si="18"/>
        <v>162</v>
      </c>
      <c r="B164" s="2" t="s">
        <v>316</v>
      </c>
      <c r="C164" s="1">
        <v>2</v>
      </c>
      <c r="D164" s="4">
        <f t="shared" si="17"/>
        <v>12</v>
      </c>
      <c r="E164" s="4" t="s">
        <v>295</v>
      </c>
      <c r="F164" s="4">
        <v>1</v>
      </c>
      <c r="G164" s="4" t="s">
        <v>11</v>
      </c>
      <c r="H164" s="4" t="s">
        <v>330</v>
      </c>
      <c r="I164" s="4"/>
      <c r="J164" s="5">
        <v>95.8</v>
      </c>
      <c r="K164" s="63">
        <v>7.1000000000000004E-3</v>
      </c>
      <c r="L164" s="38">
        <v>1.2250000000000001</v>
      </c>
      <c r="M164" s="127" t="s">
        <v>103</v>
      </c>
      <c r="N164" s="4" t="s">
        <v>13</v>
      </c>
      <c r="O164" s="41" t="s">
        <v>205</v>
      </c>
      <c r="P164" s="41" t="s">
        <v>205</v>
      </c>
      <c r="Q164" s="3" t="s">
        <v>205</v>
      </c>
      <c r="R164" s="22">
        <v>1.2529999999999999</v>
      </c>
      <c r="S164" s="22">
        <v>1.6040000000000001</v>
      </c>
      <c r="T164" s="22">
        <v>1.077</v>
      </c>
      <c r="U164" s="22">
        <v>1.248</v>
      </c>
      <c r="V164" s="22">
        <v>1.284</v>
      </c>
      <c r="W164" s="22">
        <v>1.1919999999999999</v>
      </c>
      <c r="X164" s="22">
        <v>1.1870000000000001</v>
      </c>
      <c r="Y164" s="22">
        <v>1.1679999999999999</v>
      </c>
      <c r="Z164" s="22">
        <v>1.163</v>
      </c>
      <c r="AA164" s="22">
        <v>1.2589999999999999</v>
      </c>
      <c r="AB164" s="22">
        <v>1.1579999999999999</v>
      </c>
      <c r="AC164" s="22">
        <v>1.613</v>
      </c>
      <c r="AD164" s="22">
        <v>1.61</v>
      </c>
      <c r="AE164" s="22">
        <v>1.04</v>
      </c>
      <c r="AF164" s="22">
        <v>1.161</v>
      </c>
      <c r="AG164" s="43"/>
      <c r="AH164" s="43"/>
      <c r="AI164" s="41"/>
      <c r="AJ164" s="41"/>
      <c r="AK164" s="41"/>
      <c r="AL164" s="41"/>
      <c r="AM164" s="41"/>
      <c r="AN164" s="41"/>
      <c r="AO164" s="41"/>
      <c r="AP164" s="3"/>
      <c r="AQ164" s="8"/>
    </row>
    <row r="165" spans="1:43">
      <c r="A165" s="1">
        <f t="shared" si="18"/>
        <v>163</v>
      </c>
      <c r="B165" s="19"/>
      <c r="C165" s="1">
        <v>2</v>
      </c>
      <c r="D165" s="4">
        <f t="shared" si="17"/>
        <v>12</v>
      </c>
      <c r="E165" s="4" t="s">
        <v>183</v>
      </c>
      <c r="F165" s="4">
        <v>1</v>
      </c>
      <c r="G165" s="4" t="s">
        <v>11</v>
      </c>
      <c r="H165" s="4" t="s">
        <v>121</v>
      </c>
      <c r="I165" s="4" t="s">
        <v>321</v>
      </c>
      <c r="J165" s="5">
        <v>0</v>
      </c>
      <c r="K165" s="68"/>
      <c r="L165" s="38">
        <v>2.0910000000000002</v>
      </c>
      <c r="M165" s="127" t="s">
        <v>103</v>
      </c>
      <c r="N165" s="4" t="s">
        <v>13</v>
      </c>
      <c r="O165" s="41" t="s">
        <v>205</v>
      </c>
      <c r="P165" s="41" t="s">
        <v>205</v>
      </c>
      <c r="Q165" s="3" t="s">
        <v>205</v>
      </c>
      <c r="R165" s="41" t="s">
        <v>205</v>
      </c>
      <c r="S165" s="43"/>
      <c r="T165" s="22">
        <v>4.79</v>
      </c>
      <c r="U165" s="43"/>
      <c r="V165" s="22">
        <v>4.617</v>
      </c>
      <c r="W165" s="22">
        <v>3.02</v>
      </c>
      <c r="X165" s="22">
        <v>3.056</v>
      </c>
      <c r="Y165" s="22">
        <v>3.032</v>
      </c>
      <c r="Z165" s="22">
        <v>3.0529999999999999</v>
      </c>
      <c r="AA165" s="22">
        <v>2.5670000000000002</v>
      </c>
      <c r="AB165" s="43"/>
      <c r="AC165" s="43"/>
      <c r="AD165" s="43"/>
      <c r="AE165" s="43"/>
      <c r="AF165" s="43"/>
      <c r="AG165" s="43"/>
      <c r="AH165" s="43"/>
      <c r="AI165" s="22">
        <v>2.4870000000000001</v>
      </c>
      <c r="AJ165" s="22">
        <v>2.2709999999999999</v>
      </c>
      <c r="AK165" s="22">
        <v>2.2770000000000001</v>
      </c>
      <c r="AL165" s="22">
        <v>2.1259999999999999</v>
      </c>
      <c r="AM165" s="22">
        <v>2.0960000000000001</v>
      </c>
      <c r="AN165" s="22">
        <v>2.1440000000000001</v>
      </c>
      <c r="AO165" s="22">
        <v>2.1190000000000002</v>
      </c>
      <c r="AP165" s="3"/>
      <c r="AQ165" s="8"/>
    </row>
    <row r="166" spans="1:43">
      <c r="A166" s="1">
        <f t="shared" si="18"/>
        <v>164</v>
      </c>
      <c r="B166" s="19"/>
      <c r="C166" s="1">
        <v>2</v>
      </c>
      <c r="D166" s="4">
        <f t="shared" si="17"/>
        <v>12</v>
      </c>
      <c r="E166" s="4" t="s">
        <v>87</v>
      </c>
      <c r="F166" s="4">
        <v>1</v>
      </c>
      <c r="G166" s="4" t="s">
        <v>11</v>
      </c>
      <c r="H166" s="4" t="s">
        <v>121</v>
      </c>
      <c r="I166" s="4" t="s">
        <v>321</v>
      </c>
      <c r="J166" s="5">
        <v>0</v>
      </c>
      <c r="K166" s="68"/>
      <c r="L166" s="38">
        <v>2.42</v>
      </c>
      <c r="M166" s="127" t="s">
        <v>103</v>
      </c>
      <c r="N166" s="4" t="s">
        <v>13</v>
      </c>
      <c r="O166" s="41" t="s">
        <v>205</v>
      </c>
      <c r="P166" s="41" t="s">
        <v>205</v>
      </c>
      <c r="Q166" s="3" t="s">
        <v>205</v>
      </c>
      <c r="R166" s="41" t="s">
        <v>205</v>
      </c>
      <c r="S166" s="43"/>
      <c r="T166" s="22">
        <v>5</v>
      </c>
      <c r="U166" s="43"/>
      <c r="V166" s="22">
        <v>4.7640000000000002</v>
      </c>
      <c r="W166" s="22">
        <v>3.238</v>
      </c>
      <c r="X166" s="22">
        <v>3.298</v>
      </c>
      <c r="Y166" s="22">
        <v>3.286</v>
      </c>
      <c r="Z166" s="22">
        <v>3.2559999999999998</v>
      </c>
      <c r="AA166" s="22">
        <v>2.8610000000000002</v>
      </c>
      <c r="AB166" s="43"/>
      <c r="AC166" s="43"/>
      <c r="AD166" s="43"/>
      <c r="AE166" s="43"/>
      <c r="AF166" s="43"/>
      <c r="AG166" s="43"/>
      <c r="AH166" s="43"/>
      <c r="AI166" s="22">
        <v>2.8420000000000001</v>
      </c>
      <c r="AJ166" s="22">
        <v>2.5579999999999998</v>
      </c>
      <c r="AK166" s="22">
        <v>2.5179999999999998</v>
      </c>
      <c r="AL166" s="22">
        <v>2.4390000000000001</v>
      </c>
      <c r="AM166" s="22">
        <v>2.3969999999999998</v>
      </c>
      <c r="AN166" s="22">
        <v>2.4780000000000002</v>
      </c>
      <c r="AO166" s="22">
        <v>2.423</v>
      </c>
      <c r="AP166" s="3"/>
      <c r="AQ166" s="8"/>
    </row>
    <row r="167" spans="1:43">
      <c r="A167" s="1">
        <f t="shared" si="18"/>
        <v>165</v>
      </c>
      <c r="B167" s="19"/>
      <c r="C167" s="1">
        <v>2</v>
      </c>
      <c r="D167" s="4">
        <f t="shared" si="17"/>
        <v>12</v>
      </c>
      <c r="E167" s="4" t="s">
        <v>297</v>
      </c>
      <c r="F167" s="4">
        <v>3</v>
      </c>
      <c r="G167" s="4" t="s">
        <v>11</v>
      </c>
      <c r="H167" s="4" t="s">
        <v>330</v>
      </c>
      <c r="I167" s="4"/>
      <c r="J167" s="5">
        <v>99.1</v>
      </c>
      <c r="K167" s="68"/>
      <c r="L167" s="38">
        <v>0.22700000000000001</v>
      </c>
      <c r="M167" s="127" t="s">
        <v>103</v>
      </c>
      <c r="N167" s="4" t="s">
        <v>13</v>
      </c>
      <c r="O167" s="41"/>
      <c r="P167" s="41"/>
      <c r="Q167" s="3"/>
      <c r="R167" s="22">
        <v>0.27800000000000002</v>
      </c>
      <c r="S167" s="22">
        <v>0.58499999999999996</v>
      </c>
      <c r="T167" s="22">
        <v>0.14699999999999999</v>
      </c>
      <c r="U167" s="22">
        <v>0.17</v>
      </c>
      <c r="V167" s="22">
        <v>0.16700000000000001</v>
      </c>
      <c r="W167" s="43"/>
      <c r="X167" s="43"/>
      <c r="Y167" s="43"/>
      <c r="Z167" s="22">
        <v>0.191</v>
      </c>
      <c r="AA167" s="22">
        <v>0.23200000000000001</v>
      </c>
      <c r="AB167" s="22">
        <v>0.36599999999999999</v>
      </c>
      <c r="AC167" s="22">
        <v>0.75800000000000001</v>
      </c>
      <c r="AD167" s="22">
        <v>0.7</v>
      </c>
      <c r="AE167" s="22">
        <v>0.27300000000000002</v>
      </c>
      <c r="AF167" s="22">
        <v>0.20399999999999999</v>
      </c>
      <c r="AG167" s="43"/>
      <c r="AH167" s="43"/>
      <c r="AI167" s="43"/>
      <c r="AJ167" s="43"/>
      <c r="AK167" s="43"/>
      <c r="AL167" s="43"/>
      <c r="AM167" s="43"/>
      <c r="AN167" s="43"/>
      <c r="AO167" s="43"/>
      <c r="AP167" s="3"/>
      <c r="AQ167" s="8"/>
    </row>
    <row r="168" spans="1:43">
      <c r="A168" s="1">
        <f t="shared" si="18"/>
        <v>166</v>
      </c>
      <c r="B168" s="19"/>
      <c r="C168" s="1">
        <v>2</v>
      </c>
      <c r="D168" s="4">
        <f t="shared" si="17"/>
        <v>12</v>
      </c>
      <c r="E168" s="4" t="s">
        <v>85</v>
      </c>
      <c r="F168" s="4">
        <v>3</v>
      </c>
      <c r="G168" s="4" t="s">
        <v>11</v>
      </c>
      <c r="H168" s="4" t="s">
        <v>331</v>
      </c>
      <c r="I168" s="4"/>
      <c r="J168" s="5">
        <v>99.2</v>
      </c>
      <c r="K168" s="68"/>
      <c r="L168" s="38">
        <v>1.2250000000000001</v>
      </c>
      <c r="M168" s="127" t="s">
        <v>103</v>
      </c>
      <c r="N168" s="4" t="s">
        <v>13</v>
      </c>
      <c r="O168" s="41"/>
      <c r="P168" s="41"/>
      <c r="Q168" s="3"/>
      <c r="R168" s="22">
        <v>1.323</v>
      </c>
      <c r="S168" s="22">
        <v>1.446</v>
      </c>
      <c r="T168" s="22">
        <v>1.3080000000000001</v>
      </c>
      <c r="U168" s="22">
        <v>0.77700000000000002</v>
      </c>
      <c r="V168" s="22">
        <v>0.77300000000000002</v>
      </c>
      <c r="W168" s="43"/>
      <c r="X168" s="43"/>
      <c r="Y168" s="43"/>
      <c r="Z168" s="22">
        <v>1.0920000000000001</v>
      </c>
      <c r="AA168" s="22">
        <v>1.1379999999999999</v>
      </c>
      <c r="AB168" s="22">
        <v>0.755</v>
      </c>
      <c r="AC168" s="22">
        <v>0.88500000000000001</v>
      </c>
      <c r="AD168" s="22">
        <v>1.0920000000000001</v>
      </c>
      <c r="AE168" s="22">
        <v>0.66800000000000004</v>
      </c>
      <c r="AF168" s="22">
        <v>1.214</v>
      </c>
      <c r="AG168" s="43"/>
      <c r="AH168" s="43"/>
      <c r="AI168" s="43"/>
      <c r="AJ168" s="43"/>
      <c r="AK168" s="43"/>
      <c r="AL168" s="43"/>
      <c r="AM168" s="43"/>
      <c r="AN168" s="43"/>
      <c r="AO168" s="43"/>
      <c r="AP168" s="3"/>
      <c r="AQ168" s="8"/>
    </row>
    <row r="169" spans="1:43">
      <c r="A169" s="1">
        <f t="shared" si="18"/>
        <v>167</v>
      </c>
      <c r="B169" s="19"/>
      <c r="C169" s="1">
        <v>2</v>
      </c>
      <c r="D169" s="4">
        <f t="shared" si="17"/>
        <v>12</v>
      </c>
      <c r="E169" s="4" t="s">
        <v>298</v>
      </c>
      <c r="F169" s="4">
        <v>3</v>
      </c>
      <c r="G169" s="4" t="s">
        <v>11</v>
      </c>
      <c r="H169" s="4" t="s">
        <v>121</v>
      </c>
      <c r="I169" s="4" t="s">
        <v>321</v>
      </c>
      <c r="J169" s="5">
        <v>0.4</v>
      </c>
      <c r="K169" s="68"/>
      <c r="L169" s="38">
        <v>1.258</v>
      </c>
      <c r="M169" s="127" t="s">
        <v>103</v>
      </c>
      <c r="N169" s="4" t="s">
        <v>13</v>
      </c>
      <c r="O169" s="41"/>
      <c r="P169" s="41"/>
      <c r="Q169" s="3"/>
      <c r="R169" s="41" t="s">
        <v>205</v>
      </c>
      <c r="S169" s="43"/>
      <c r="T169" s="22">
        <v>3.9020000000000001</v>
      </c>
      <c r="U169" s="43"/>
      <c r="V169" s="22">
        <v>3.87</v>
      </c>
      <c r="W169" s="43"/>
      <c r="X169" s="43"/>
      <c r="Y169" s="43"/>
      <c r="Z169" s="22">
        <v>2.3879999999999999</v>
      </c>
      <c r="AA169" s="22">
        <v>1.825</v>
      </c>
      <c r="AB169" s="43"/>
      <c r="AC169" s="43"/>
      <c r="AD169" s="43"/>
      <c r="AE169" s="43"/>
      <c r="AF169" s="43"/>
      <c r="AG169" s="43"/>
      <c r="AH169" s="43"/>
      <c r="AI169" s="22">
        <v>1.742</v>
      </c>
      <c r="AJ169" s="22">
        <v>1.476</v>
      </c>
      <c r="AK169" s="22">
        <v>1.4610000000000001</v>
      </c>
      <c r="AL169" s="22">
        <v>1.3180000000000001</v>
      </c>
      <c r="AM169" s="22">
        <v>1.2789999999999999</v>
      </c>
      <c r="AN169" s="22">
        <v>1.3280000000000001</v>
      </c>
      <c r="AO169" s="22">
        <v>1.266</v>
      </c>
      <c r="AP169" s="3"/>
      <c r="AQ169" s="8"/>
    </row>
    <row r="170" spans="1:43">
      <c r="A170" s="1">
        <f t="shared" si="18"/>
        <v>168</v>
      </c>
      <c r="B170" s="2" t="s">
        <v>315</v>
      </c>
      <c r="C170" s="1">
        <v>3</v>
      </c>
      <c r="D170" s="4">
        <f t="shared" si="17"/>
        <v>35</v>
      </c>
      <c r="E170" s="4" t="s">
        <v>294</v>
      </c>
      <c r="F170" s="4">
        <v>1</v>
      </c>
      <c r="G170" s="4" t="s">
        <v>14</v>
      </c>
      <c r="H170" s="4" t="s">
        <v>22</v>
      </c>
      <c r="I170" s="4"/>
      <c r="J170" s="5">
        <v>92.3</v>
      </c>
      <c r="K170" s="68"/>
      <c r="L170" s="85">
        <v>8.8539999999999992</v>
      </c>
      <c r="M170" s="127" t="s">
        <v>438</v>
      </c>
      <c r="N170" s="4" t="s">
        <v>13</v>
      </c>
      <c r="O170" s="22">
        <v>8.9019999999999975</v>
      </c>
      <c r="P170" s="1" t="s">
        <v>7</v>
      </c>
      <c r="Q170" s="3"/>
      <c r="R170" s="6">
        <v>8.86</v>
      </c>
      <c r="S170" s="73">
        <v>8.907</v>
      </c>
      <c r="T170" s="73">
        <v>9.1519999999999992</v>
      </c>
      <c r="U170" s="73">
        <v>8.7409999999999997</v>
      </c>
      <c r="V170" s="73">
        <v>8.9390000000000001</v>
      </c>
      <c r="W170" s="73">
        <v>8.8580000000000005</v>
      </c>
      <c r="X170" s="73">
        <v>8.8729999999999993</v>
      </c>
      <c r="Y170" s="73">
        <v>8.8460000000000001</v>
      </c>
      <c r="Z170" s="6">
        <v>8.8460000000000001</v>
      </c>
      <c r="AA170" s="6">
        <v>8.84</v>
      </c>
      <c r="AB170" s="73">
        <v>8.9849999999999994</v>
      </c>
      <c r="AC170" s="73">
        <v>8.9890000000000008</v>
      </c>
      <c r="AD170" s="73">
        <v>8.907</v>
      </c>
      <c r="AE170" s="73">
        <v>8.7940000000000005</v>
      </c>
      <c r="AF170" s="73">
        <v>8.7230000000000008</v>
      </c>
      <c r="AG170" s="73">
        <v>9.0470000000000006</v>
      </c>
      <c r="AH170" s="6">
        <f t="shared" ref="AH170:AH191" si="23">IF((AF170&lt;&gt;0)*AND(AG170&lt;&gt;0),AVERAGE(AF170:AG170),"")</f>
        <v>8.8850000000000016</v>
      </c>
      <c r="AI170" s="9"/>
      <c r="AJ170" s="9"/>
      <c r="AK170" s="9"/>
      <c r="AL170" s="9"/>
      <c r="AM170" s="9"/>
      <c r="AN170" s="9"/>
      <c r="AO170" s="9"/>
      <c r="AP170" s="3"/>
      <c r="AQ170" s="8"/>
    </row>
    <row r="171" spans="1:43">
      <c r="A171" s="1">
        <f t="shared" si="18"/>
        <v>169</v>
      </c>
      <c r="B171" s="19"/>
      <c r="C171" s="1">
        <v>3</v>
      </c>
      <c r="D171" s="4">
        <f t="shared" si="17"/>
        <v>35</v>
      </c>
      <c r="E171" s="4" t="s">
        <v>86</v>
      </c>
      <c r="F171" s="4">
        <v>1</v>
      </c>
      <c r="G171" s="4" t="s">
        <v>11</v>
      </c>
      <c r="H171" s="4" t="s">
        <v>17</v>
      </c>
      <c r="I171" s="4"/>
      <c r="J171" s="5">
        <v>92</v>
      </c>
      <c r="K171" s="68"/>
      <c r="L171" s="85">
        <v>9.0009999999999994</v>
      </c>
      <c r="M171" s="127" t="s">
        <v>438</v>
      </c>
      <c r="N171" s="4" t="s">
        <v>13</v>
      </c>
      <c r="O171" s="22">
        <v>9.0030000000000019</v>
      </c>
      <c r="P171" s="1" t="s">
        <v>7</v>
      </c>
      <c r="Q171" s="3"/>
      <c r="R171" s="6">
        <v>9.2319999999999993</v>
      </c>
      <c r="S171" s="73">
        <v>9.3149999999999995</v>
      </c>
      <c r="T171" s="73">
        <v>9.2840000000000007</v>
      </c>
      <c r="U171" s="73">
        <v>8.8659999999999997</v>
      </c>
      <c r="V171" s="73">
        <v>9.0559999999999992</v>
      </c>
      <c r="W171" s="73">
        <v>9.0619999999999994</v>
      </c>
      <c r="X171" s="73">
        <v>9.0679999999999996</v>
      </c>
      <c r="Y171" s="73">
        <v>9.0410000000000004</v>
      </c>
      <c r="Z171" s="6">
        <v>9.0419999999999998</v>
      </c>
      <c r="AA171" s="6">
        <v>9.0009999999999994</v>
      </c>
      <c r="AB171" s="73">
        <v>9.1349999999999998</v>
      </c>
      <c r="AC171" s="73">
        <v>9.31</v>
      </c>
      <c r="AD171" s="73">
        <v>9.3149999999999995</v>
      </c>
      <c r="AE171" s="73">
        <v>8.9130000000000003</v>
      </c>
      <c r="AF171" s="73">
        <v>9.109</v>
      </c>
      <c r="AG171" s="73">
        <v>8.9019999999999992</v>
      </c>
      <c r="AH171" s="6">
        <f t="shared" si="23"/>
        <v>9.0054999999999996</v>
      </c>
      <c r="AI171" s="9"/>
      <c r="AJ171" s="9"/>
      <c r="AK171" s="9"/>
      <c r="AL171" s="9"/>
      <c r="AM171" s="9"/>
      <c r="AN171" s="9"/>
      <c r="AO171" s="9"/>
      <c r="AP171" s="3"/>
      <c r="AQ171" s="8"/>
    </row>
    <row r="172" spans="1:43">
      <c r="A172" s="1">
        <f t="shared" si="18"/>
        <v>170</v>
      </c>
      <c r="B172" s="19"/>
      <c r="C172" s="1">
        <v>3</v>
      </c>
      <c r="D172" s="4">
        <f t="shared" si="17"/>
        <v>35</v>
      </c>
      <c r="E172" s="4" t="s">
        <v>226</v>
      </c>
      <c r="F172" s="4">
        <v>1</v>
      </c>
      <c r="G172" s="4" t="s">
        <v>11</v>
      </c>
      <c r="H172" s="4" t="s">
        <v>17</v>
      </c>
      <c r="I172" s="4"/>
      <c r="J172" s="5">
        <v>91.1</v>
      </c>
      <c r="K172" s="68"/>
      <c r="L172" s="85">
        <v>9.077</v>
      </c>
      <c r="M172" s="127" t="s">
        <v>438</v>
      </c>
      <c r="N172" s="4" t="s">
        <v>13</v>
      </c>
      <c r="O172" s="22">
        <v>9.0760000000000023</v>
      </c>
      <c r="P172" s="1" t="s">
        <v>7</v>
      </c>
      <c r="Q172" s="3"/>
      <c r="R172" s="6">
        <v>9.2360000000000007</v>
      </c>
      <c r="S172" s="73">
        <v>9.343</v>
      </c>
      <c r="T172" s="73">
        <v>9.3490000000000002</v>
      </c>
      <c r="U172" s="73">
        <v>8.9280000000000008</v>
      </c>
      <c r="V172" s="73">
        <v>9.1329999999999991</v>
      </c>
      <c r="W172" s="73">
        <v>9.1370000000000005</v>
      </c>
      <c r="X172" s="73">
        <v>9.1449999999999996</v>
      </c>
      <c r="Y172" s="73">
        <v>9.1180000000000003</v>
      </c>
      <c r="Z172" s="6">
        <v>9.1180000000000003</v>
      </c>
      <c r="AA172" s="6">
        <v>9.0790000000000006</v>
      </c>
      <c r="AB172" s="73">
        <v>9.0969999999999995</v>
      </c>
      <c r="AC172" s="73">
        <v>9.2929999999999993</v>
      </c>
      <c r="AD172" s="73">
        <v>9.343</v>
      </c>
      <c r="AE172" s="73">
        <v>8.8629999999999995</v>
      </c>
      <c r="AF172" s="73">
        <v>9.1959999999999997</v>
      </c>
      <c r="AG172" s="73">
        <v>8.98</v>
      </c>
      <c r="AH172" s="6">
        <f t="shared" si="23"/>
        <v>9.088000000000001</v>
      </c>
      <c r="AI172" s="9"/>
      <c r="AJ172" s="9"/>
      <c r="AK172" s="9"/>
      <c r="AL172" s="9"/>
      <c r="AM172" s="9"/>
      <c r="AN172" s="9"/>
      <c r="AO172" s="9"/>
      <c r="AP172" s="3"/>
      <c r="AQ172" s="8"/>
    </row>
    <row r="173" spans="1:43">
      <c r="A173" s="1">
        <f t="shared" si="18"/>
        <v>171</v>
      </c>
      <c r="B173" s="19"/>
      <c r="C173" s="1">
        <v>3</v>
      </c>
      <c r="D173" s="4">
        <f t="shared" si="17"/>
        <v>35</v>
      </c>
      <c r="E173" s="4" t="s">
        <v>88</v>
      </c>
      <c r="F173" s="4">
        <v>1</v>
      </c>
      <c r="G173" s="4" t="s">
        <v>14</v>
      </c>
      <c r="H173" s="4" t="s">
        <v>23</v>
      </c>
      <c r="I173" s="4"/>
      <c r="J173" s="5">
        <v>92.1</v>
      </c>
      <c r="K173" s="63">
        <v>0.17499999999999999</v>
      </c>
      <c r="L173" s="85">
        <v>11.188000000000001</v>
      </c>
      <c r="M173" s="127" t="s">
        <v>438</v>
      </c>
      <c r="N173" s="4" t="s">
        <v>13</v>
      </c>
      <c r="O173" s="22">
        <v>11.195</v>
      </c>
      <c r="P173" s="1" t="s">
        <v>7</v>
      </c>
      <c r="Q173" s="3"/>
      <c r="R173" s="6">
        <v>10.991</v>
      </c>
      <c r="S173" s="73">
        <v>11.015000000000001</v>
      </c>
      <c r="T173" s="73">
        <v>11.545</v>
      </c>
      <c r="U173" s="73">
        <v>11.097</v>
      </c>
      <c r="V173" s="73">
        <v>11.24</v>
      </c>
      <c r="W173" s="73">
        <v>11.164</v>
      </c>
      <c r="X173" s="73">
        <v>11.180999999999999</v>
      </c>
      <c r="Y173" s="73">
        <v>11.159000000000001</v>
      </c>
      <c r="Z173" s="6">
        <v>11.159000000000001</v>
      </c>
      <c r="AA173" s="6">
        <v>11.16</v>
      </c>
      <c r="AB173" s="73">
        <v>11.071999999999999</v>
      </c>
      <c r="AC173" s="73">
        <v>11.106999999999999</v>
      </c>
      <c r="AD173" s="73">
        <v>10.015000000000001</v>
      </c>
      <c r="AE173" s="73">
        <v>10.864000000000001</v>
      </c>
      <c r="AF173" s="73">
        <v>10.785</v>
      </c>
      <c r="AG173" s="73">
        <v>11.433</v>
      </c>
      <c r="AH173" s="6">
        <f t="shared" si="23"/>
        <v>11.109</v>
      </c>
      <c r="AI173" s="9"/>
      <c r="AJ173" s="9"/>
      <c r="AK173" s="9"/>
      <c r="AL173" s="9"/>
      <c r="AM173" s="9"/>
      <c r="AN173" s="9"/>
      <c r="AO173" s="9"/>
      <c r="AP173" s="3"/>
      <c r="AQ173" s="8"/>
    </row>
    <row r="174" spans="1:43">
      <c r="A174" s="1">
        <f t="shared" si="18"/>
        <v>172</v>
      </c>
      <c r="B174" s="19"/>
      <c r="C174" s="1">
        <v>3</v>
      </c>
      <c r="D174" s="4">
        <f t="shared" si="17"/>
        <v>35</v>
      </c>
      <c r="E174" s="4" t="s">
        <v>226</v>
      </c>
      <c r="F174" s="4">
        <v>1</v>
      </c>
      <c r="G174" s="4" t="s">
        <v>14</v>
      </c>
      <c r="H174" s="4" t="s">
        <v>23</v>
      </c>
      <c r="I174" s="4"/>
      <c r="J174" s="5">
        <v>92.7</v>
      </c>
      <c r="K174" s="68"/>
      <c r="L174" s="85">
        <v>11.279</v>
      </c>
      <c r="M174" s="127" t="s">
        <v>438</v>
      </c>
      <c r="N174" s="4" t="s">
        <v>13</v>
      </c>
      <c r="O174" s="22">
        <v>11.286</v>
      </c>
      <c r="P174" s="1" t="s">
        <v>7</v>
      </c>
      <c r="Q174" s="3"/>
      <c r="R174" s="6">
        <v>11.1112</v>
      </c>
      <c r="S174" s="73">
        <v>11.196999999999999</v>
      </c>
      <c r="T174" s="73">
        <v>11.583</v>
      </c>
      <c r="U174" s="73">
        <v>11.340999999999999</v>
      </c>
      <c r="V174" s="73">
        <v>11.337999999999999</v>
      </c>
      <c r="W174" s="73">
        <v>11.263999999999999</v>
      </c>
      <c r="X174" s="73">
        <v>11.282</v>
      </c>
      <c r="Y174" s="73">
        <v>11.257</v>
      </c>
      <c r="Z174" s="6">
        <v>11.257</v>
      </c>
      <c r="AA174" s="6">
        <v>11.26</v>
      </c>
      <c r="AB174" s="73">
        <v>11.33</v>
      </c>
      <c r="AC174" s="73">
        <v>11.295999999999999</v>
      </c>
      <c r="AD174" s="73">
        <v>11.196999999999999</v>
      </c>
      <c r="AE174" s="73">
        <v>11.154</v>
      </c>
      <c r="AF174" s="73">
        <v>11.021000000000001</v>
      </c>
      <c r="AG174" s="73">
        <v>11.458</v>
      </c>
      <c r="AH174" s="6">
        <f t="shared" si="23"/>
        <v>11.2395</v>
      </c>
      <c r="AI174" s="9"/>
      <c r="AJ174" s="9"/>
      <c r="AK174" s="9"/>
      <c r="AL174" s="9"/>
      <c r="AM174" s="9"/>
      <c r="AN174" s="9"/>
      <c r="AO174" s="9"/>
      <c r="AP174" s="3"/>
      <c r="AQ174" s="8"/>
    </row>
    <row r="175" spans="1:43">
      <c r="A175" s="1">
        <f t="shared" si="18"/>
        <v>173</v>
      </c>
      <c r="B175" s="19"/>
      <c r="C175" s="1">
        <v>3</v>
      </c>
      <c r="D175" s="4">
        <f t="shared" si="17"/>
        <v>35</v>
      </c>
      <c r="E175" s="4" t="s">
        <v>86</v>
      </c>
      <c r="F175" s="4">
        <v>1</v>
      </c>
      <c r="G175" s="4" t="s">
        <v>14</v>
      </c>
      <c r="H175" s="4" t="s">
        <v>23</v>
      </c>
      <c r="I175" s="4"/>
      <c r="J175" s="5">
        <v>92.7</v>
      </c>
      <c r="K175" s="68"/>
      <c r="L175" s="85">
        <v>11.340999999999999</v>
      </c>
      <c r="M175" s="127" t="s">
        <v>438</v>
      </c>
      <c r="N175" s="4" t="s">
        <v>13</v>
      </c>
      <c r="O175" s="22">
        <v>11.343999999999996</v>
      </c>
      <c r="P175" s="1" t="s">
        <v>7</v>
      </c>
      <c r="Q175" s="3"/>
      <c r="R175" s="6">
        <v>11.189</v>
      </c>
      <c r="S175" s="73">
        <v>11.266999999999999</v>
      </c>
      <c r="T175" s="73">
        <v>11.648</v>
      </c>
      <c r="U175" s="73">
        <v>11.404999999999999</v>
      </c>
      <c r="V175" s="73">
        <v>11.401999999999999</v>
      </c>
      <c r="W175" s="73">
        <v>11.327</v>
      </c>
      <c r="X175" s="73">
        <v>11.345000000000001</v>
      </c>
      <c r="Y175" s="73">
        <v>11.319000000000001</v>
      </c>
      <c r="Z175" s="6">
        <v>11.319000000000001</v>
      </c>
      <c r="AA175" s="6">
        <v>11.321999999999999</v>
      </c>
      <c r="AB175" s="73">
        <v>11.407999999999999</v>
      </c>
      <c r="AC175" s="73">
        <v>11.372999999999999</v>
      </c>
      <c r="AD175" s="73">
        <v>11.266999999999999</v>
      </c>
      <c r="AE175" s="73">
        <v>11.231999999999999</v>
      </c>
      <c r="AF175" s="73">
        <v>11.077</v>
      </c>
      <c r="AG175" s="73">
        <v>11.526999999999999</v>
      </c>
      <c r="AH175" s="6">
        <f t="shared" si="23"/>
        <v>11.302</v>
      </c>
      <c r="AI175" s="9"/>
      <c r="AJ175" s="9"/>
      <c r="AK175" s="9"/>
      <c r="AL175" s="9"/>
      <c r="AM175" s="9"/>
      <c r="AN175" s="9"/>
      <c r="AO175" s="9"/>
      <c r="AP175" s="3"/>
      <c r="AQ175" s="8"/>
    </row>
    <row r="176" spans="1:43">
      <c r="A176" s="1">
        <f t="shared" si="18"/>
        <v>174</v>
      </c>
      <c r="B176" s="19"/>
      <c r="C176" s="1">
        <v>3</v>
      </c>
      <c r="D176" s="4">
        <f t="shared" si="17"/>
        <v>35</v>
      </c>
      <c r="E176" s="4" t="s">
        <v>295</v>
      </c>
      <c r="F176" s="4">
        <v>1</v>
      </c>
      <c r="G176" s="4" t="s">
        <v>14</v>
      </c>
      <c r="H176" s="4" t="s">
        <v>23</v>
      </c>
      <c r="I176" s="4"/>
      <c r="J176" s="5">
        <v>93</v>
      </c>
      <c r="K176" s="63">
        <v>9.4E-2</v>
      </c>
      <c r="L176" s="85">
        <v>11.576000000000001</v>
      </c>
      <c r="M176" s="127" t="s">
        <v>438</v>
      </c>
      <c r="N176" s="4" t="s">
        <v>13</v>
      </c>
      <c r="O176" s="22">
        <v>11.574</v>
      </c>
      <c r="P176" s="1" t="s">
        <v>7</v>
      </c>
      <c r="Q176" s="3"/>
      <c r="R176" s="4">
        <v>11.582000000000001</v>
      </c>
      <c r="S176" s="73">
        <v>11.548</v>
      </c>
      <c r="T176" s="73">
        <v>11.939</v>
      </c>
      <c r="U176" s="73">
        <v>11.617000000000001</v>
      </c>
      <c r="V176" s="73">
        <v>11.669</v>
      </c>
      <c r="W176" s="73">
        <v>11.571999999999999</v>
      </c>
      <c r="X176" s="73">
        <v>11.587999999999999</v>
      </c>
      <c r="Y176" s="73">
        <v>11.551</v>
      </c>
      <c r="Z176" s="6">
        <v>11.551</v>
      </c>
      <c r="AA176" s="6">
        <v>11.567</v>
      </c>
      <c r="AB176" s="73">
        <v>11.71</v>
      </c>
      <c r="AC176" s="73">
        <v>11.651</v>
      </c>
      <c r="AD176" s="73">
        <v>11.548</v>
      </c>
      <c r="AE176" s="73">
        <v>11.539</v>
      </c>
      <c r="AF176" s="73">
        <v>11.388999999999999</v>
      </c>
      <c r="AG176" s="73">
        <v>11.673999999999999</v>
      </c>
      <c r="AH176" s="6">
        <f t="shared" si="23"/>
        <v>11.531499999999999</v>
      </c>
      <c r="AI176" s="9"/>
      <c r="AJ176" s="9"/>
      <c r="AK176" s="9"/>
      <c r="AL176" s="9"/>
      <c r="AM176" s="9"/>
      <c r="AN176" s="9"/>
      <c r="AO176" s="9"/>
      <c r="AP176" s="3"/>
      <c r="AQ176" s="8"/>
    </row>
    <row r="177" spans="1:43">
      <c r="A177" s="1">
        <f t="shared" si="18"/>
        <v>175</v>
      </c>
      <c r="B177" s="19"/>
      <c r="C177" s="1">
        <v>3</v>
      </c>
      <c r="D177" s="4">
        <f t="shared" si="17"/>
        <v>35</v>
      </c>
      <c r="E177" s="4" t="s">
        <v>88</v>
      </c>
      <c r="F177" s="4">
        <v>1</v>
      </c>
      <c r="G177" s="4" t="s">
        <v>11</v>
      </c>
      <c r="H177" s="4" t="s">
        <v>17</v>
      </c>
      <c r="I177" s="4"/>
      <c r="J177" s="5">
        <v>90.1</v>
      </c>
      <c r="K177" s="63">
        <v>0.432</v>
      </c>
      <c r="L177" s="85">
        <v>12.417</v>
      </c>
      <c r="M177" s="127" t="s">
        <v>438</v>
      </c>
      <c r="N177" s="4" t="s">
        <v>13</v>
      </c>
      <c r="O177" s="22">
        <v>12.42</v>
      </c>
      <c r="P177" s="1" t="s">
        <v>7</v>
      </c>
      <c r="Q177" s="3"/>
      <c r="R177" s="6">
        <v>12.006</v>
      </c>
      <c r="S177" s="73">
        <v>12.263999999999999</v>
      </c>
      <c r="T177" s="73">
        <v>12.622999999999999</v>
      </c>
      <c r="U177" s="73">
        <v>12.177</v>
      </c>
      <c r="V177" s="73">
        <v>12.592000000000001</v>
      </c>
      <c r="W177" s="73">
        <v>12.443</v>
      </c>
      <c r="X177" s="73">
        <v>12.412000000000001</v>
      </c>
      <c r="Y177" s="73">
        <v>12.412000000000001</v>
      </c>
      <c r="Z177" s="6">
        <v>12.412000000000001</v>
      </c>
      <c r="AA177" s="6">
        <v>12.395</v>
      </c>
      <c r="AB177" s="73">
        <v>12.141999999999999</v>
      </c>
      <c r="AC177" s="73">
        <v>12.359</v>
      </c>
      <c r="AD177" s="73">
        <v>12.263999999999999</v>
      </c>
      <c r="AE177" s="73">
        <v>11.906000000000001</v>
      </c>
      <c r="AF177" s="73">
        <v>11.826000000000001</v>
      </c>
      <c r="AG177" s="73">
        <v>12.893000000000001</v>
      </c>
      <c r="AH177" s="6">
        <f t="shared" si="23"/>
        <v>12.359500000000001</v>
      </c>
      <c r="AI177" s="9"/>
      <c r="AJ177" s="9"/>
      <c r="AK177" s="9"/>
      <c r="AL177" s="9"/>
      <c r="AM177" s="9"/>
      <c r="AN177" s="9"/>
      <c r="AO177" s="9"/>
      <c r="AP177" s="3"/>
      <c r="AQ177" s="8"/>
    </row>
    <row r="178" spans="1:43">
      <c r="A178" s="1">
        <f t="shared" si="18"/>
        <v>176</v>
      </c>
      <c r="B178" s="19"/>
      <c r="C178" s="1">
        <v>3</v>
      </c>
      <c r="D178" s="4">
        <f t="shared" si="17"/>
        <v>35</v>
      </c>
      <c r="E178" s="4" t="s">
        <v>85</v>
      </c>
      <c r="F178" s="4">
        <v>3</v>
      </c>
      <c r="G178" s="4" t="s">
        <v>11</v>
      </c>
      <c r="H178" s="4" t="s">
        <v>17</v>
      </c>
      <c r="I178" s="4"/>
      <c r="J178" s="5">
        <v>98.2</v>
      </c>
      <c r="K178" s="68"/>
      <c r="L178" s="85">
        <v>8.0849999999999991</v>
      </c>
      <c r="M178" s="127" t="s">
        <v>117</v>
      </c>
      <c r="N178" s="4" t="s">
        <v>13</v>
      </c>
      <c r="O178" s="22">
        <v>8.102999999999998</v>
      </c>
      <c r="P178" s="1" t="s">
        <v>7</v>
      </c>
      <c r="Q178" s="3"/>
      <c r="R178" s="73">
        <v>8.2829999999999995</v>
      </c>
      <c r="S178" s="73">
        <v>8.3239999999999998</v>
      </c>
      <c r="T178" s="73">
        <v>8.3239999999999998</v>
      </c>
      <c r="U178" s="73">
        <v>8</v>
      </c>
      <c r="V178" s="73">
        <v>8.0060000000000002</v>
      </c>
      <c r="W178" s="14"/>
      <c r="X178" s="14"/>
      <c r="Y178" s="14"/>
      <c r="Z178" s="6">
        <v>8.1020000000000003</v>
      </c>
      <c r="AA178" s="6">
        <v>8.0619999999999994</v>
      </c>
      <c r="AB178" s="73">
        <v>8.1590000000000007</v>
      </c>
      <c r="AC178" s="73">
        <v>8.2520000000000007</v>
      </c>
      <c r="AD178" s="73">
        <v>8.2810000000000006</v>
      </c>
      <c r="AE178" s="73">
        <v>8.0030000000000001</v>
      </c>
      <c r="AF178" s="73">
        <v>8.1630000000000003</v>
      </c>
      <c r="AG178" s="73">
        <v>7.9279999999999999</v>
      </c>
      <c r="AH178" s="6">
        <f t="shared" si="23"/>
        <v>8.0455000000000005</v>
      </c>
      <c r="AI178" s="9"/>
      <c r="AJ178" s="9"/>
      <c r="AK178" s="9"/>
      <c r="AL178" s="9"/>
      <c r="AM178" s="9"/>
      <c r="AN178" s="9"/>
      <c r="AO178" s="9"/>
      <c r="AP178" s="3"/>
      <c r="AQ178" s="8"/>
    </row>
    <row r="179" spans="1:43">
      <c r="A179" s="1">
        <f t="shared" si="18"/>
        <v>177</v>
      </c>
      <c r="B179" s="19"/>
      <c r="C179" s="1">
        <v>3</v>
      </c>
      <c r="D179" s="4">
        <f t="shared" si="17"/>
        <v>35</v>
      </c>
      <c r="E179" s="4" t="s">
        <v>296</v>
      </c>
      <c r="F179" s="4">
        <v>3</v>
      </c>
      <c r="G179" s="4" t="s">
        <v>14</v>
      </c>
      <c r="H179" s="4" t="s">
        <v>22</v>
      </c>
      <c r="I179" s="4"/>
      <c r="J179" s="5">
        <v>97.5</v>
      </c>
      <c r="K179" s="68"/>
      <c r="L179" s="85">
        <v>8.6340000000000003</v>
      </c>
      <c r="M179" s="127" t="s">
        <v>117</v>
      </c>
      <c r="N179" s="4" t="s">
        <v>13</v>
      </c>
      <c r="O179" s="22">
        <v>8.6850000000000005</v>
      </c>
      <c r="P179" s="1" t="s">
        <v>7</v>
      </c>
      <c r="Q179" s="3"/>
      <c r="R179" s="1">
        <v>8.5630000000000006</v>
      </c>
      <c r="S179" s="73">
        <v>8.5660000000000007</v>
      </c>
      <c r="T179" s="73">
        <v>8.89</v>
      </c>
      <c r="U179" s="1">
        <v>8.6170000000000009</v>
      </c>
      <c r="V179" s="73">
        <v>8.6850000000000005</v>
      </c>
      <c r="W179" s="14"/>
      <c r="X179" s="14"/>
      <c r="Y179" s="14"/>
      <c r="Z179" s="6">
        <v>8.6270000000000007</v>
      </c>
      <c r="AA179" s="6">
        <v>8.6150000000000002</v>
      </c>
      <c r="AB179" s="1">
        <v>8.8539999999999992</v>
      </c>
      <c r="AC179" s="1">
        <v>8.8680000000000003</v>
      </c>
      <c r="AD179" s="1">
        <v>8.7669999999999995</v>
      </c>
      <c r="AE179" s="1">
        <v>8.6769999999999996</v>
      </c>
      <c r="AF179" s="1">
        <v>8.5340000000000007</v>
      </c>
      <c r="AG179" s="1">
        <v>8.7759999999999998</v>
      </c>
      <c r="AH179" s="6">
        <f t="shared" si="23"/>
        <v>8.6550000000000011</v>
      </c>
      <c r="AI179" s="9"/>
      <c r="AJ179" s="9"/>
      <c r="AK179" s="9"/>
      <c r="AL179" s="9"/>
      <c r="AM179" s="9"/>
      <c r="AN179" s="9"/>
      <c r="AO179" s="9"/>
      <c r="AP179" s="3"/>
      <c r="AQ179" s="8"/>
    </row>
    <row r="180" spans="1:43">
      <c r="A180" s="1">
        <f t="shared" si="18"/>
        <v>178</v>
      </c>
      <c r="B180" s="19"/>
      <c r="C180" s="1">
        <v>3</v>
      </c>
      <c r="D180" s="4">
        <f t="shared" si="17"/>
        <v>35</v>
      </c>
      <c r="E180" s="4" t="s">
        <v>227</v>
      </c>
      <c r="F180" s="4">
        <v>3</v>
      </c>
      <c r="G180" s="4" t="s">
        <v>11</v>
      </c>
      <c r="H180" s="4" t="s">
        <v>17</v>
      </c>
      <c r="I180" s="4"/>
      <c r="J180" s="5">
        <v>97.9</v>
      </c>
      <c r="K180" s="68"/>
      <c r="L180" s="85">
        <v>8.6170000000000009</v>
      </c>
      <c r="M180" s="127" t="s">
        <v>117</v>
      </c>
      <c r="N180" s="4" t="s">
        <v>13</v>
      </c>
      <c r="O180" s="22">
        <v>8.6229999999999993</v>
      </c>
      <c r="P180" s="1" t="s">
        <v>7</v>
      </c>
      <c r="Q180" s="3"/>
      <c r="R180" s="73">
        <v>8.8190000000000008</v>
      </c>
      <c r="S180" s="73">
        <v>8.8919999999999995</v>
      </c>
      <c r="T180" s="73">
        <v>8.8689999999999998</v>
      </c>
      <c r="U180" s="73">
        <v>8.5329999999999995</v>
      </c>
      <c r="V180" s="73">
        <v>8.6059999999999999</v>
      </c>
      <c r="W180" s="14"/>
      <c r="X180" s="14"/>
      <c r="Y180" s="14"/>
      <c r="Z180" s="6">
        <v>8.6489999999999991</v>
      </c>
      <c r="AA180" s="6">
        <v>8.6069999999999993</v>
      </c>
      <c r="AB180" s="73">
        <v>8.7940000000000005</v>
      </c>
      <c r="AC180" s="73">
        <v>8.9499999999999993</v>
      </c>
      <c r="AD180" s="73">
        <v>8.93</v>
      </c>
      <c r="AE180" s="73">
        <v>8.5950000000000006</v>
      </c>
      <c r="AF180" s="73">
        <v>8.7050000000000001</v>
      </c>
      <c r="AG180" s="73">
        <v>8.4830000000000005</v>
      </c>
      <c r="AH180" s="6">
        <f t="shared" si="23"/>
        <v>8.5940000000000012</v>
      </c>
      <c r="AI180" s="9"/>
      <c r="AJ180" s="9"/>
      <c r="AK180" s="9"/>
      <c r="AL180" s="9"/>
      <c r="AM180" s="9"/>
      <c r="AN180" s="9"/>
      <c r="AO180" s="9"/>
      <c r="AP180" s="3"/>
      <c r="AQ180" s="8"/>
    </row>
    <row r="181" spans="1:43">
      <c r="A181" s="1">
        <f t="shared" si="18"/>
        <v>179</v>
      </c>
      <c r="B181" s="19"/>
      <c r="C181" s="1">
        <v>3</v>
      </c>
      <c r="D181" s="4">
        <f t="shared" si="17"/>
        <v>35</v>
      </c>
      <c r="E181" s="4" t="s">
        <v>228</v>
      </c>
      <c r="F181" s="4">
        <v>3</v>
      </c>
      <c r="G181" s="4" t="s">
        <v>11</v>
      </c>
      <c r="H181" s="4" t="s">
        <v>17</v>
      </c>
      <c r="I181" s="4"/>
      <c r="J181" s="5">
        <v>97.5</v>
      </c>
      <c r="K181" s="68"/>
      <c r="L181" s="85">
        <v>8.9930000000000021</v>
      </c>
      <c r="M181" s="127" t="s">
        <v>117</v>
      </c>
      <c r="N181" s="4" t="s">
        <v>13</v>
      </c>
      <c r="O181" s="22">
        <v>8.9970000000000034</v>
      </c>
      <c r="P181" s="1" t="s">
        <v>7</v>
      </c>
      <c r="Q181" s="3"/>
      <c r="R181" s="1">
        <v>9.2129999999999992</v>
      </c>
      <c r="S181" s="73">
        <v>9.3219999999999992</v>
      </c>
      <c r="T181" s="73">
        <v>9.2840000000000007</v>
      </c>
      <c r="U181" s="73">
        <v>8.6950000000000003</v>
      </c>
      <c r="V181" s="73">
        <v>9.0419999999999998</v>
      </c>
      <c r="W181" s="14"/>
      <c r="X181" s="14"/>
      <c r="Y181" s="14"/>
      <c r="Z181" s="6">
        <v>9.0289999999999999</v>
      </c>
      <c r="AA181" s="6">
        <v>8.9920000000000009</v>
      </c>
      <c r="AB181" s="73">
        <v>9.1470000000000002</v>
      </c>
      <c r="AC181" s="73">
        <v>9.3119999999999994</v>
      </c>
      <c r="AD181" s="73">
        <v>9.3160000000000007</v>
      </c>
      <c r="AE181" s="73">
        <v>8.9269999999999996</v>
      </c>
      <c r="AF181" s="73">
        <v>9.1170000000000009</v>
      </c>
      <c r="AG181" s="73">
        <v>8.8930000000000007</v>
      </c>
      <c r="AH181" s="6">
        <f t="shared" si="23"/>
        <v>9.0050000000000008</v>
      </c>
      <c r="AI181" s="9"/>
      <c r="AJ181" s="9"/>
      <c r="AK181" s="9"/>
      <c r="AL181" s="9"/>
      <c r="AM181" s="9"/>
      <c r="AN181" s="9"/>
      <c r="AO181" s="9"/>
      <c r="AP181" s="3"/>
      <c r="AQ181" s="8"/>
    </row>
    <row r="182" spans="1:43">
      <c r="A182" s="1">
        <f t="shared" si="18"/>
        <v>180</v>
      </c>
      <c r="B182" s="2" t="s">
        <v>318</v>
      </c>
      <c r="C182" s="1">
        <v>4</v>
      </c>
      <c r="D182" s="4">
        <f t="shared" si="17"/>
        <v>35</v>
      </c>
      <c r="E182" s="4" t="s">
        <v>131</v>
      </c>
      <c r="F182" s="4">
        <v>1</v>
      </c>
      <c r="G182" s="4" t="s">
        <v>11</v>
      </c>
      <c r="H182" s="4" t="s">
        <v>12</v>
      </c>
      <c r="I182" s="4"/>
      <c r="J182" s="12">
        <v>91</v>
      </c>
      <c r="K182" s="68"/>
      <c r="L182" s="85">
        <v>7.2</v>
      </c>
      <c r="M182" s="127" t="s">
        <v>323</v>
      </c>
      <c r="N182" s="4" t="s">
        <v>13</v>
      </c>
      <c r="O182" s="22">
        <v>7.2029999999999976</v>
      </c>
      <c r="P182" s="1" t="s">
        <v>7</v>
      </c>
      <c r="Q182" s="3"/>
      <c r="R182" s="22">
        <v>7.1740000000000004</v>
      </c>
      <c r="S182" s="22">
        <v>7.2510000000000003</v>
      </c>
      <c r="T182" s="22">
        <v>7.3330000000000002</v>
      </c>
      <c r="U182" s="22">
        <v>7.03</v>
      </c>
      <c r="V182" s="22">
        <v>7.274</v>
      </c>
      <c r="W182" s="22">
        <v>7.218</v>
      </c>
      <c r="X182" s="22">
        <v>7.2220000000000004</v>
      </c>
      <c r="Y182" s="22">
        <v>7.2359999999999998</v>
      </c>
      <c r="Z182" s="22">
        <v>7.2110000000000003</v>
      </c>
      <c r="AA182" s="34">
        <v>7.2350000000000003</v>
      </c>
      <c r="AB182" s="22">
        <v>7.1559999999999997</v>
      </c>
      <c r="AC182" s="22">
        <v>7.3479999999999999</v>
      </c>
      <c r="AD182" s="22">
        <v>7.3170000000000002</v>
      </c>
      <c r="AE182" s="22">
        <v>6.9139999999999997</v>
      </c>
      <c r="AF182" s="22">
        <v>7.016</v>
      </c>
      <c r="AG182" s="22">
        <v>7.3470000000000004</v>
      </c>
      <c r="AH182" s="6">
        <f t="shared" si="23"/>
        <v>7.1814999999999998</v>
      </c>
      <c r="AI182" s="9"/>
      <c r="AJ182" s="9"/>
      <c r="AK182" s="9"/>
      <c r="AL182" s="9"/>
      <c r="AM182" s="9"/>
      <c r="AN182" s="9"/>
      <c r="AO182" s="9"/>
      <c r="AP182" s="3"/>
      <c r="AQ182" s="8"/>
    </row>
    <row r="183" spans="1:43">
      <c r="A183" s="1">
        <f t="shared" si="18"/>
        <v>181</v>
      </c>
      <c r="B183" s="19"/>
      <c r="C183" s="1">
        <v>4</v>
      </c>
      <c r="D183" s="4">
        <f t="shared" si="17"/>
        <v>35</v>
      </c>
      <c r="E183" s="4" t="s">
        <v>137</v>
      </c>
      <c r="F183" s="4">
        <v>1</v>
      </c>
      <c r="G183" s="4" t="s">
        <v>14</v>
      </c>
      <c r="H183" s="4" t="s">
        <v>15</v>
      </c>
      <c r="I183" s="4"/>
      <c r="J183" s="12">
        <v>90.9</v>
      </c>
      <c r="K183" s="63">
        <v>4.1000000000000002E-2</v>
      </c>
      <c r="L183" s="85">
        <v>7.6459999999999999</v>
      </c>
      <c r="M183" s="127" t="s">
        <v>323</v>
      </c>
      <c r="N183" s="4" t="s">
        <v>13</v>
      </c>
      <c r="O183" s="22">
        <v>7.7069999999999999</v>
      </c>
      <c r="P183" s="1" t="s">
        <v>7</v>
      </c>
      <c r="Q183" s="3"/>
      <c r="R183" s="22">
        <v>7.117</v>
      </c>
      <c r="S183" s="22">
        <v>7.2309999999999999</v>
      </c>
      <c r="T183" s="22">
        <v>7.8879999999999999</v>
      </c>
      <c r="U183" s="22">
        <v>7.7229999999999999</v>
      </c>
      <c r="V183" s="22">
        <v>7.8</v>
      </c>
      <c r="W183" s="22">
        <v>7.6639999999999997</v>
      </c>
      <c r="X183" s="22">
        <v>7.6639999999999997</v>
      </c>
      <c r="Y183" s="22">
        <v>7.6909999999999998</v>
      </c>
      <c r="Z183" s="22">
        <v>7.6130000000000004</v>
      </c>
      <c r="AA183" s="34">
        <v>7.4939999999999998</v>
      </c>
      <c r="AB183" s="22">
        <v>7.7480000000000002</v>
      </c>
      <c r="AC183" s="22">
        <v>7.7809999999999997</v>
      </c>
      <c r="AD183" s="22">
        <v>7.5979999999999999</v>
      </c>
      <c r="AE183" s="22">
        <v>7.5419999999999998</v>
      </c>
      <c r="AF183" s="22">
        <v>7.2069999999999999</v>
      </c>
      <c r="AG183" s="22">
        <v>8.1259999999999994</v>
      </c>
      <c r="AH183" s="6">
        <f t="shared" si="23"/>
        <v>7.6664999999999992</v>
      </c>
      <c r="AI183" s="9"/>
      <c r="AJ183" s="9"/>
      <c r="AK183" s="9"/>
      <c r="AL183" s="9"/>
      <c r="AM183" s="9"/>
      <c r="AN183" s="9"/>
      <c r="AO183" s="9"/>
      <c r="AP183" s="3"/>
      <c r="AQ183" s="8"/>
    </row>
    <row r="184" spans="1:43">
      <c r="A184" s="1">
        <f t="shared" si="18"/>
        <v>182</v>
      </c>
      <c r="B184" s="19"/>
      <c r="C184" s="86">
        <v>4</v>
      </c>
      <c r="D184" s="4">
        <f t="shared" si="17"/>
        <v>35</v>
      </c>
      <c r="E184" s="4" t="s">
        <v>128</v>
      </c>
      <c r="F184" s="4">
        <v>1</v>
      </c>
      <c r="G184" s="4" t="s">
        <v>14</v>
      </c>
      <c r="H184" s="4" t="s">
        <v>22</v>
      </c>
      <c r="I184" s="4"/>
      <c r="J184" s="12">
        <v>91.2</v>
      </c>
      <c r="K184" s="68"/>
      <c r="L184" s="85">
        <v>8.2319999999999993</v>
      </c>
      <c r="M184" s="127" t="s">
        <v>323</v>
      </c>
      <c r="N184" s="4" t="s">
        <v>13</v>
      </c>
      <c r="O184" s="22">
        <v>8.291999999999998</v>
      </c>
      <c r="P184" s="1" t="s">
        <v>7</v>
      </c>
      <c r="Q184" s="3"/>
      <c r="R184" s="22">
        <v>8.0860000000000003</v>
      </c>
      <c r="S184" s="22">
        <v>8.1129999999999995</v>
      </c>
      <c r="T184" s="22">
        <v>8.5150000000000006</v>
      </c>
      <c r="U184" s="22">
        <v>8.3070000000000004</v>
      </c>
      <c r="V184" s="22">
        <v>8.3789999999999996</v>
      </c>
      <c r="W184" s="22">
        <v>8.2550000000000008</v>
      </c>
      <c r="X184" s="22">
        <v>8.2590000000000003</v>
      </c>
      <c r="Y184" s="22">
        <v>8.2739999999999991</v>
      </c>
      <c r="Z184" s="22">
        <v>8.2119999999999997</v>
      </c>
      <c r="AA184" s="22">
        <v>8.1010000000000009</v>
      </c>
      <c r="AB184" s="22">
        <v>8.4369999999999994</v>
      </c>
      <c r="AC184" s="22">
        <v>8.4410000000000007</v>
      </c>
      <c r="AD184" s="22">
        <v>8.3320000000000007</v>
      </c>
      <c r="AE184" s="22">
        <v>8.2509999999999994</v>
      </c>
      <c r="AF184" s="22">
        <v>8.1059999999999999</v>
      </c>
      <c r="AG184" s="22">
        <v>8.4380000000000006</v>
      </c>
      <c r="AH184" s="6">
        <f t="shared" si="23"/>
        <v>8.2720000000000002</v>
      </c>
      <c r="AI184" s="9"/>
      <c r="AJ184" s="9"/>
      <c r="AK184" s="9"/>
      <c r="AL184" s="9"/>
      <c r="AM184" s="9"/>
      <c r="AN184" s="9"/>
      <c r="AO184" s="9"/>
      <c r="AP184" s="3"/>
      <c r="AQ184" s="8"/>
    </row>
    <row r="185" spans="1:43">
      <c r="A185" s="1">
        <f t="shared" si="18"/>
        <v>183</v>
      </c>
      <c r="B185" s="19"/>
      <c r="C185" s="1">
        <v>4</v>
      </c>
      <c r="D185" s="4">
        <f t="shared" si="17"/>
        <v>35</v>
      </c>
      <c r="E185" s="4" t="s">
        <v>118</v>
      </c>
      <c r="F185" s="4">
        <v>1</v>
      </c>
      <c r="G185" s="4" t="s">
        <v>14</v>
      </c>
      <c r="H185" s="4" t="s">
        <v>16</v>
      </c>
      <c r="I185" s="4"/>
      <c r="J185" s="12">
        <v>90.8</v>
      </c>
      <c r="K185" s="63">
        <v>2.7E-2</v>
      </c>
      <c r="L185" s="85">
        <v>8.5589999999999993</v>
      </c>
      <c r="M185" s="127" t="s">
        <v>323</v>
      </c>
      <c r="N185" s="4" t="s">
        <v>13</v>
      </c>
      <c r="O185" s="22">
        <v>8.602999999999998</v>
      </c>
      <c r="P185" s="1" t="s">
        <v>7</v>
      </c>
      <c r="Q185" s="3"/>
      <c r="R185" s="22">
        <v>8.3650000000000002</v>
      </c>
      <c r="S185" s="22">
        <v>8.1679999999999993</v>
      </c>
      <c r="T185" s="22">
        <v>8.8170000000000002</v>
      </c>
      <c r="U185" s="22">
        <v>8.5009999999999994</v>
      </c>
      <c r="V185" s="22">
        <v>8.7129999999999992</v>
      </c>
      <c r="W185" s="22">
        <v>8.59</v>
      </c>
      <c r="X185" s="22">
        <v>8.5860000000000003</v>
      </c>
      <c r="Y185" s="22">
        <v>8.6029999999999998</v>
      </c>
      <c r="Z185" s="22">
        <v>8.5289999999999999</v>
      </c>
      <c r="AA185" s="22">
        <v>8.4440000000000008</v>
      </c>
      <c r="AB185" s="22">
        <v>8.6189999999999998</v>
      </c>
      <c r="AC185" s="22">
        <v>8.6760000000000002</v>
      </c>
      <c r="AD185" s="22">
        <v>8.5139999999999993</v>
      </c>
      <c r="AE185" s="22">
        <v>8.4039999999999999</v>
      </c>
      <c r="AF185" s="22">
        <v>8.14</v>
      </c>
      <c r="AG185" s="22">
        <v>8.9079999999999995</v>
      </c>
      <c r="AH185" s="6">
        <f t="shared" si="23"/>
        <v>8.5240000000000009</v>
      </c>
      <c r="AI185" s="9"/>
      <c r="AJ185" s="9"/>
      <c r="AK185" s="9"/>
      <c r="AL185" s="9"/>
      <c r="AM185" s="9"/>
      <c r="AN185" s="9"/>
      <c r="AO185" s="9"/>
      <c r="AP185" s="3"/>
      <c r="AQ185" s="8"/>
    </row>
    <row r="186" spans="1:43">
      <c r="A186" s="1">
        <f t="shared" si="18"/>
        <v>184</v>
      </c>
      <c r="B186" s="19"/>
      <c r="C186" s="1">
        <v>4</v>
      </c>
      <c r="D186" s="4">
        <f t="shared" si="17"/>
        <v>35</v>
      </c>
      <c r="E186" s="4" t="s">
        <v>131</v>
      </c>
      <c r="F186" s="4">
        <v>1</v>
      </c>
      <c r="G186" s="4" t="s">
        <v>14</v>
      </c>
      <c r="H186" s="4" t="s">
        <v>170</v>
      </c>
      <c r="I186" s="4"/>
      <c r="J186" s="12">
        <v>92.4</v>
      </c>
      <c r="K186" s="63">
        <v>1E-3</v>
      </c>
      <c r="L186" s="85">
        <v>8.8689999999999998</v>
      </c>
      <c r="M186" s="127" t="s">
        <v>323</v>
      </c>
      <c r="N186" s="4" t="s">
        <v>13</v>
      </c>
      <c r="O186" s="22">
        <v>8.9260000000000002</v>
      </c>
      <c r="P186" s="1" t="s">
        <v>7</v>
      </c>
      <c r="Q186" s="3"/>
      <c r="R186" s="14"/>
      <c r="S186" s="22">
        <v>8.6649999999999991</v>
      </c>
      <c r="T186" s="22">
        <v>9.1020000000000003</v>
      </c>
      <c r="U186" s="22">
        <v>8.92</v>
      </c>
      <c r="V186" s="22">
        <v>8.9749999999999996</v>
      </c>
      <c r="W186" s="22">
        <v>8.875</v>
      </c>
      <c r="X186" s="22">
        <v>8.8800000000000008</v>
      </c>
      <c r="Y186" s="22">
        <v>8.9939999999999998</v>
      </c>
      <c r="Z186" s="22">
        <v>8.8409999999999993</v>
      </c>
      <c r="AA186" s="22">
        <v>8.7319999999999993</v>
      </c>
      <c r="AB186" s="22">
        <v>9.0060000000000002</v>
      </c>
      <c r="AC186" s="22">
        <v>8.9770000000000003</v>
      </c>
      <c r="AD186" s="22">
        <v>8.8729999999999993</v>
      </c>
      <c r="AE186" s="22">
        <v>8.8239999999999998</v>
      </c>
      <c r="AF186" s="22">
        <v>8.6910000000000007</v>
      </c>
      <c r="AG186" s="22">
        <v>9.0329999999999995</v>
      </c>
      <c r="AH186" s="6">
        <f t="shared" si="23"/>
        <v>8.8620000000000001</v>
      </c>
      <c r="AI186" s="9"/>
      <c r="AJ186" s="9"/>
      <c r="AK186" s="9"/>
      <c r="AL186" s="9"/>
      <c r="AM186" s="9"/>
      <c r="AN186" s="9"/>
      <c r="AO186" s="9"/>
      <c r="AP186" s="3"/>
      <c r="AQ186" s="8"/>
    </row>
    <row r="187" spans="1:43">
      <c r="A187" s="1">
        <f t="shared" si="18"/>
        <v>185</v>
      </c>
      <c r="B187" s="19"/>
      <c r="C187" s="1">
        <v>4</v>
      </c>
      <c r="D187" s="4">
        <f t="shared" si="17"/>
        <v>35</v>
      </c>
      <c r="E187" s="4" t="s">
        <v>118</v>
      </c>
      <c r="F187" s="4">
        <v>1</v>
      </c>
      <c r="G187" s="4" t="s">
        <v>11</v>
      </c>
      <c r="H187" s="4" t="s">
        <v>17</v>
      </c>
      <c r="I187" s="4"/>
      <c r="J187" s="12">
        <v>90.6</v>
      </c>
      <c r="K187" s="63">
        <v>0.182</v>
      </c>
      <c r="L187" s="85">
        <v>9.2509999999999994</v>
      </c>
      <c r="M187" s="127" t="s">
        <v>323</v>
      </c>
      <c r="N187" s="4" t="s">
        <v>13</v>
      </c>
      <c r="O187" s="22">
        <v>9.261000000000001</v>
      </c>
      <c r="P187" s="1" t="s">
        <v>7</v>
      </c>
      <c r="Q187" s="3"/>
      <c r="R187" s="22">
        <v>8.7260000000000009</v>
      </c>
      <c r="S187" s="22">
        <v>9.1210000000000004</v>
      </c>
      <c r="T187" s="22">
        <v>9.4160000000000004</v>
      </c>
      <c r="U187" s="22">
        <v>9.1359999999999992</v>
      </c>
      <c r="V187" s="22">
        <v>9.3810000000000002</v>
      </c>
      <c r="W187" s="22">
        <v>9.2720000000000002</v>
      </c>
      <c r="X187" s="22">
        <v>9.2650000000000006</v>
      </c>
      <c r="Y187" s="22">
        <v>9.298</v>
      </c>
      <c r="Z187" s="22">
        <v>9.2449999999999992</v>
      </c>
      <c r="AA187" s="22">
        <v>9.2479999999999993</v>
      </c>
      <c r="AB187" s="22">
        <v>9.1199999999999992</v>
      </c>
      <c r="AC187" s="22">
        <v>9.2829999999999995</v>
      </c>
      <c r="AD187" s="22">
        <v>9.2240000000000002</v>
      </c>
      <c r="AE187" s="22">
        <v>8.8870000000000005</v>
      </c>
      <c r="AF187" s="22">
        <v>8.9209999999999994</v>
      </c>
      <c r="AG187" s="22">
        <v>9.5619999999999994</v>
      </c>
      <c r="AH187" s="6">
        <f t="shared" si="23"/>
        <v>9.2414999999999985</v>
      </c>
      <c r="AI187" s="9"/>
      <c r="AJ187" s="9"/>
      <c r="AK187" s="9"/>
      <c r="AL187" s="9"/>
      <c r="AM187" s="9"/>
      <c r="AN187" s="9"/>
      <c r="AO187" s="9"/>
      <c r="AP187" s="3"/>
      <c r="AQ187" s="8"/>
    </row>
    <row r="188" spans="1:43">
      <c r="A188" s="1">
        <f t="shared" si="18"/>
        <v>186</v>
      </c>
      <c r="B188" s="19"/>
      <c r="C188" s="1">
        <v>4</v>
      </c>
      <c r="D188" s="4">
        <f t="shared" si="17"/>
        <v>35</v>
      </c>
      <c r="E188" s="4" t="s">
        <v>130</v>
      </c>
      <c r="F188" s="4">
        <v>3</v>
      </c>
      <c r="G188" s="4" t="s">
        <v>11</v>
      </c>
      <c r="H188" s="4" t="s">
        <v>12</v>
      </c>
      <c r="I188" s="4"/>
      <c r="J188" s="12">
        <v>97.5</v>
      </c>
      <c r="K188" s="68"/>
      <c r="L188" s="85">
        <v>6.9880000000000004</v>
      </c>
      <c r="M188" s="127" t="s">
        <v>99</v>
      </c>
      <c r="N188" s="4" t="s">
        <v>13</v>
      </c>
      <c r="O188" s="22">
        <v>6.9940000000000015</v>
      </c>
      <c r="P188" s="1" t="s">
        <v>7</v>
      </c>
      <c r="Q188" s="3"/>
      <c r="R188" s="22">
        <v>6.9909999999999997</v>
      </c>
      <c r="S188" s="22">
        <v>7.0350000000000001</v>
      </c>
      <c r="T188" s="22">
        <v>7.1120000000000001</v>
      </c>
      <c r="U188" s="22">
        <v>6.8650000000000002</v>
      </c>
      <c r="V188" s="22">
        <v>7.0330000000000004</v>
      </c>
      <c r="W188" s="14"/>
      <c r="X188" s="14"/>
      <c r="Y188" s="14"/>
      <c r="Z188" s="22">
        <v>7.06</v>
      </c>
      <c r="AA188" s="14"/>
      <c r="AB188" s="22">
        <v>7.0380000000000003</v>
      </c>
      <c r="AC188" s="22">
        <v>7.2140000000000004</v>
      </c>
      <c r="AD188" s="22">
        <v>7.1550000000000002</v>
      </c>
      <c r="AE188" s="22">
        <v>6.8140000000000001</v>
      </c>
      <c r="AF188" s="22">
        <v>6.8179999999999996</v>
      </c>
      <c r="AG188" s="22">
        <v>7.0990000000000002</v>
      </c>
      <c r="AH188" s="6">
        <f t="shared" si="23"/>
        <v>6.9584999999999999</v>
      </c>
      <c r="AI188" s="9"/>
      <c r="AJ188" s="9"/>
      <c r="AK188" s="9"/>
      <c r="AL188" s="9"/>
      <c r="AM188" s="9"/>
      <c r="AN188" s="9"/>
      <c r="AO188" s="9"/>
      <c r="AP188" s="3"/>
      <c r="AQ188" s="8"/>
    </row>
    <row r="189" spans="1:43">
      <c r="A189" s="1">
        <f t="shared" si="18"/>
        <v>187</v>
      </c>
      <c r="B189" s="19"/>
      <c r="C189" s="1">
        <v>4</v>
      </c>
      <c r="D189" s="4">
        <f t="shared" si="17"/>
        <v>35</v>
      </c>
      <c r="E189" s="4" t="s">
        <v>143</v>
      </c>
      <c r="F189" s="4">
        <v>3</v>
      </c>
      <c r="G189" s="4" t="s">
        <v>11</v>
      </c>
      <c r="H189" s="4" t="s">
        <v>17</v>
      </c>
      <c r="I189" s="4"/>
      <c r="J189" s="12">
        <v>98.2</v>
      </c>
      <c r="K189" s="68"/>
      <c r="L189" s="85">
        <v>7.3680000000000003</v>
      </c>
      <c r="M189" s="127" t="s">
        <v>99</v>
      </c>
      <c r="N189" s="4" t="s">
        <v>13</v>
      </c>
      <c r="O189" s="22">
        <v>7.3810000000000002</v>
      </c>
      <c r="P189" s="1" t="s">
        <v>7</v>
      </c>
      <c r="Q189" s="3"/>
      <c r="R189" s="22">
        <v>7.6210000000000004</v>
      </c>
      <c r="S189" s="22">
        <v>7.5579999999999998</v>
      </c>
      <c r="T189" s="22">
        <v>7.52</v>
      </c>
      <c r="U189" s="22">
        <v>7.2130000000000001</v>
      </c>
      <c r="V189" s="22">
        <v>7.3369999999999997</v>
      </c>
      <c r="W189" s="14"/>
      <c r="X189" s="14"/>
      <c r="Y189" s="14"/>
      <c r="Z189" s="22">
        <v>7.4020000000000001</v>
      </c>
      <c r="AA189" s="14"/>
      <c r="AB189" s="22">
        <v>7.4909999999999997</v>
      </c>
      <c r="AC189" s="22">
        <v>7.5970000000000004</v>
      </c>
      <c r="AD189" s="22">
        <v>7.5880000000000001</v>
      </c>
      <c r="AE189" s="22">
        <v>7.3179999999999996</v>
      </c>
      <c r="AF189" s="22">
        <v>7.4009999999999998</v>
      </c>
      <c r="AG189" s="22">
        <v>7.266</v>
      </c>
      <c r="AH189" s="6">
        <f t="shared" si="23"/>
        <v>7.3334999999999999</v>
      </c>
      <c r="AI189" s="9"/>
      <c r="AJ189" s="9"/>
      <c r="AK189" s="9"/>
      <c r="AL189" s="9"/>
      <c r="AM189" s="9"/>
      <c r="AN189" s="9"/>
      <c r="AO189" s="9"/>
      <c r="AP189" s="3"/>
      <c r="AQ189" s="8"/>
    </row>
    <row r="190" spans="1:43">
      <c r="A190" s="1">
        <f t="shared" si="18"/>
        <v>188</v>
      </c>
      <c r="B190" s="19"/>
      <c r="C190" s="1">
        <v>4</v>
      </c>
      <c r="D190" s="4">
        <f t="shared" si="17"/>
        <v>35</v>
      </c>
      <c r="E190" s="4" t="s">
        <v>142</v>
      </c>
      <c r="F190" s="4">
        <v>3</v>
      </c>
      <c r="G190" s="4" t="s">
        <v>14</v>
      </c>
      <c r="H190" s="4" t="s">
        <v>15</v>
      </c>
      <c r="I190" s="4"/>
      <c r="J190" s="12">
        <v>96.6</v>
      </c>
      <c r="K190" s="68"/>
      <c r="L190" s="85">
        <v>7.4809999999999999</v>
      </c>
      <c r="M190" s="127" t="s">
        <v>99</v>
      </c>
      <c r="N190" s="4" t="s">
        <v>13</v>
      </c>
      <c r="O190" s="22">
        <v>7.5419999999999998</v>
      </c>
      <c r="P190" s="1" t="s">
        <v>7</v>
      </c>
      <c r="Q190" s="3"/>
      <c r="R190" s="22">
        <v>7.1120000000000001</v>
      </c>
      <c r="S190" s="22">
        <v>7.1369999999999996</v>
      </c>
      <c r="T190" s="22">
        <v>7.7409999999999997</v>
      </c>
      <c r="U190" s="22">
        <v>7.641</v>
      </c>
      <c r="V190" s="22">
        <v>7.649</v>
      </c>
      <c r="W190" s="14"/>
      <c r="X190" s="14"/>
      <c r="Y190" s="14"/>
      <c r="Z190" s="22">
        <v>7.4909999999999997</v>
      </c>
      <c r="AA190" s="14"/>
      <c r="AB190" s="22">
        <v>7.67</v>
      </c>
      <c r="AC190" s="22">
        <v>7.7039999999999997</v>
      </c>
      <c r="AD190" s="22">
        <v>7.516</v>
      </c>
      <c r="AE190" s="22">
        <v>7.4710000000000001</v>
      </c>
      <c r="AF190" s="22">
        <v>7.1130000000000004</v>
      </c>
      <c r="AG190" s="22">
        <v>7.9539999999999997</v>
      </c>
      <c r="AH190" s="6">
        <f t="shared" si="23"/>
        <v>7.5335000000000001</v>
      </c>
      <c r="AI190" s="9"/>
      <c r="AJ190" s="9"/>
      <c r="AK190" s="9"/>
      <c r="AL190" s="9"/>
      <c r="AM190" s="9"/>
      <c r="AN190" s="9"/>
      <c r="AO190" s="9"/>
      <c r="AP190" s="3"/>
      <c r="AQ190" s="8"/>
    </row>
    <row r="191" spans="1:43">
      <c r="A191" s="1">
        <f t="shared" si="18"/>
        <v>189</v>
      </c>
      <c r="B191" s="19"/>
      <c r="C191" s="1">
        <v>4</v>
      </c>
      <c r="D191" s="4">
        <f t="shared" si="17"/>
        <v>35</v>
      </c>
      <c r="E191" s="4" t="s">
        <v>129</v>
      </c>
      <c r="F191" s="4">
        <v>3</v>
      </c>
      <c r="G191" s="4" t="s">
        <v>14</v>
      </c>
      <c r="H191" s="4" t="s">
        <v>22</v>
      </c>
      <c r="I191" s="4"/>
      <c r="J191" s="12">
        <v>97.1</v>
      </c>
      <c r="K191" s="68"/>
      <c r="L191" s="85">
        <v>8.0760000000000005</v>
      </c>
      <c r="M191" s="127" t="s">
        <v>99</v>
      </c>
      <c r="N191" s="4" t="s">
        <v>13</v>
      </c>
      <c r="O191" s="22">
        <v>8.1369999999999987</v>
      </c>
      <c r="P191" s="1" t="s">
        <v>7</v>
      </c>
      <c r="Q191" s="3"/>
      <c r="R191" s="22">
        <v>8.0299999999999994</v>
      </c>
      <c r="S191" s="22">
        <v>7.9969999999999999</v>
      </c>
      <c r="T191" s="22">
        <v>8.35</v>
      </c>
      <c r="U191" s="22">
        <v>8.2010000000000005</v>
      </c>
      <c r="V191" s="22">
        <v>8.2159999999999993</v>
      </c>
      <c r="W191" s="14"/>
      <c r="X191" s="14"/>
      <c r="Y191" s="14"/>
      <c r="Z191" s="22">
        <v>8.0739999999999998</v>
      </c>
      <c r="AA191" s="14"/>
      <c r="AB191" s="22">
        <v>8.3460000000000001</v>
      </c>
      <c r="AC191" s="22">
        <v>8.3490000000000002</v>
      </c>
      <c r="AD191" s="22">
        <v>8.2309999999999999</v>
      </c>
      <c r="AE191" s="22">
        <v>8.1690000000000005</v>
      </c>
      <c r="AF191" s="22">
        <v>7.9889999999999999</v>
      </c>
      <c r="AG191" s="22">
        <v>8.2639999999999993</v>
      </c>
      <c r="AH191" s="6">
        <f t="shared" si="23"/>
        <v>8.1265000000000001</v>
      </c>
      <c r="AI191" s="9"/>
      <c r="AJ191" s="9"/>
      <c r="AK191" s="9"/>
      <c r="AL191" s="9"/>
      <c r="AM191" s="9"/>
      <c r="AN191" s="9"/>
      <c r="AO191" s="9"/>
      <c r="AP191" s="3"/>
      <c r="AQ191" s="8"/>
    </row>
    <row r="192" spans="1:43">
      <c r="A192" s="1">
        <f t="shared" si="18"/>
        <v>190</v>
      </c>
      <c r="B192" s="31" t="s">
        <v>173</v>
      </c>
      <c r="C192" s="1">
        <v>2</v>
      </c>
      <c r="D192" s="4">
        <f t="shared" si="17"/>
        <v>12</v>
      </c>
      <c r="E192" s="4" t="s">
        <v>242</v>
      </c>
      <c r="F192" s="4">
        <v>1</v>
      </c>
      <c r="G192" s="4" t="s">
        <v>11</v>
      </c>
      <c r="H192" s="4" t="s">
        <v>12</v>
      </c>
      <c r="I192" s="4"/>
      <c r="J192" s="5">
        <v>93.1</v>
      </c>
      <c r="K192" s="63">
        <v>0.16800000000000001</v>
      </c>
      <c r="L192" s="38">
        <v>8.4820000000000011</v>
      </c>
      <c r="M192" s="127" t="s">
        <v>210</v>
      </c>
      <c r="N192" s="4" t="s">
        <v>13</v>
      </c>
      <c r="O192" s="6">
        <v>8.4700000000000006</v>
      </c>
      <c r="P192" s="1" t="s">
        <v>184</v>
      </c>
      <c r="Q192" s="3" t="s">
        <v>205</v>
      </c>
      <c r="R192" s="6">
        <v>8.7829999999999995</v>
      </c>
      <c r="S192" s="22">
        <v>8.6379999999999999</v>
      </c>
      <c r="T192" s="6">
        <v>8.6300000000000008</v>
      </c>
      <c r="U192" s="6">
        <v>8.4049999999999994</v>
      </c>
      <c r="V192" s="6">
        <v>8.5869999999999997</v>
      </c>
      <c r="W192" s="6">
        <v>8.5129999999999999</v>
      </c>
      <c r="X192" s="6">
        <v>8.516</v>
      </c>
      <c r="Y192" s="6">
        <v>8.5060000000000002</v>
      </c>
      <c r="Z192" s="22">
        <v>8.4860000000000007</v>
      </c>
      <c r="AA192" s="22">
        <v>8.4920000000000009</v>
      </c>
      <c r="AB192" s="6">
        <v>8.7449999999999992</v>
      </c>
      <c r="AC192" s="6">
        <v>8.6850000000000005</v>
      </c>
      <c r="AD192" s="6">
        <v>8.6690000000000005</v>
      </c>
      <c r="AE192" s="6">
        <v>8.59</v>
      </c>
      <c r="AF192" s="6">
        <v>8.6890000000000001</v>
      </c>
      <c r="AG192" s="6">
        <v>8.2449999999999992</v>
      </c>
      <c r="AH192" s="6">
        <f t="shared" ref="AH192:AH198" si="24">IF((AF192&lt;&gt;0)*AND(AG192&lt;&gt;0),AVERAGE(AF192:AG192),"")</f>
        <v>8.4669999999999987</v>
      </c>
      <c r="AI192" s="9"/>
      <c r="AJ192" s="9"/>
      <c r="AK192" s="9"/>
      <c r="AL192" s="9"/>
      <c r="AM192" s="9"/>
      <c r="AN192" s="9"/>
      <c r="AO192" s="9"/>
      <c r="AP192" s="3"/>
      <c r="AQ192" s="8"/>
    </row>
    <row r="193" spans="1:43">
      <c r="A193" s="1">
        <f t="shared" si="18"/>
        <v>191</v>
      </c>
      <c r="B193" s="31"/>
      <c r="C193" s="1">
        <v>2</v>
      </c>
      <c r="D193" s="4">
        <f t="shared" si="17"/>
        <v>12</v>
      </c>
      <c r="E193" s="4" t="s">
        <v>243</v>
      </c>
      <c r="F193" s="4">
        <v>1</v>
      </c>
      <c r="G193" s="4" t="s">
        <v>11</v>
      </c>
      <c r="H193" s="4" t="s">
        <v>17</v>
      </c>
      <c r="I193" s="4"/>
      <c r="J193" s="5">
        <v>93.3</v>
      </c>
      <c r="K193" s="68"/>
      <c r="L193" s="38">
        <v>9.9309999999999992</v>
      </c>
      <c r="M193" s="127" t="s">
        <v>210</v>
      </c>
      <c r="N193" s="4" t="s">
        <v>13</v>
      </c>
      <c r="O193" s="6">
        <v>9.9309999999999992</v>
      </c>
      <c r="P193" s="1" t="s">
        <v>184</v>
      </c>
      <c r="Q193" s="3" t="s">
        <v>205</v>
      </c>
      <c r="R193" s="6">
        <v>10.131</v>
      </c>
      <c r="S193" s="22">
        <v>10.297000000000001</v>
      </c>
      <c r="T193" s="6">
        <v>9.9429999999999996</v>
      </c>
      <c r="U193" s="6">
        <v>9.9870000000000001</v>
      </c>
      <c r="V193" s="6">
        <v>9.9860000000000007</v>
      </c>
      <c r="W193" s="6">
        <v>9.984</v>
      </c>
      <c r="X193" s="6">
        <v>9.984</v>
      </c>
      <c r="Y193" s="6">
        <v>9.9830000000000005</v>
      </c>
      <c r="Z193" s="22">
        <v>9.9920000000000009</v>
      </c>
      <c r="AA193" s="22">
        <v>9.94</v>
      </c>
      <c r="AB193" s="6">
        <v>10.007999999999999</v>
      </c>
      <c r="AC193" s="6">
        <v>10.24</v>
      </c>
      <c r="AD193" s="6">
        <v>10.259</v>
      </c>
      <c r="AE193" s="6">
        <v>9.8439999999999994</v>
      </c>
      <c r="AF193" s="6">
        <v>10.029</v>
      </c>
      <c r="AG193" s="6">
        <v>9.7249999999999996</v>
      </c>
      <c r="AH193" s="6">
        <f t="shared" si="24"/>
        <v>9.8769999999999989</v>
      </c>
      <c r="AI193" s="9"/>
      <c r="AJ193" s="9"/>
      <c r="AK193" s="9"/>
      <c r="AL193" s="9"/>
      <c r="AM193" s="9"/>
      <c r="AN193" s="9"/>
      <c r="AO193" s="9"/>
      <c r="AP193" s="3"/>
      <c r="AQ193" s="8"/>
    </row>
    <row r="194" spans="1:43">
      <c r="A194" s="1">
        <f t="shared" si="18"/>
        <v>192</v>
      </c>
      <c r="B194" s="31"/>
      <c r="C194" s="1">
        <v>2</v>
      </c>
      <c r="D194" s="4">
        <f t="shared" si="17"/>
        <v>12</v>
      </c>
      <c r="E194" s="4" t="s">
        <v>136</v>
      </c>
      <c r="F194" s="4">
        <v>1</v>
      </c>
      <c r="G194" s="4" t="s">
        <v>11</v>
      </c>
      <c r="H194" s="4" t="s">
        <v>17</v>
      </c>
      <c r="I194" s="4"/>
      <c r="J194" s="5">
        <v>91.8</v>
      </c>
      <c r="K194" s="68"/>
      <c r="L194" s="38">
        <v>10.065000000000001</v>
      </c>
      <c r="M194" s="127" t="s">
        <v>210</v>
      </c>
      <c r="N194" s="4" t="s">
        <v>13</v>
      </c>
      <c r="O194" s="6">
        <v>10.061999999999999</v>
      </c>
      <c r="P194" s="1" t="s">
        <v>184</v>
      </c>
      <c r="Q194" s="3" t="s">
        <v>205</v>
      </c>
      <c r="R194" s="6">
        <v>10.414</v>
      </c>
      <c r="S194" s="22">
        <v>10.603999999999999</v>
      </c>
      <c r="T194" s="6">
        <v>10.082000000000001</v>
      </c>
      <c r="U194" s="6">
        <v>10.039999999999999</v>
      </c>
      <c r="V194" s="6">
        <v>10.122999999999999</v>
      </c>
      <c r="W194" s="6">
        <v>10.119999999999999</v>
      </c>
      <c r="X194" s="6">
        <v>10.119999999999999</v>
      </c>
      <c r="Y194" s="6">
        <v>10.114000000000001</v>
      </c>
      <c r="Z194" s="22">
        <v>10.119</v>
      </c>
      <c r="AA194" s="22">
        <v>10.076000000000001</v>
      </c>
      <c r="AB194" s="6">
        <v>10.145</v>
      </c>
      <c r="AC194" s="6">
        <v>10.401999999999999</v>
      </c>
      <c r="AD194" s="6">
        <v>10.468999999999999</v>
      </c>
      <c r="AE194" s="6">
        <v>9.9670000000000005</v>
      </c>
      <c r="AF194" s="6">
        <v>10.3</v>
      </c>
      <c r="AG194" s="6">
        <v>9.8249999999999993</v>
      </c>
      <c r="AH194" s="6">
        <f t="shared" si="24"/>
        <v>10.0625</v>
      </c>
      <c r="AI194" s="9"/>
      <c r="AJ194" s="9"/>
      <c r="AK194" s="9"/>
      <c r="AL194" s="9"/>
      <c r="AM194" s="9"/>
      <c r="AN194" s="9"/>
      <c r="AO194" s="9"/>
      <c r="AP194" s="3"/>
      <c r="AQ194" s="8"/>
    </row>
    <row r="195" spans="1:43">
      <c r="A195" s="1">
        <f t="shared" si="18"/>
        <v>193</v>
      </c>
      <c r="B195" s="31"/>
      <c r="C195" s="1">
        <v>2</v>
      </c>
      <c r="D195" s="4">
        <f t="shared" si="17"/>
        <v>12</v>
      </c>
      <c r="E195" s="4" t="s">
        <v>244</v>
      </c>
      <c r="F195" s="4">
        <v>1</v>
      </c>
      <c r="G195" s="4" t="s">
        <v>14</v>
      </c>
      <c r="H195" s="4" t="s">
        <v>170</v>
      </c>
      <c r="I195" s="4"/>
      <c r="J195" s="5">
        <v>91.5</v>
      </c>
      <c r="K195" s="63">
        <v>3.0000000000000001E-3</v>
      </c>
      <c r="L195" s="38">
        <v>10.955999999999998</v>
      </c>
      <c r="M195" s="127" t="s">
        <v>204</v>
      </c>
      <c r="N195" s="4" t="s">
        <v>13</v>
      </c>
      <c r="O195" s="6">
        <v>10.922000000000001</v>
      </c>
      <c r="P195" s="1" t="s">
        <v>184</v>
      </c>
      <c r="Q195" s="3" t="s">
        <v>205</v>
      </c>
      <c r="R195" s="6">
        <v>11.48</v>
      </c>
      <c r="S195" s="22">
        <v>11.106</v>
      </c>
      <c r="T195" s="6">
        <v>11.294</v>
      </c>
      <c r="U195" s="6">
        <v>11.112</v>
      </c>
      <c r="V195" s="6">
        <v>11.221</v>
      </c>
      <c r="W195" s="6">
        <v>10.986000000000001</v>
      </c>
      <c r="X195" s="6">
        <v>10.99</v>
      </c>
      <c r="Y195" s="6">
        <v>11.016</v>
      </c>
      <c r="Z195" s="22">
        <v>10.943</v>
      </c>
      <c r="AA195" s="22">
        <v>10.987</v>
      </c>
      <c r="AB195" s="6">
        <v>11.518000000000001</v>
      </c>
      <c r="AC195" s="6">
        <v>11.316000000000001</v>
      </c>
      <c r="AD195" s="6">
        <v>11.25</v>
      </c>
      <c r="AE195" s="6">
        <v>11.391</v>
      </c>
      <c r="AF195" s="6">
        <v>11.321999999999999</v>
      </c>
      <c r="AG195" s="6">
        <v>10.794</v>
      </c>
      <c r="AH195" s="6">
        <f t="shared" si="24"/>
        <v>11.058</v>
      </c>
      <c r="AI195" s="9"/>
      <c r="AJ195" s="9"/>
      <c r="AK195" s="9"/>
      <c r="AL195" s="9"/>
      <c r="AM195" s="9"/>
      <c r="AN195" s="9"/>
      <c r="AO195" s="9"/>
      <c r="AP195" s="3"/>
      <c r="AQ195" s="8"/>
    </row>
    <row r="196" spans="1:43">
      <c r="A196" s="1">
        <f t="shared" si="18"/>
        <v>194</v>
      </c>
      <c r="B196" s="31"/>
      <c r="C196" s="1">
        <v>2</v>
      </c>
      <c r="D196" s="4">
        <f t="shared" ref="D196:D259" si="25">_xlfn.SWITCH(C196,1,12,2,12,3,35,4,35,5,35,6,69,7,69,8,69,9,69,1016)</f>
        <v>12</v>
      </c>
      <c r="E196" s="4" t="s">
        <v>244</v>
      </c>
      <c r="F196" s="4">
        <v>1</v>
      </c>
      <c r="G196" s="4" t="s">
        <v>14</v>
      </c>
      <c r="H196" s="4" t="s">
        <v>170</v>
      </c>
      <c r="I196" s="4"/>
      <c r="J196" s="5">
        <v>92.9</v>
      </c>
      <c r="K196" s="63">
        <v>0.2</v>
      </c>
      <c r="L196" s="38">
        <v>11.519</v>
      </c>
      <c r="M196" s="127" t="s">
        <v>204</v>
      </c>
      <c r="N196" s="4" t="s">
        <v>13</v>
      </c>
      <c r="O196" s="6">
        <v>11.492000000000001</v>
      </c>
      <c r="P196" s="1" t="s">
        <v>184</v>
      </c>
      <c r="Q196" s="3" t="s">
        <v>205</v>
      </c>
      <c r="R196" s="6">
        <v>11.714</v>
      </c>
      <c r="S196" s="22">
        <v>11.625999999999999</v>
      </c>
      <c r="T196" s="6">
        <v>11.804</v>
      </c>
      <c r="U196" s="6">
        <v>11.689</v>
      </c>
      <c r="V196" s="6">
        <v>11.750999999999999</v>
      </c>
      <c r="W196" s="6">
        <v>11.523</v>
      </c>
      <c r="X196" s="6">
        <v>11.529</v>
      </c>
      <c r="Y196" s="6">
        <v>11.554</v>
      </c>
      <c r="Z196" s="22">
        <v>11.489000000000001</v>
      </c>
      <c r="AA196" s="22">
        <v>11.54</v>
      </c>
      <c r="AB196" s="6">
        <v>12.04</v>
      </c>
      <c r="AC196" s="6">
        <v>11.81</v>
      </c>
      <c r="AD196" s="6">
        <v>11.746</v>
      </c>
      <c r="AE196" s="6">
        <v>11.926</v>
      </c>
      <c r="AF196" s="6">
        <v>11.833</v>
      </c>
      <c r="AG196" s="6">
        <v>11.332000000000001</v>
      </c>
      <c r="AH196" s="6">
        <f t="shared" si="24"/>
        <v>11.5825</v>
      </c>
      <c r="AI196" s="9"/>
      <c r="AJ196" s="9"/>
      <c r="AK196" s="9"/>
      <c r="AL196" s="9"/>
      <c r="AM196" s="9"/>
      <c r="AN196" s="9"/>
      <c r="AO196" s="9"/>
      <c r="AP196" s="3"/>
      <c r="AQ196" s="8"/>
    </row>
    <row r="197" spans="1:43">
      <c r="A197" s="1">
        <f t="shared" si="18"/>
        <v>195</v>
      </c>
      <c r="B197" s="31"/>
      <c r="C197" s="1">
        <v>2</v>
      </c>
      <c r="D197" s="4">
        <f t="shared" si="25"/>
        <v>12</v>
      </c>
      <c r="E197" s="4" t="s">
        <v>242</v>
      </c>
      <c r="F197" s="4">
        <v>1</v>
      </c>
      <c r="G197" s="4" t="s">
        <v>14</v>
      </c>
      <c r="H197" s="4" t="s">
        <v>170</v>
      </c>
      <c r="I197" s="4"/>
      <c r="J197" s="5">
        <v>92.4</v>
      </c>
      <c r="K197" s="63">
        <v>0.106</v>
      </c>
      <c r="L197" s="38">
        <v>11.715</v>
      </c>
      <c r="M197" s="127" t="s">
        <v>204</v>
      </c>
      <c r="N197" s="4" t="s">
        <v>13</v>
      </c>
      <c r="O197" s="6">
        <v>11.664999999999999</v>
      </c>
      <c r="P197" s="1" t="s">
        <v>184</v>
      </c>
      <c r="Q197" s="3" t="s">
        <v>205</v>
      </c>
      <c r="R197" s="6">
        <v>12.061</v>
      </c>
      <c r="S197" s="22">
        <v>11.824999999999999</v>
      </c>
      <c r="T197" s="6">
        <v>12.012</v>
      </c>
      <c r="U197" s="6">
        <v>11.965999999999999</v>
      </c>
      <c r="V197" s="6">
        <v>11.96</v>
      </c>
      <c r="W197" s="6">
        <v>11.727</v>
      </c>
      <c r="X197" s="6">
        <v>11.731999999999999</v>
      </c>
      <c r="Y197" s="6">
        <v>11.759</v>
      </c>
      <c r="Z197" s="22">
        <v>11.69</v>
      </c>
      <c r="AA197" s="22">
        <v>11.737</v>
      </c>
      <c r="AB197" s="6">
        <v>12.246</v>
      </c>
      <c r="AC197" s="6">
        <v>12.032</v>
      </c>
      <c r="AD197" s="6">
        <v>11.964</v>
      </c>
      <c r="AE197" s="6">
        <v>12.129</v>
      </c>
      <c r="AF197" s="6">
        <v>12.032</v>
      </c>
      <c r="AG197" s="6">
        <v>11.555999999999999</v>
      </c>
      <c r="AH197" s="6">
        <f t="shared" si="24"/>
        <v>11.794</v>
      </c>
      <c r="AI197" s="9"/>
      <c r="AJ197" s="9"/>
      <c r="AK197" s="9"/>
      <c r="AL197" s="9"/>
      <c r="AM197" s="9"/>
      <c r="AN197" s="9"/>
      <c r="AO197" s="9"/>
      <c r="AP197" s="3"/>
      <c r="AQ197" s="8"/>
    </row>
    <row r="198" spans="1:43">
      <c r="A198" s="1">
        <f t="shared" si="18"/>
        <v>196</v>
      </c>
      <c r="B198" s="31"/>
      <c r="C198" s="1">
        <v>2</v>
      </c>
      <c r="D198" s="4">
        <f t="shared" si="25"/>
        <v>12</v>
      </c>
      <c r="E198" s="4" t="s">
        <v>245</v>
      </c>
      <c r="F198" s="4">
        <v>3</v>
      </c>
      <c r="G198" s="4" t="s">
        <v>11</v>
      </c>
      <c r="H198" s="4" t="s">
        <v>12</v>
      </c>
      <c r="I198" s="4"/>
      <c r="J198" s="5">
        <v>98.7</v>
      </c>
      <c r="K198" s="68"/>
      <c r="L198" s="38">
        <v>6.2830000000000004</v>
      </c>
      <c r="M198" s="127" t="s">
        <v>103</v>
      </c>
      <c r="N198" s="4" t="s">
        <v>13</v>
      </c>
      <c r="O198" s="6">
        <v>6.2859999999999996</v>
      </c>
      <c r="P198" s="1" t="s">
        <v>184</v>
      </c>
      <c r="Q198" s="3" t="s">
        <v>205</v>
      </c>
      <c r="R198" s="6">
        <v>6.5129999999999999</v>
      </c>
      <c r="S198" s="6">
        <v>6.4210000000000003</v>
      </c>
      <c r="T198" s="6">
        <v>6.34</v>
      </c>
      <c r="U198" s="6">
        <v>6.2729999999999997</v>
      </c>
      <c r="V198" s="6">
        <v>6.3609999999999998</v>
      </c>
      <c r="W198" s="54"/>
      <c r="X198" s="54"/>
      <c r="Y198" s="54"/>
      <c r="Z198" s="6">
        <v>6.3010000000000002</v>
      </c>
      <c r="AA198" s="6">
        <v>6.298</v>
      </c>
      <c r="AB198" s="6">
        <v>6.6280000000000001</v>
      </c>
      <c r="AC198" s="6">
        <v>6.5819999999999999</v>
      </c>
      <c r="AD198" s="6">
        <v>6.5279999999999996</v>
      </c>
      <c r="AE198" s="6">
        <v>6.5359999999999996</v>
      </c>
      <c r="AF198" s="6">
        <v>6.4539999999999997</v>
      </c>
      <c r="AG198" s="6">
        <v>5.9669999999999996</v>
      </c>
      <c r="AH198" s="6">
        <f t="shared" si="24"/>
        <v>6.2104999999999997</v>
      </c>
      <c r="AI198" s="9"/>
      <c r="AJ198" s="9"/>
      <c r="AK198" s="9"/>
      <c r="AL198" s="9"/>
      <c r="AM198" s="9"/>
      <c r="AN198" s="9"/>
      <c r="AO198" s="9"/>
      <c r="AP198" s="3"/>
      <c r="AQ198" s="8"/>
    </row>
    <row r="199" spans="1:43">
      <c r="A199" s="1">
        <f t="shared" si="18"/>
        <v>197</v>
      </c>
      <c r="B199" s="31"/>
      <c r="C199" s="1">
        <v>2</v>
      </c>
      <c r="D199" s="4">
        <f t="shared" si="25"/>
        <v>12</v>
      </c>
      <c r="E199" s="4" t="s">
        <v>246</v>
      </c>
      <c r="F199" s="4">
        <v>3</v>
      </c>
      <c r="G199" s="4" t="s">
        <v>11</v>
      </c>
      <c r="H199" s="4" t="s">
        <v>17</v>
      </c>
      <c r="I199" s="4"/>
      <c r="J199" s="5">
        <v>98.7</v>
      </c>
      <c r="K199" s="68"/>
      <c r="L199" s="38">
        <v>8.4410000000000007</v>
      </c>
      <c r="M199" s="127" t="s">
        <v>204</v>
      </c>
      <c r="N199" s="4" t="s">
        <v>13</v>
      </c>
      <c r="O199" s="6">
        <v>8.4659999999999993</v>
      </c>
      <c r="P199" s="1" t="s">
        <v>184</v>
      </c>
      <c r="Q199" s="3" t="s">
        <v>205</v>
      </c>
      <c r="R199" s="6">
        <v>8.6329999999999991</v>
      </c>
      <c r="S199" s="6">
        <v>8.7200000000000006</v>
      </c>
      <c r="T199" s="6">
        <v>8.4670000000000005</v>
      </c>
      <c r="U199" s="6">
        <v>8.3469999999999995</v>
      </c>
      <c r="V199" s="6">
        <v>8.3420000000000005</v>
      </c>
      <c r="W199" s="54"/>
      <c r="X199" s="54"/>
      <c r="Y199" s="54"/>
      <c r="Z199" s="6">
        <v>8.4510000000000005</v>
      </c>
      <c r="AA199" s="6">
        <v>8.4250000000000007</v>
      </c>
      <c r="AB199" s="6">
        <v>8.4049999999999994</v>
      </c>
      <c r="AC199" s="6">
        <v>8.5239999999999991</v>
      </c>
      <c r="AD199" s="6">
        <v>8.593</v>
      </c>
      <c r="AE199" s="6">
        <v>8.3010000000000002</v>
      </c>
      <c r="AF199" s="6">
        <v>8.5370000000000008</v>
      </c>
      <c r="AG199" s="6">
        <v>8.2140000000000004</v>
      </c>
      <c r="AH199" s="6">
        <f t="shared" ref="AH199:AH203" si="26">IF((AF199&lt;&gt;0)*AND(AG199&lt;&gt;0),AVERAGE(AF199:AG199),"")</f>
        <v>8.3755000000000006</v>
      </c>
      <c r="AI199" s="9"/>
      <c r="AJ199" s="9"/>
      <c r="AK199" s="9"/>
      <c r="AL199" s="9"/>
      <c r="AM199" s="9"/>
      <c r="AN199" s="9"/>
      <c r="AO199" s="9"/>
      <c r="AP199" s="3"/>
      <c r="AQ199" s="8"/>
    </row>
    <row r="200" spans="1:43">
      <c r="A200" s="1">
        <f t="shared" si="18"/>
        <v>198</v>
      </c>
      <c r="B200" s="31"/>
      <c r="C200" s="1">
        <v>2</v>
      </c>
      <c r="D200" s="4">
        <f t="shared" si="25"/>
        <v>12</v>
      </c>
      <c r="E200" s="4" t="s">
        <v>155</v>
      </c>
      <c r="F200" s="4">
        <v>3</v>
      </c>
      <c r="G200" s="4" t="s">
        <v>11</v>
      </c>
      <c r="H200" s="4" t="s">
        <v>17</v>
      </c>
      <c r="I200" s="4"/>
      <c r="J200" s="5">
        <v>98.4</v>
      </c>
      <c r="K200" s="68"/>
      <c r="L200" s="38">
        <v>9.2620000000000005</v>
      </c>
      <c r="M200" s="127" t="s">
        <v>204</v>
      </c>
      <c r="N200" s="4" t="s">
        <v>13</v>
      </c>
      <c r="O200" s="6">
        <v>9.27</v>
      </c>
      <c r="P200" s="1" t="s">
        <v>184</v>
      </c>
      <c r="Q200" s="3" t="s">
        <v>205</v>
      </c>
      <c r="R200" s="6">
        <v>9.4359999999999999</v>
      </c>
      <c r="S200" s="6">
        <v>9.56</v>
      </c>
      <c r="T200" s="6">
        <v>9.2579999999999991</v>
      </c>
      <c r="U200" s="6">
        <v>9.1829999999999998</v>
      </c>
      <c r="V200" s="6">
        <v>9.23</v>
      </c>
      <c r="W200" s="54"/>
      <c r="X200" s="54"/>
      <c r="Y200" s="54"/>
      <c r="Z200" s="6">
        <v>9.298</v>
      </c>
      <c r="AA200" s="6">
        <v>9.2569999999999997</v>
      </c>
      <c r="AB200" s="6">
        <v>9.3989999999999991</v>
      </c>
      <c r="AC200" s="6">
        <v>9.5980000000000008</v>
      </c>
      <c r="AD200" s="6">
        <v>9.5860000000000003</v>
      </c>
      <c r="AE200" s="6">
        <v>9.2579999999999991</v>
      </c>
      <c r="AF200" s="6">
        <v>9.3350000000000009</v>
      </c>
      <c r="AG200" s="6">
        <v>9.0269999999999992</v>
      </c>
      <c r="AH200" s="6">
        <f t="shared" si="26"/>
        <v>9.1810000000000009</v>
      </c>
      <c r="AI200" s="9"/>
      <c r="AJ200" s="9"/>
      <c r="AK200" s="9"/>
      <c r="AL200" s="9"/>
      <c r="AM200" s="9"/>
      <c r="AN200" s="9"/>
      <c r="AO200" s="9"/>
      <c r="AP200" s="3"/>
      <c r="AQ200" s="8"/>
    </row>
    <row r="201" spans="1:43">
      <c r="A201" s="1">
        <f t="shared" ref="A201:A271" si="27">A200+1</f>
        <v>199</v>
      </c>
      <c r="B201" s="31"/>
      <c r="C201" s="1">
        <v>2</v>
      </c>
      <c r="D201" s="4">
        <f t="shared" si="25"/>
        <v>12</v>
      </c>
      <c r="E201" s="4" t="s">
        <v>247</v>
      </c>
      <c r="F201" s="4">
        <v>3</v>
      </c>
      <c r="G201" s="4" t="s">
        <v>11</v>
      </c>
      <c r="H201" s="4" t="s">
        <v>17</v>
      </c>
      <c r="I201" s="4"/>
      <c r="J201" s="5">
        <v>97.5</v>
      </c>
      <c r="K201" s="68"/>
      <c r="L201" s="38">
        <v>9.7569999999999997</v>
      </c>
      <c r="M201" s="127" t="s">
        <v>204</v>
      </c>
      <c r="N201" s="4" t="s">
        <v>13</v>
      </c>
      <c r="O201" s="6">
        <v>9.7620000000000005</v>
      </c>
      <c r="P201" s="1" t="s">
        <v>184</v>
      </c>
      <c r="Q201" s="3" t="s">
        <v>205</v>
      </c>
      <c r="R201" s="6">
        <v>10.105</v>
      </c>
      <c r="S201" s="6">
        <v>10.268000000000001</v>
      </c>
      <c r="T201" s="6">
        <v>9.8000000000000007</v>
      </c>
      <c r="U201" s="6">
        <v>9.8079999999999998</v>
      </c>
      <c r="V201" s="6">
        <v>9.8109999999999999</v>
      </c>
      <c r="W201" s="54"/>
      <c r="X201" s="54"/>
      <c r="Y201" s="54"/>
      <c r="Z201" s="6">
        <v>9.8119999999999994</v>
      </c>
      <c r="AA201" s="6">
        <v>9.7639999999999993</v>
      </c>
      <c r="AB201" s="6">
        <v>9.9789999999999992</v>
      </c>
      <c r="AC201" s="6">
        <v>10.204000000000001</v>
      </c>
      <c r="AD201" s="6">
        <v>10.225</v>
      </c>
      <c r="AE201" s="6">
        <v>9.8140000000000001</v>
      </c>
      <c r="AF201" s="6">
        <v>10.007</v>
      </c>
      <c r="AG201" s="6">
        <v>9.5259999999999998</v>
      </c>
      <c r="AH201" s="6">
        <f t="shared" si="26"/>
        <v>9.7665000000000006</v>
      </c>
      <c r="AI201" s="9"/>
      <c r="AJ201" s="9"/>
      <c r="AK201" s="9"/>
      <c r="AL201" s="9"/>
      <c r="AM201" s="9"/>
      <c r="AN201" s="9"/>
      <c r="AO201" s="9"/>
      <c r="AP201" s="3"/>
      <c r="AQ201" s="8"/>
    </row>
    <row r="202" spans="1:43">
      <c r="A202" s="1">
        <f t="shared" si="27"/>
        <v>200</v>
      </c>
      <c r="B202" s="31"/>
      <c r="C202" s="1">
        <v>2</v>
      </c>
      <c r="D202" s="4">
        <f t="shared" si="25"/>
        <v>12</v>
      </c>
      <c r="E202" s="4" t="s">
        <v>246</v>
      </c>
      <c r="F202" s="4">
        <v>3</v>
      </c>
      <c r="G202" s="4" t="s">
        <v>14</v>
      </c>
      <c r="H202" s="4" t="s">
        <v>170</v>
      </c>
      <c r="I202" s="4"/>
      <c r="J202" s="5">
        <v>98</v>
      </c>
      <c r="K202" s="68"/>
      <c r="L202" s="38">
        <v>10.474</v>
      </c>
      <c r="M202" s="127" t="s">
        <v>204</v>
      </c>
      <c r="N202" s="4" t="s">
        <v>13</v>
      </c>
      <c r="O202" s="6">
        <v>10.467000000000001</v>
      </c>
      <c r="P202" s="1" t="s">
        <v>184</v>
      </c>
      <c r="Q202" s="3" t="s">
        <v>205</v>
      </c>
      <c r="R202" s="6">
        <v>10.98</v>
      </c>
      <c r="S202" s="6">
        <v>10.6</v>
      </c>
      <c r="T202" s="6">
        <v>10.781000000000001</v>
      </c>
      <c r="U202" s="6">
        <v>10.68</v>
      </c>
      <c r="V202" s="6">
        <v>10.714</v>
      </c>
      <c r="W202" s="54"/>
      <c r="X202" s="54"/>
      <c r="Y202" s="54"/>
      <c r="Z202" s="6">
        <v>10.452</v>
      </c>
      <c r="AA202" s="6">
        <v>10.499000000000001</v>
      </c>
      <c r="AB202" s="6">
        <v>11.083</v>
      </c>
      <c r="AC202" s="6">
        <v>10.858000000000001</v>
      </c>
      <c r="AD202" s="6">
        <v>10.773</v>
      </c>
      <c r="AE202" s="6">
        <v>10.99</v>
      </c>
      <c r="AF202" s="6">
        <v>10.832000000000001</v>
      </c>
      <c r="AG202" s="6">
        <v>10.29</v>
      </c>
      <c r="AH202" s="6">
        <f t="shared" si="26"/>
        <v>10.561</v>
      </c>
      <c r="AI202" s="9"/>
      <c r="AJ202" s="9"/>
      <c r="AK202" s="9"/>
      <c r="AL202" s="9"/>
      <c r="AM202" s="9"/>
      <c r="AN202" s="9"/>
      <c r="AO202" s="9"/>
      <c r="AP202" s="3"/>
      <c r="AQ202" s="8"/>
    </row>
    <row r="203" spans="1:43">
      <c r="A203" s="1">
        <f t="shared" si="27"/>
        <v>201</v>
      </c>
      <c r="B203" s="31"/>
      <c r="C203" s="1">
        <v>2</v>
      </c>
      <c r="D203" s="4">
        <f t="shared" si="25"/>
        <v>12</v>
      </c>
      <c r="E203" s="4" t="s">
        <v>246</v>
      </c>
      <c r="F203" s="4">
        <v>3</v>
      </c>
      <c r="G203" s="4" t="s">
        <v>14</v>
      </c>
      <c r="H203" s="4" t="s">
        <v>170</v>
      </c>
      <c r="I203" s="4"/>
      <c r="J203" s="5">
        <v>87.8</v>
      </c>
      <c r="K203" s="68"/>
      <c r="L203" s="38">
        <v>11.297000000000001</v>
      </c>
      <c r="M203" s="127" t="s">
        <v>204</v>
      </c>
      <c r="N203" s="4" t="s">
        <v>13</v>
      </c>
      <c r="O203" s="6">
        <v>11.301</v>
      </c>
      <c r="P203" s="1" t="s">
        <v>184</v>
      </c>
      <c r="Q203" s="3" t="s">
        <v>205</v>
      </c>
      <c r="R203" s="6">
        <v>11.625</v>
      </c>
      <c r="S203" s="6">
        <v>11.409000000000001</v>
      </c>
      <c r="T203" s="6">
        <v>11.602</v>
      </c>
      <c r="U203" s="6">
        <v>11.551</v>
      </c>
      <c r="V203" s="6">
        <v>11.535</v>
      </c>
      <c r="W203" s="54"/>
      <c r="X203" s="54"/>
      <c r="Y203" s="54"/>
      <c r="Z203" s="6">
        <v>11.273</v>
      </c>
      <c r="AA203" s="6">
        <v>11.321</v>
      </c>
      <c r="AB203" s="6">
        <v>11.9</v>
      </c>
      <c r="AC203" s="6">
        <v>11.657</v>
      </c>
      <c r="AD203" s="6">
        <v>11.574</v>
      </c>
      <c r="AE203" s="6">
        <v>11.792999999999999</v>
      </c>
      <c r="AF203" s="6">
        <v>11.641999999999999</v>
      </c>
      <c r="AG203" s="6">
        <v>11.115</v>
      </c>
      <c r="AH203" s="6">
        <f t="shared" si="26"/>
        <v>11.378499999999999</v>
      </c>
      <c r="AI203" s="9"/>
      <c r="AJ203" s="9"/>
      <c r="AK203" s="9"/>
      <c r="AL203" s="9"/>
      <c r="AM203" s="9"/>
      <c r="AN203" s="9"/>
      <c r="AO203" s="9"/>
      <c r="AP203" s="3"/>
      <c r="AQ203" s="8"/>
    </row>
    <row r="204" spans="1:43">
      <c r="A204" s="1">
        <f t="shared" si="27"/>
        <v>202</v>
      </c>
      <c r="B204" s="2" t="s">
        <v>317</v>
      </c>
      <c r="C204" s="1">
        <v>3</v>
      </c>
      <c r="D204" s="4">
        <f t="shared" si="25"/>
        <v>35</v>
      </c>
      <c r="E204" s="4" t="s">
        <v>295</v>
      </c>
      <c r="F204" s="4">
        <v>1</v>
      </c>
      <c r="G204" s="4" t="s">
        <v>11</v>
      </c>
      <c r="H204" s="4" t="s">
        <v>12</v>
      </c>
      <c r="I204" s="4"/>
      <c r="J204" s="5">
        <v>85.8</v>
      </c>
      <c r="K204" s="63">
        <v>3.9E-2</v>
      </c>
      <c r="L204" s="38">
        <v>3.145</v>
      </c>
      <c r="M204" s="127" t="s">
        <v>333</v>
      </c>
      <c r="N204" s="4" t="s">
        <v>13</v>
      </c>
      <c r="O204" s="41" t="s">
        <v>205</v>
      </c>
      <c r="P204" s="41" t="s">
        <v>205</v>
      </c>
      <c r="Q204" s="3" t="s">
        <v>205</v>
      </c>
      <c r="R204" s="22">
        <v>3.6720000000000002</v>
      </c>
      <c r="S204" s="22">
        <v>3.2290000000000001</v>
      </c>
      <c r="T204" s="22">
        <v>3.5019999999999998</v>
      </c>
      <c r="U204" s="22">
        <v>3.1859999999999999</v>
      </c>
      <c r="V204" s="22">
        <v>3.3959999999999999</v>
      </c>
      <c r="W204" s="22">
        <v>3.3140000000000001</v>
      </c>
      <c r="X204" s="22">
        <v>3.31</v>
      </c>
      <c r="Y204" s="22">
        <v>3.2570000000000001</v>
      </c>
      <c r="Z204" s="22">
        <v>3.21</v>
      </c>
      <c r="AA204" s="22">
        <v>3.1579999999999999</v>
      </c>
      <c r="AB204" s="22">
        <v>3.71</v>
      </c>
      <c r="AC204" s="22">
        <v>3.5990000000000002</v>
      </c>
      <c r="AD204" s="22">
        <v>3.4780000000000002</v>
      </c>
      <c r="AE204" s="22">
        <v>3.524</v>
      </c>
      <c r="AF204" s="22">
        <v>3.347</v>
      </c>
      <c r="AG204" s="22">
        <v>3.173</v>
      </c>
      <c r="AH204" s="22">
        <f>IF((AF204&lt;&gt;0)*AND(AG204&lt;&gt;0),AVERAGE(AF204:AG204),"")</f>
        <v>3.26</v>
      </c>
      <c r="AI204" s="43"/>
      <c r="AJ204" s="43"/>
      <c r="AK204" s="43"/>
      <c r="AL204" s="43"/>
      <c r="AM204" s="43"/>
      <c r="AN204" s="43"/>
      <c r="AO204" s="43"/>
      <c r="AP204" s="3"/>
      <c r="AQ204" s="8"/>
    </row>
    <row r="205" spans="1:43">
      <c r="A205" s="1">
        <f t="shared" si="27"/>
        <v>203</v>
      </c>
      <c r="B205" s="19"/>
      <c r="C205" s="1">
        <v>3</v>
      </c>
      <c r="D205" s="4">
        <f t="shared" si="25"/>
        <v>35</v>
      </c>
      <c r="E205" s="4" t="s">
        <v>86</v>
      </c>
      <c r="F205" s="4">
        <v>1</v>
      </c>
      <c r="G205" s="4" t="s">
        <v>11</v>
      </c>
      <c r="H205" s="4" t="s">
        <v>17</v>
      </c>
      <c r="I205" s="4"/>
      <c r="J205" s="5">
        <v>92.2</v>
      </c>
      <c r="K205" s="68"/>
      <c r="L205" s="38">
        <v>3.92</v>
      </c>
      <c r="M205" s="127" t="s">
        <v>333</v>
      </c>
      <c r="N205" s="4" t="s">
        <v>13</v>
      </c>
      <c r="O205" s="41" t="s">
        <v>205</v>
      </c>
      <c r="P205" s="41" t="s">
        <v>205</v>
      </c>
      <c r="Q205" s="3" t="s">
        <v>205</v>
      </c>
      <c r="R205" s="22">
        <v>4.1970000000000001</v>
      </c>
      <c r="S205" s="22">
        <v>4.3780000000000001</v>
      </c>
      <c r="T205" s="22">
        <v>3.956</v>
      </c>
      <c r="U205" s="22">
        <v>3.71</v>
      </c>
      <c r="V205" s="22">
        <v>3.8380000000000001</v>
      </c>
      <c r="W205" s="22">
        <v>3.9780000000000002</v>
      </c>
      <c r="X205" s="22">
        <v>3.9870000000000001</v>
      </c>
      <c r="Y205" s="22">
        <v>3.9590000000000001</v>
      </c>
      <c r="Z205" s="22">
        <v>3.9950000000000001</v>
      </c>
      <c r="AA205" s="22">
        <v>3.9239999999999999</v>
      </c>
      <c r="AB205" s="22">
        <v>4.0229999999999997</v>
      </c>
      <c r="AC205" s="22">
        <v>4.2380000000000004</v>
      </c>
      <c r="AD205" s="22">
        <v>4.2839999999999998</v>
      </c>
      <c r="AE205" s="22">
        <v>3.8719999999999999</v>
      </c>
      <c r="AF205" s="22">
        <v>4.1150000000000002</v>
      </c>
      <c r="AG205" s="22">
        <v>3.395</v>
      </c>
      <c r="AH205" s="22">
        <f>IF((AF205&lt;&gt;0)*AND(AG205&lt;&gt;0),AVERAGE(AF205:AG205),"")</f>
        <v>3.7549999999999999</v>
      </c>
      <c r="AI205" s="43"/>
      <c r="AJ205" s="43"/>
      <c r="AK205" s="43"/>
      <c r="AL205" s="43"/>
      <c r="AM205" s="43"/>
      <c r="AN205" s="43"/>
      <c r="AO205" s="43"/>
      <c r="AP205" s="3"/>
      <c r="AQ205" s="8"/>
    </row>
    <row r="206" spans="1:43">
      <c r="A206" s="1">
        <f t="shared" si="27"/>
        <v>204</v>
      </c>
      <c r="B206" s="19"/>
      <c r="C206" s="1">
        <v>3</v>
      </c>
      <c r="D206" s="4">
        <f t="shared" si="25"/>
        <v>35</v>
      </c>
      <c r="E206" s="4" t="s">
        <v>226</v>
      </c>
      <c r="F206" s="4">
        <v>1</v>
      </c>
      <c r="G206" s="4" t="s">
        <v>11</v>
      </c>
      <c r="H206" s="4" t="s">
        <v>12</v>
      </c>
      <c r="I206" s="4"/>
      <c r="J206" s="5">
        <v>89.6</v>
      </c>
      <c r="K206" s="68"/>
      <c r="L206" s="38">
        <v>3.9620000000000002</v>
      </c>
      <c r="M206" s="127" t="s">
        <v>333</v>
      </c>
      <c r="N206" s="4" t="s">
        <v>13</v>
      </c>
      <c r="O206" s="41" t="s">
        <v>205</v>
      </c>
      <c r="P206" s="41" t="s">
        <v>205</v>
      </c>
      <c r="Q206" s="3" t="s">
        <v>205</v>
      </c>
      <c r="R206" s="22">
        <v>4.3650000000000002</v>
      </c>
      <c r="S206" s="22">
        <v>4.5679999999999996</v>
      </c>
      <c r="T206" s="22">
        <v>4.0039999999999996</v>
      </c>
      <c r="U206" s="22">
        <v>3.8039999999999998</v>
      </c>
      <c r="V206" s="22">
        <v>3.88</v>
      </c>
      <c r="W206" s="22">
        <v>4.0209999999999999</v>
      </c>
      <c r="X206" s="22">
        <v>4.0330000000000004</v>
      </c>
      <c r="Y206" s="22">
        <v>3.9990000000000001</v>
      </c>
      <c r="Z206" s="22">
        <v>4.03</v>
      </c>
      <c r="AA206" s="22">
        <v>3.97</v>
      </c>
      <c r="AB206" s="22">
        <v>4.0579999999999998</v>
      </c>
      <c r="AC206" s="22">
        <v>4.2910000000000004</v>
      </c>
      <c r="AD206" s="22">
        <v>4.3819999999999997</v>
      </c>
      <c r="AE206" s="22">
        <v>3.8929999999999998</v>
      </c>
      <c r="AF206" s="22">
        <v>4.2750000000000004</v>
      </c>
      <c r="AG206" s="22">
        <v>3.415</v>
      </c>
      <c r="AH206" s="22">
        <f>IF((AF206&lt;&gt;0)*AND(AG206&lt;&gt;0),AVERAGE(AF206:AG206),"")</f>
        <v>3.8450000000000002</v>
      </c>
      <c r="AI206" s="43"/>
      <c r="AJ206" s="43"/>
      <c r="AK206" s="43"/>
      <c r="AL206" s="43"/>
      <c r="AM206" s="43"/>
      <c r="AN206" s="43"/>
      <c r="AO206" s="43"/>
      <c r="AP206" s="3"/>
      <c r="AQ206" s="8"/>
    </row>
    <row r="207" spans="1:43">
      <c r="A207" s="1">
        <f t="shared" si="27"/>
        <v>205</v>
      </c>
      <c r="B207" s="19"/>
      <c r="C207" s="1">
        <v>3</v>
      </c>
      <c r="D207" s="4">
        <f t="shared" si="25"/>
        <v>35</v>
      </c>
      <c r="E207" s="4" t="s">
        <v>294</v>
      </c>
      <c r="F207" s="4">
        <v>1</v>
      </c>
      <c r="G207" s="4" t="s">
        <v>11</v>
      </c>
      <c r="H207" s="4" t="s">
        <v>12</v>
      </c>
      <c r="I207" s="4" t="s">
        <v>320</v>
      </c>
      <c r="J207" s="5">
        <v>76.5</v>
      </c>
      <c r="K207" s="68"/>
      <c r="L207" s="38">
        <v>4.008</v>
      </c>
      <c r="M207" s="127" t="s">
        <v>103</v>
      </c>
      <c r="N207" s="4" t="s">
        <v>13</v>
      </c>
      <c r="O207" s="41" t="s">
        <v>205</v>
      </c>
      <c r="P207" s="41" t="s">
        <v>205</v>
      </c>
      <c r="Q207" s="3" t="s">
        <v>205</v>
      </c>
      <c r="R207" s="22">
        <v>5.0369999999999999</v>
      </c>
      <c r="S207" s="22">
        <v>4.4359999999999999</v>
      </c>
      <c r="T207" s="22">
        <v>4.6150000000000002</v>
      </c>
      <c r="U207" s="22">
        <v>4.2229999999999999</v>
      </c>
      <c r="V207" s="22">
        <v>4.5469999999999997</v>
      </c>
      <c r="W207" s="22">
        <v>4.3929999999999998</v>
      </c>
      <c r="X207" s="22">
        <v>4.3730000000000002</v>
      </c>
      <c r="Y207" s="22">
        <v>4.2750000000000004</v>
      </c>
      <c r="Z207" s="22">
        <v>4.2039999999999997</v>
      </c>
      <c r="AA207" s="22">
        <v>4.0949999999999998</v>
      </c>
      <c r="AB207" s="22">
        <v>4.9160000000000004</v>
      </c>
      <c r="AC207" s="22">
        <v>4.8029999999999999</v>
      </c>
      <c r="AD207" s="22">
        <v>4.6859999999999999</v>
      </c>
      <c r="AE207" s="22">
        <v>4.7210000000000001</v>
      </c>
      <c r="AF207" s="22">
        <v>4.5529999999999999</v>
      </c>
      <c r="AG207" s="22">
        <v>4.0529999999999999</v>
      </c>
      <c r="AH207" s="22">
        <f>IF((AF207&lt;&gt;0)*AND(AG207&lt;&gt;0),AVERAGE(AF207:AG207),"")</f>
        <v>4.3029999999999999</v>
      </c>
      <c r="AI207" s="22">
        <v>4.109</v>
      </c>
      <c r="AJ207" s="22">
        <v>3.9340000000000002</v>
      </c>
      <c r="AK207" s="22">
        <v>3.6539999999999999</v>
      </c>
      <c r="AL207" s="22">
        <v>4.0090000000000003</v>
      </c>
      <c r="AM207" s="22">
        <v>3.9390000000000001</v>
      </c>
      <c r="AN207" s="22">
        <v>4.0629999999999997</v>
      </c>
      <c r="AO207" s="22">
        <v>4.0270000000000001</v>
      </c>
      <c r="AP207" s="3"/>
      <c r="AQ207" s="8"/>
    </row>
    <row r="208" spans="1:43">
      <c r="A208" s="1">
        <f t="shared" si="27"/>
        <v>206</v>
      </c>
      <c r="B208" s="19"/>
      <c r="C208" s="1">
        <v>3</v>
      </c>
      <c r="D208" s="4">
        <f t="shared" si="25"/>
        <v>35</v>
      </c>
      <c r="E208" s="4" t="s">
        <v>183</v>
      </c>
      <c r="F208" s="4">
        <v>1</v>
      </c>
      <c r="G208" s="4" t="s">
        <v>11</v>
      </c>
      <c r="H208" s="4" t="s">
        <v>121</v>
      </c>
      <c r="I208" s="4" t="s">
        <v>321</v>
      </c>
      <c r="J208" s="5">
        <v>1</v>
      </c>
      <c r="K208" s="68"/>
      <c r="L208" s="38">
        <v>5.23</v>
      </c>
      <c r="M208" s="127" t="s">
        <v>103</v>
      </c>
      <c r="N208" s="4" t="s">
        <v>13</v>
      </c>
      <c r="O208" s="41" t="s">
        <v>205</v>
      </c>
      <c r="P208" s="41" t="s">
        <v>205</v>
      </c>
      <c r="Q208" s="3" t="s">
        <v>205</v>
      </c>
      <c r="R208" s="41" t="s">
        <v>205</v>
      </c>
      <c r="S208" s="41"/>
      <c r="T208" s="41"/>
      <c r="U208" s="41"/>
      <c r="V208" s="41"/>
      <c r="W208" s="41"/>
      <c r="X208" s="41"/>
      <c r="Y208" s="22">
        <v>6.8840000000000003</v>
      </c>
      <c r="Z208" s="22">
        <v>6.681</v>
      </c>
      <c r="AA208" s="22">
        <v>5.899</v>
      </c>
      <c r="AB208" s="41"/>
      <c r="AC208" s="41"/>
      <c r="AD208" s="41"/>
      <c r="AE208" s="41"/>
      <c r="AF208" s="41"/>
      <c r="AG208" s="22">
        <v>4.2709999999999999</v>
      </c>
      <c r="AH208" s="41"/>
      <c r="AI208" s="22">
        <v>4.9850000000000003</v>
      </c>
      <c r="AJ208" s="22">
        <v>5.0270000000000001</v>
      </c>
      <c r="AK208" s="22">
        <v>4.7439999999999998</v>
      </c>
      <c r="AL208" s="22">
        <v>5.1719999999999997</v>
      </c>
      <c r="AM208" s="22">
        <v>5.1230000000000002</v>
      </c>
      <c r="AN208" s="6">
        <v>5.2089999999999996</v>
      </c>
      <c r="AO208" s="6">
        <v>5.2549999999999999</v>
      </c>
      <c r="AP208" s="3"/>
      <c r="AQ208" s="8"/>
    </row>
    <row r="209" spans="1:43">
      <c r="A209" s="1">
        <f t="shared" si="27"/>
        <v>207</v>
      </c>
      <c r="B209" s="19"/>
      <c r="C209" s="1">
        <v>3</v>
      </c>
      <c r="D209" s="4">
        <f t="shared" si="25"/>
        <v>35</v>
      </c>
      <c r="E209" s="4" t="s">
        <v>87</v>
      </c>
      <c r="F209" s="4">
        <v>1</v>
      </c>
      <c r="G209" s="4" t="s">
        <v>11</v>
      </c>
      <c r="H209" s="4" t="s">
        <v>121</v>
      </c>
      <c r="I209" s="4" t="s">
        <v>321</v>
      </c>
      <c r="J209" s="5">
        <v>1</v>
      </c>
      <c r="K209" s="68"/>
      <c r="L209" s="38">
        <v>5.9080000000000004</v>
      </c>
      <c r="M209" s="127" t="s">
        <v>103</v>
      </c>
      <c r="N209" s="4" t="s">
        <v>13</v>
      </c>
      <c r="O209" s="41" t="s">
        <v>205</v>
      </c>
      <c r="P209" s="41" t="s">
        <v>205</v>
      </c>
      <c r="Q209" s="3" t="s">
        <v>205</v>
      </c>
      <c r="R209" s="43" t="s">
        <v>205</v>
      </c>
      <c r="S209" s="43"/>
      <c r="T209" s="43"/>
      <c r="U209" s="43"/>
      <c r="V209" s="43"/>
      <c r="W209" s="43"/>
      <c r="X209" s="43"/>
      <c r="Y209" s="22">
        <v>7.4420000000000002</v>
      </c>
      <c r="Z209" s="22">
        <v>7.2380000000000004</v>
      </c>
      <c r="AA209" s="22">
        <v>6.5709999999999997</v>
      </c>
      <c r="AB209" s="43"/>
      <c r="AC209" s="43"/>
      <c r="AD209" s="43"/>
      <c r="AE209" s="43"/>
      <c r="AF209" s="43"/>
      <c r="AG209" s="22">
        <v>4.742</v>
      </c>
      <c r="AH209" s="43"/>
      <c r="AI209" s="22">
        <v>5.8369999999999997</v>
      </c>
      <c r="AJ209" s="22">
        <v>5.7759999999999998</v>
      </c>
      <c r="AK209" s="22">
        <v>5.5060000000000002</v>
      </c>
      <c r="AL209" s="22">
        <v>5.8959999999999999</v>
      </c>
      <c r="AM209" s="22">
        <v>5.8259999999999996</v>
      </c>
      <c r="AN209" s="6">
        <v>5.9930000000000003</v>
      </c>
      <c r="AO209" s="6">
        <v>5.9859999999999998</v>
      </c>
      <c r="AP209" s="3"/>
      <c r="AQ209" s="8"/>
    </row>
    <row r="210" spans="1:43">
      <c r="A210" s="1">
        <f t="shared" si="27"/>
        <v>208</v>
      </c>
      <c r="B210" s="19"/>
      <c r="C210" s="1">
        <v>3</v>
      </c>
      <c r="D210" s="4">
        <f t="shared" si="25"/>
        <v>35</v>
      </c>
      <c r="E210" s="4" t="s">
        <v>332</v>
      </c>
      <c r="F210" s="4">
        <v>3</v>
      </c>
      <c r="G210" s="4" t="s">
        <v>11</v>
      </c>
      <c r="H210" s="4" t="s">
        <v>12</v>
      </c>
      <c r="I210" s="4"/>
      <c r="J210" s="5">
        <v>96.7</v>
      </c>
      <c r="K210" s="68"/>
      <c r="L210" s="38">
        <v>2.1120000000000001</v>
      </c>
      <c r="M210" s="127" t="s">
        <v>333</v>
      </c>
      <c r="N210" s="4" t="s">
        <v>13</v>
      </c>
      <c r="O210" s="41"/>
      <c r="P210" s="41"/>
      <c r="Q210" s="3"/>
      <c r="R210" s="22">
        <v>2.56</v>
      </c>
      <c r="S210" s="22">
        <v>2.202</v>
      </c>
      <c r="T210" s="22">
        <v>2.3050000000000002</v>
      </c>
      <c r="U210" s="22">
        <v>2.2040000000000002</v>
      </c>
      <c r="V210" s="22">
        <v>2.262</v>
      </c>
      <c r="W210" s="43"/>
      <c r="X210" s="43"/>
      <c r="Y210" s="43"/>
      <c r="Z210" s="22">
        <v>2.1760000000000002</v>
      </c>
      <c r="AA210" s="22">
        <v>2.1259999999999999</v>
      </c>
      <c r="AB210" s="22">
        <v>2.6419999999999999</v>
      </c>
      <c r="AC210" s="22">
        <v>2.5790000000000002</v>
      </c>
      <c r="AD210" s="22">
        <v>2.4550000000000001</v>
      </c>
      <c r="AE210" s="22">
        <v>2.5070000000000001</v>
      </c>
      <c r="AF210" s="22">
        <v>2.2639999999999998</v>
      </c>
      <c r="AG210" s="22">
        <v>1.9450000000000001</v>
      </c>
      <c r="AH210" s="22">
        <f>IF((AF210&lt;&gt;0)*AND(AG210&lt;&gt;0),AVERAGE(AF210:AG210),"")</f>
        <v>2.1044999999999998</v>
      </c>
      <c r="AI210" s="43"/>
      <c r="AJ210" s="43"/>
      <c r="AK210" s="43"/>
      <c r="AL210" s="43"/>
      <c r="AM210" s="43"/>
      <c r="AN210" s="43"/>
      <c r="AO210" s="43"/>
      <c r="AP210" s="3"/>
      <c r="AQ210" s="8"/>
    </row>
    <row r="211" spans="1:43">
      <c r="A211" s="1">
        <f t="shared" si="27"/>
        <v>209</v>
      </c>
      <c r="B211" s="19"/>
      <c r="C211" s="1">
        <v>3</v>
      </c>
      <c r="D211" s="4">
        <f t="shared" si="25"/>
        <v>35</v>
      </c>
      <c r="E211" s="4" t="s">
        <v>296</v>
      </c>
      <c r="F211" s="4">
        <v>3</v>
      </c>
      <c r="G211" s="4" t="s">
        <v>11</v>
      </c>
      <c r="H211" s="4" t="s">
        <v>12</v>
      </c>
      <c r="I211" s="4"/>
      <c r="J211" s="5">
        <v>95.7</v>
      </c>
      <c r="K211" s="68"/>
      <c r="L211" s="38">
        <v>2.9249999999999998</v>
      </c>
      <c r="M211" s="127" t="s">
        <v>333</v>
      </c>
      <c r="N211" s="4" t="s">
        <v>13</v>
      </c>
      <c r="O211" s="41"/>
      <c r="P211" s="41"/>
      <c r="Q211" s="3"/>
      <c r="R211" s="22">
        <v>3.492</v>
      </c>
      <c r="S211" s="22">
        <v>3.14</v>
      </c>
      <c r="T211" s="22">
        <v>3.153</v>
      </c>
      <c r="U211" s="22">
        <v>3.0449999999999999</v>
      </c>
      <c r="V211" s="22">
        <v>3.169</v>
      </c>
      <c r="W211" s="43"/>
      <c r="X211" s="43"/>
      <c r="Y211" s="43"/>
      <c r="Z211" s="22">
        <v>3.0510000000000002</v>
      </c>
      <c r="AA211" s="22">
        <v>2.97</v>
      </c>
      <c r="AB211" s="22">
        <v>3.528</v>
      </c>
      <c r="AC211" s="22">
        <v>3.4809999999999999</v>
      </c>
      <c r="AD211" s="22">
        <v>3.3690000000000002</v>
      </c>
      <c r="AE211" s="22">
        <v>3.4</v>
      </c>
      <c r="AF211" s="22">
        <v>3.181</v>
      </c>
      <c r="AG211" s="22">
        <v>2.69</v>
      </c>
      <c r="AH211" s="22">
        <f>IF((AF211&lt;&gt;0)*AND(AG211&lt;&gt;0),AVERAGE(AF211:AG211),"")</f>
        <v>2.9355000000000002</v>
      </c>
      <c r="AI211" s="43"/>
      <c r="AJ211" s="43"/>
      <c r="AK211" s="43"/>
      <c r="AL211" s="43"/>
      <c r="AM211" s="43"/>
      <c r="AN211" s="43"/>
      <c r="AO211" s="43"/>
      <c r="AP211" s="3"/>
      <c r="AQ211" s="8"/>
    </row>
    <row r="212" spans="1:43">
      <c r="A212" s="1">
        <f t="shared" si="27"/>
        <v>210</v>
      </c>
      <c r="B212" s="19"/>
      <c r="C212" s="1">
        <v>3</v>
      </c>
      <c r="D212" s="4">
        <f t="shared" si="25"/>
        <v>35</v>
      </c>
      <c r="E212" s="4" t="s">
        <v>85</v>
      </c>
      <c r="F212" s="4">
        <v>3</v>
      </c>
      <c r="G212" s="4" t="s">
        <v>11</v>
      </c>
      <c r="H212" s="4" t="s">
        <v>17</v>
      </c>
      <c r="I212" s="4"/>
      <c r="J212" s="5">
        <v>98.4</v>
      </c>
      <c r="K212" s="68"/>
      <c r="L212" s="38">
        <v>3.198</v>
      </c>
      <c r="M212" s="127" t="s">
        <v>333</v>
      </c>
      <c r="N212" s="4" t="s">
        <v>13</v>
      </c>
      <c r="O212" s="41"/>
      <c r="P212" s="41"/>
      <c r="Q212" s="3"/>
      <c r="R212" s="22">
        <v>3.3650000000000002</v>
      </c>
      <c r="S212" s="22">
        <v>3.4940000000000002</v>
      </c>
      <c r="T212" s="22">
        <v>3.1709999999999998</v>
      </c>
      <c r="U212" s="22">
        <v>3.0190000000000001</v>
      </c>
      <c r="V212" s="22">
        <v>2.9649999999999999</v>
      </c>
      <c r="W212" s="43"/>
      <c r="X212" s="43"/>
      <c r="Y212" s="43"/>
      <c r="Z212" s="22">
        <v>3.23</v>
      </c>
      <c r="AA212" s="22">
        <v>3.161</v>
      </c>
      <c r="AB212" s="22">
        <v>3.2490000000000001</v>
      </c>
      <c r="AC212" s="22">
        <v>3.38</v>
      </c>
      <c r="AD212" s="22">
        <v>3.419</v>
      </c>
      <c r="AE212" s="22">
        <v>3.157</v>
      </c>
      <c r="AF212" s="22">
        <v>3.2879999999999998</v>
      </c>
      <c r="AG212" s="22">
        <v>2.69</v>
      </c>
      <c r="AH212" s="22">
        <f>IF((AF212&lt;&gt;0)*AND(AG212&lt;&gt;0),AVERAGE(AF212:AG212),"")</f>
        <v>2.9889999999999999</v>
      </c>
      <c r="AI212" s="43"/>
      <c r="AJ212" s="43"/>
      <c r="AK212" s="43"/>
      <c r="AL212" s="43"/>
      <c r="AM212" s="43"/>
      <c r="AN212" s="43"/>
      <c r="AO212" s="43"/>
      <c r="AP212" s="3"/>
      <c r="AQ212" s="8"/>
    </row>
    <row r="213" spans="1:43">
      <c r="A213" s="1">
        <f t="shared" si="27"/>
        <v>211</v>
      </c>
      <c r="B213" s="31" t="s">
        <v>338</v>
      </c>
      <c r="C213" s="1">
        <v>4</v>
      </c>
      <c r="D213" s="4">
        <f t="shared" si="25"/>
        <v>35</v>
      </c>
      <c r="E213" s="4" t="s">
        <v>131</v>
      </c>
      <c r="F213" s="4">
        <v>1</v>
      </c>
      <c r="G213" s="4" t="s">
        <v>11</v>
      </c>
      <c r="H213" s="4" t="s">
        <v>12</v>
      </c>
      <c r="I213" s="4"/>
      <c r="J213" s="5">
        <v>91.1</v>
      </c>
      <c r="K213" s="68"/>
      <c r="L213" s="38">
        <v>7.29</v>
      </c>
      <c r="M213" s="127" t="s">
        <v>117</v>
      </c>
      <c r="N213" s="4" t="s">
        <v>13</v>
      </c>
      <c r="O213" s="6">
        <v>7.2930000000000001</v>
      </c>
      <c r="P213" s="4" t="s">
        <v>7</v>
      </c>
      <c r="Q213" s="3" t="s">
        <v>205</v>
      </c>
      <c r="R213" s="22">
        <v>7.3810000000000002</v>
      </c>
      <c r="S213" s="22">
        <v>7.4660000000000002</v>
      </c>
      <c r="T213" s="22">
        <v>7.3929999999999998</v>
      </c>
      <c r="U213" s="22">
        <v>7.0910000000000002</v>
      </c>
      <c r="V213" s="22">
        <v>7.3559999999999999</v>
      </c>
      <c r="W213" s="6">
        <v>7.3170000000000002</v>
      </c>
      <c r="X213" s="6">
        <v>7.319</v>
      </c>
      <c r="Y213" s="6">
        <v>7.3230000000000004</v>
      </c>
      <c r="Z213" s="22">
        <v>7.306</v>
      </c>
      <c r="AA213" s="22">
        <v>7.2779999999999996</v>
      </c>
      <c r="AB213" s="6">
        <v>7.27</v>
      </c>
      <c r="AC213" s="6">
        <v>7.48</v>
      </c>
      <c r="AD213" s="6">
        <v>7.476</v>
      </c>
      <c r="AE213" s="6">
        <v>7.0369999999999999</v>
      </c>
      <c r="AF213" s="6">
        <v>7.2190000000000003</v>
      </c>
      <c r="AG213" s="6">
        <v>7.3209999999999997</v>
      </c>
      <c r="AH213" s="6">
        <f t="shared" ref="AH213:AH218" si="28">IF((AF213&lt;&gt;0)*AND(AG213&lt;&gt;0),AVERAGE(AF213:AG213),"")</f>
        <v>7.27</v>
      </c>
      <c r="AI213" s="35"/>
      <c r="AJ213" s="35"/>
      <c r="AK213" s="35"/>
      <c r="AL213" s="35"/>
      <c r="AM213" s="35"/>
      <c r="AN213" s="35"/>
      <c r="AO213" s="35"/>
      <c r="AP213" s="3"/>
      <c r="AQ213" s="8"/>
    </row>
    <row r="214" spans="1:43">
      <c r="A214" s="1">
        <f t="shared" si="27"/>
        <v>212</v>
      </c>
      <c r="B214" s="31"/>
      <c r="C214" s="1">
        <v>4</v>
      </c>
      <c r="D214" s="4">
        <f t="shared" si="25"/>
        <v>35</v>
      </c>
      <c r="E214" s="4" t="s">
        <v>130</v>
      </c>
      <c r="F214" s="4">
        <v>3</v>
      </c>
      <c r="G214" s="4" t="s">
        <v>11</v>
      </c>
      <c r="H214" s="4" t="s">
        <v>12</v>
      </c>
      <c r="I214" s="4"/>
      <c r="J214" s="5">
        <v>97.8</v>
      </c>
      <c r="K214" s="68"/>
      <c r="L214" s="38">
        <v>7.0149999999999997</v>
      </c>
      <c r="M214" s="127" t="s">
        <v>109</v>
      </c>
      <c r="N214" s="4" t="s">
        <v>13</v>
      </c>
      <c r="O214" s="6">
        <v>7.0220000000000002</v>
      </c>
      <c r="P214" s="4" t="s">
        <v>7</v>
      </c>
      <c r="Q214" s="3" t="s">
        <v>205</v>
      </c>
      <c r="R214" s="22">
        <v>7.08</v>
      </c>
      <c r="S214" s="22">
        <v>7.1349999999999998</v>
      </c>
      <c r="T214" s="22">
        <v>7.0839999999999996</v>
      </c>
      <c r="U214" s="22">
        <v>6.8609999999999998</v>
      </c>
      <c r="V214" s="6">
        <v>7.0270000000000001</v>
      </c>
      <c r="W214" s="60"/>
      <c r="X214" s="60"/>
      <c r="Y214" s="60"/>
      <c r="Z214" s="6">
        <v>7.0270000000000001</v>
      </c>
      <c r="AA214" s="6">
        <v>6.9989999999999997</v>
      </c>
      <c r="AB214" s="6">
        <v>7.0540000000000003</v>
      </c>
      <c r="AC214" s="6">
        <v>7.2439999999999998</v>
      </c>
      <c r="AD214" s="6">
        <v>7.2089999999999996</v>
      </c>
      <c r="AE214" s="6">
        <v>6.8410000000000002</v>
      </c>
      <c r="AF214" s="6">
        <v>6.9089999999999998</v>
      </c>
      <c r="AG214" s="6">
        <v>7.0110000000000001</v>
      </c>
      <c r="AH214" s="6">
        <f t="shared" si="28"/>
        <v>6.96</v>
      </c>
      <c r="AI214" s="35"/>
      <c r="AJ214" s="35"/>
      <c r="AK214" s="35"/>
      <c r="AL214" s="35"/>
      <c r="AM214" s="35"/>
      <c r="AN214" s="35"/>
      <c r="AO214" s="35"/>
      <c r="AP214" s="3"/>
      <c r="AQ214" s="8"/>
    </row>
    <row r="215" spans="1:43">
      <c r="A215" s="1">
        <f t="shared" si="27"/>
        <v>213</v>
      </c>
      <c r="B215" s="31" t="s">
        <v>126</v>
      </c>
      <c r="C215" s="1">
        <v>3</v>
      </c>
      <c r="D215" s="4">
        <f t="shared" si="25"/>
        <v>35</v>
      </c>
      <c r="E215" s="4" t="s">
        <v>128</v>
      </c>
      <c r="F215" s="4">
        <v>1</v>
      </c>
      <c r="G215" s="4" t="s">
        <v>11</v>
      </c>
      <c r="H215" s="4" t="s">
        <v>215</v>
      </c>
      <c r="I215" s="4"/>
      <c r="J215" s="12">
        <v>93.7</v>
      </c>
      <c r="K215" s="64">
        <v>2E-3</v>
      </c>
      <c r="L215" s="38">
        <v>2.605</v>
      </c>
      <c r="M215" s="127" t="s">
        <v>216</v>
      </c>
      <c r="N215" s="4" t="s">
        <v>13</v>
      </c>
      <c r="O215" s="6">
        <v>2.597</v>
      </c>
      <c r="P215" s="4" t="s">
        <v>7</v>
      </c>
      <c r="Q215" s="3" t="s">
        <v>205</v>
      </c>
      <c r="R215" s="22">
        <v>2.59</v>
      </c>
      <c r="S215" s="42">
        <v>2.5830000000000002</v>
      </c>
      <c r="T215" s="6">
        <v>2.355</v>
      </c>
      <c r="U215" s="22">
        <v>2.3540000000000001</v>
      </c>
      <c r="V215" s="42">
        <v>2.6070000000000002</v>
      </c>
      <c r="W215" s="6">
        <v>2.5910000000000002</v>
      </c>
      <c r="X215" s="6">
        <v>2.593</v>
      </c>
      <c r="Y215" s="6">
        <v>2.61</v>
      </c>
      <c r="Z215" s="22">
        <v>2.6080000000000001</v>
      </c>
      <c r="AA215" s="22">
        <v>2.5960000000000001</v>
      </c>
      <c r="AB215" s="6">
        <v>2.58</v>
      </c>
      <c r="AC215" s="6">
        <v>2.6669999999999998</v>
      </c>
      <c r="AD215" s="6">
        <v>2.64</v>
      </c>
      <c r="AE215" s="6">
        <v>2.4359999999999999</v>
      </c>
      <c r="AF215" s="6">
        <v>2.4550000000000001</v>
      </c>
      <c r="AG215" s="6">
        <v>2.41</v>
      </c>
      <c r="AH215" s="6">
        <f t="shared" si="28"/>
        <v>2.4325000000000001</v>
      </c>
      <c r="AI215" s="35"/>
      <c r="AJ215" s="35"/>
      <c r="AK215" s="35"/>
      <c r="AL215" s="35"/>
      <c r="AM215" s="35"/>
      <c r="AN215" s="35"/>
      <c r="AO215" s="35"/>
      <c r="AP215" s="3"/>
      <c r="AQ215" s="8"/>
    </row>
    <row r="216" spans="1:43">
      <c r="A216" s="1">
        <f t="shared" si="27"/>
        <v>214</v>
      </c>
      <c r="B216" s="31"/>
      <c r="C216" s="1">
        <v>3</v>
      </c>
      <c r="D216" s="4">
        <f t="shared" si="25"/>
        <v>35</v>
      </c>
      <c r="E216" s="4" t="s">
        <v>131</v>
      </c>
      <c r="F216" s="4">
        <v>1</v>
      </c>
      <c r="G216" s="4" t="s">
        <v>11</v>
      </c>
      <c r="H216" s="4" t="s">
        <v>12</v>
      </c>
      <c r="I216" s="4"/>
      <c r="J216" s="12">
        <v>88.3</v>
      </c>
      <c r="K216" s="68"/>
      <c r="L216" s="38">
        <v>4.3529999999999998</v>
      </c>
      <c r="M216" s="127" t="s">
        <v>216</v>
      </c>
      <c r="N216" s="4" t="s">
        <v>13</v>
      </c>
      <c r="O216" s="6">
        <v>4.3740000000000006</v>
      </c>
      <c r="P216" s="4" t="s">
        <v>7</v>
      </c>
      <c r="Q216" s="3" t="s">
        <v>205</v>
      </c>
      <c r="R216" s="22">
        <v>4.1950000000000003</v>
      </c>
      <c r="S216" s="42">
        <v>4.2729999999999997</v>
      </c>
      <c r="T216" s="6">
        <v>4.2699999999999996</v>
      </c>
      <c r="U216" s="22">
        <v>4.319</v>
      </c>
      <c r="V216" s="42">
        <v>4.5679999999999996</v>
      </c>
      <c r="W216" s="22">
        <v>4.3689999999999998</v>
      </c>
      <c r="X216" s="6">
        <v>4.3730000000000002</v>
      </c>
      <c r="Y216" s="6">
        <v>4.4130000000000003</v>
      </c>
      <c r="Z216" s="22">
        <v>4.3490000000000002</v>
      </c>
      <c r="AA216" s="22">
        <v>4.3330000000000002</v>
      </c>
      <c r="AB216" s="6">
        <v>4.4960000000000004</v>
      </c>
      <c r="AC216" s="6">
        <v>4.6109999999999998</v>
      </c>
      <c r="AD216" s="6">
        <v>4.4969999999999999</v>
      </c>
      <c r="AE216" s="6">
        <v>4.2859999999999996</v>
      </c>
      <c r="AF216" s="6">
        <v>4.1159999999999997</v>
      </c>
      <c r="AG216" s="6">
        <v>4.758</v>
      </c>
      <c r="AH216" s="6">
        <f t="shared" si="28"/>
        <v>4.4369999999999994</v>
      </c>
      <c r="AI216" s="35"/>
      <c r="AJ216" s="35"/>
      <c r="AK216" s="35"/>
      <c r="AL216" s="35"/>
      <c r="AM216" s="35"/>
      <c r="AN216" s="35"/>
      <c r="AO216" s="35"/>
      <c r="AP216" s="3"/>
      <c r="AQ216" s="8"/>
    </row>
    <row r="217" spans="1:43">
      <c r="A217" s="1">
        <f t="shared" si="27"/>
        <v>215</v>
      </c>
      <c r="B217" s="31"/>
      <c r="C217" s="1">
        <v>3</v>
      </c>
      <c r="D217" s="4">
        <f t="shared" si="25"/>
        <v>35</v>
      </c>
      <c r="E217" s="4" t="s">
        <v>129</v>
      </c>
      <c r="F217" s="4">
        <v>3</v>
      </c>
      <c r="G217" s="4" t="s">
        <v>11</v>
      </c>
      <c r="H217" s="4" t="s">
        <v>215</v>
      </c>
      <c r="I217" s="4"/>
      <c r="J217" s="13">
        <v>98.6</v>
      </c>
      <c r="K217" s="68"/>
      <c r="L217" s="38">
        <v>1.2010000000000001</v>
      </c>
      <c r="M217" s="127" t="s">
        <v>109</v>
      </c>
      <c r="N217" s="4" t="s">
        <v>13</v>
      </c>
      <c r="O217" s="6">
        <v>1.208</v>
      </c>
      <c r="P217" s="4" t="s">
        <v>7</v>
      </c>
      <c r="Q217" s="3" t="s">
        <v>205</v>
      </c>
      <c r="R217" s="22">
        <v>1.0900000000000001</v>
      </c>
      <c r="S217" s="6">
        <v>1.149</v>
      </c>
      <c r="T217" s="6">
        <v>0.84099999999999997</v>
      </c>
      <c r="U217" s="6">
        <v>0.93200000000000005</v>
      </c>
      <c r="V217" s="22">
        <v>1.107</v>
      </c>
      <c r="W217" s="60"/>
      <c r="X217" s="60"/>
      <c r="Y217" s="60"/>
      <c r="Z217" s="22">
        <v>1.204</v>
      </c>
      <c r="AA217" s="22">
        <v>1.1879999999999999</v>
      </c>
      <c r="AB217" s="6">
        <v>1.1599999999999999</v>
      </c>
      <c r="AC217" s="6">
        <v>1.272</v>
      </c>
      <c r="AD217" s="6">
        <v>1.23</v>
      </c>
      <c r="AE217" s="6">
        <v>1.0580000000000001</v>
      </c>
      <c r="AF217" s="6">
        <v>0.98299999999999998</v>
      </c>
      <c r="AG217" s="6">
        <v>0.90600000000000003</v>
      </c>
      <c r="AH217" s="6">
        <f t="shared" si="28"/>
        <v>0.94450000000000001</v>
      </c>
      <c r="AI217" s="35"/>
      <c r="AJ217" s="35"/>
      <c r="AK217" s="35"/>
      <c r="AL217" s="35"/>
      <c r="AM217" s="35"/>
      <c r="AN217" s="35"/>
      <c r="AO217" s="35"/>
      <c r="AP217" s="3"/>
      <c r="AQ217" s="8"/>
    </row>
    <row r="218" spans="1:43">
      <c r="A218" s="1">
        <f t="shared" si="27"/>
        <v>216</v>
      </c>
      <c r="B218" s="31"/>
      <c r="C218" s="1">
        <v>3</v>
      </c>
      <c r="D218" s="4">
        <f t="shared" si="25"/>
        <v>35</v>
      </c>
      <c r="E218" s="4" t="s">
        <v>130</v>
      </c>
      <c r="F218" s="4">
        <v>3</v>
      </c>
      <c r="G218" s="4" t="s">
        <v>11</v>
      </c>
      <c r="H218" s="4" t="s">
        <v>12</v>
      </c>
      <c r="I218" s="4"/>
      <c r="J218" s="12">
        <v>96.1</v>
      </c>
      <c r="K218" s="68"/>
      <c r="L218" s="38">
        <v>4.2949999999999999</v>
      </c>
      <c r="M218" s="127" t="s">
        <v>109</v>
      </c>
      <c r="N218" s="4" t="s">
        <v>13</v>
      </c>
      <c r="O218" s="6">
        <v>4.3139999999999992</v>
      </c>
      <c r="P218" s="4" t="s">
        <v>7</v>
      </c>
      <c r="Q218" s="3" t="s">
        <v>205</v>
      </c>
      <c r="R218" s="22">
        <v>4.242</v>
      </c>
      <c r="S218" s="6">
        <v>4.1980000000000004</v>
      </c>
      <c r="T218" s="6">
        <v>4.1740000000000004</v>
      </c>
      <c r="U218" s="22">
        <v>4.266</v>
      </c>
      <c r="V218" s="22">
        <v>4.4530000000000003</v>
      </c>
      <c r="W218" s="60"/>
      <c r="X218" s="60"/>
      <c r="Y218" s="60"/>
      <c r="Z218" s="22">
        <v>4.2809999999999997</v>
      </c>
      <c r="AA218" s="22">
        <v>4.2569999999999997</v>
      </c>
      <c r="AB218" s="6">
        <v>4.4829999999999997</v>
      </c>
      <c r="AC218" s="6">
        <v>4.5940000000000003</v>
      </c>
      <c r="AD218" s="6">
        <v>4.46</v>
      </c>
      <c r="AE218" s="6">
        <v>4.2859999999999996</v>
      </c>
      <c r="AF218" s="6">
        <v>4.0540000000000003</v>
      </c>
      <c r="AG218" s="6">
        <v>4.6219999999999999</v>
      </c>
      <c r="AH218" s="6">
        <f t="shared" si="28"/>
        <v>4.3380000000000001</v>
      </c>
      <c r="AI218" s="35"/>
      <c r="AJ218" s="35"/>
      <c r="AK218" s="35"/>
      <c r="AL218" s="35"/>
      <c r="AM218" s="35"/>
      <c r="AN218" s="35"/>
      <c r="AO218" s="35"/>
      <c r="AP218" s="3"/>
      <c r="AQ218" s="8"/>
    </row>
    <row r="219" spans="1:43">
      <c r="A219" s="1">
        <f t="shared" si="27"/>
        <v>217</v>
      </c>
      <c r="B219" s="31" t="s">
        <v>152</v>
      </c>
      <c r="C219" s="1">
        <v>3</v>
      </c>
      <c r="D219" s="4">
        <f t="shared" si="25"/>
        <v>35</v>
      </c>
      <c r="E219" s="4" t="s">
        <v>147</v>
      </c>
      <c r="F219" s="4">
        <v>1</v>
      </c>
      <c r="G219" s="4" t="s">
        <v>11</v>
      </c>
      <c r="H219" s="4" t="s">
        <v>215</v>
      </c>
      <c r="I219" s="4"/>
      <c r="J219" s="13">
        <v>93.9</v>
      </c>
      <c r="K219" s="63">
        <v>7.0000000000000001E-3</v>
      </c>
      <c r="L219" s="38">
        <v>3.5529999999999999</v>
      </c>
      <c r="M219" s="127" t="s">
        <v>216</v>
      </c>
      <c r="N219" s="4" t="s">
        <v>13</v>
      </c>
      <c r="O219" s="6">
        <v>3.5459999999999998</v>
      </c>
      <c r="P219" s="4" t="s">
        <v>7</v>
      </c>
      <c r="Q219" s="3" t="s">
        <v>205</v>
      </c>
      <c r="R219" s="22">
        <v>3.5619999999999998</v>
      </c>
      <c r="S219" s="6">
        <v>3.5710000000000002</v>
      </c>
      <c r="T219" s="22">
        <v>3.3359999999999999</v>
      </c>
      <c r="U219" s="22">
        <v>3.3359999999999999</v>
      </c>
      <c r="V219" s="22">
        <v>3.5720000000000001</v>
      </c>
      <c r="W219" s="22">
        <v>3.5510000000000002</v>
      </c>
      <c r="X219" s="22">
        <v>3.552</v>
      </c>
      <c r="Y219" s="22">
        <v>3.5640000000000001</v>
      </c>
      <c r="Z219" s="22">
        <v>3.56</v>
      </c>
      <c r="AA219" s="22">
        <v>3.55</v>
      </c>
      <c r="AB219" s="22">
        <v>3.5390000000000001</v>
      </c>
      <c r="AC219" s="22">
        <v>3.633</v>
      </c>
      <c r="AD219" s="22">
        <v>3.6120000000000001</v>
      </c>
      <c r="AE219" s="6">
        <v>3.387</v>
      </c>
      <c r="AF219" s="6">
        <v>3.4350000000000001</v>
      </c>
      <c r="AG219" s="6">
        <v>3.35</v>
      </c>
      <c r="AH219" s="6">
        <f t="shared" si="20"/>
        <v>3.3925000000000001</v>
      </c>
      <c r="AI219" s="35"/>
      <c r="AJ219" s="35"/>
      <c r="AK219" s="35"/>
      <c r="AL219" s="35"/>
      <c r="AM219" s="35"/>
      <c r="AN219" s="35"/>
      <c r="AO219" s="35"/>
      <c r="AP219" s="3"/>
      <c r="AQ219" s="8"/>
    </row>
    <row r="220" spans="1:43">
      <c r="A220" s="1">
        <f t="shared" si="27"/>
        <v>218</v>
      </c>
      <c r="B220" s="31" t="s">
        <v>127</v>
      </c>
      <c r="C220" s="1">
        <v>3</v>
      </c>
      <c r="D220" s="4">
        <f t="shared" si="25"/>
        <v>35</v>
      </c>
      <c r="E220" s="4" t="s">
        <v>128</v>
      </c>
      <c r="F220" s="4">
        <v>1</v>
      </c>
      <c r="G220" s="4" t="s">
        <v>11</v>
      </c>
      <c r="H220" s="4" t="s">
        <v>215</v>
      </c>
      <c r="I220" s="4"/>
      <c r="J220" s="5">
        <v>94.7</v>
      </c>
      <c r="K220" s="63">
        <v>3.4000000000000002E-2</v>
      </c>
      <c r="L220" s="38">
        <v>5.0659999999999998</v>
      </c>
      <c r="M220" s="127" t="s">
        <v>216</v>
      </c>
      <c r="N220" s="4" t="s">
        <v>13</v>
      </c>
      <c r="O220" s="6">
        <v>5.0549999999999997</v>
      </c>
      <c r="P220" s="4" t="s">
        <v>7</v>
      </c>
      <c r="Q220" s="3" t="s">
        <v>205</v>
      </c>
      <c r="R220" s="22">
        <v>5.0629999999999997</v>
      </c>
      <c r="S220" s="6">
        <v>5.085</v>
      </c>
      <c r="T220" s="6">
        <v>4.9029999999999996</v>
      </c>
      <c r="U220" s="22">
        <v>4.8559999999999999</v>
      </c>
      <c r="V220" s="22">
        <v>5.0910000000000002</v>
      </c>
      <c r="W220" s="6">
        <v>5.0670000000000002</v>
      </c>
      <c r="X220" s="6">
        <v>5.0670000000000002</v>
      </c>
      <c r="Y220" s="6">
        <v>5.0759999999999996</v>
      </c>
      <c r="Z220" s="22">
        <v>5.069</v>
      </c>
      <c r="AA220" s="22">
        <v>5.0640000000000001</v>
      </c>
      <c r="AB220" s="6">
        <v>5.0510000000000002</v>
      </c>
      <c r="AC220" s="6">
        <v>5.149</v>
      </c>
      <c r="AD220" s="6">
        <v>5.1280000000000001</v>
      </c>
      <c r="AE220" s="6">
        <v>4.8899999999999997</v>
      </c>
      <c r="AF220" s="6">
        <v>4.9450000000000003</v>
      </c>
      <c r="AG220" s="6">
        <v>4.8620000000000001</v>
      </c>
      <c r="AH220" s="6">
        <f t="shared" si="20"/>
        <v>4.9035000000000002</v>
      </c>
      <c r="AI220" s="35"/>
      <c r="AJ220" s="35"/>
      <c r="AK220" s="35"/>
      <c r="AL220" s="35"/>
      <c r="AM220" s="35"/>
      <c r="AN220" s="35"/>
      <c r="AO220" s="35"/>
      <c r="AP220" s="3"/>
      <c r="AQ220" s="8"/>
    </row>
    <row r="221" spans="1:43">
      <c r="A221" s="1">
        <f t="shared" si="27"/>
        <v>219</v>
      </c>
      <c r="B221" s="31"/>
      <c r="C221" s="1">
        <v>3</v>
      </c>
      <c r="D221" s="4">
        <f t="shared" si="25"/>
        <v>35</v>
      </c>
      <c r="E221" s="4" t="s">
        <v>129</v>
      </c>
      <c r="F221" s="4">
        <v>3</v>
      </c>
      <c r="G221" s="4" t="s">
        <v>11</v>
      </c>
      <c r="H221" s="4" t="s">
        <v>215</v>
      </c>
      <c r="I221" s="4"/>
      <c r="J221" s="5">
        <v>99.1</v>
      </c>
      <c r="K221" s="68"/>
      <c r="L221" s="38">
        <v>2.76</v>
      </c>
      <c r="M221" s="127" t="s">
        <v>117</v>
      </c>
      <c r="N221" s="4" t="s">
        <v>13</v>
      </c>
      <c r="O221" s="6">
        <v>2.7669999999999999</v>
      </c>
      <c r="P221" s="4" t="s">
        <v>7</v>
      </c>
      <c r="Q221" s="3" t="s">
        <v>205</v>
      </c>
      <c r="R221" s="22">
        <v>2.6309999999999998</v>
      </c>
      <c r="S221" s="6">
        <v>2.6960000000000002</v>
      </c>
      <c r="T221" s="6">
        <v>2.4740000000000002</v>
      </c>
      <c r="U221" s="22">
        <v>2.645</v>
      </c>
      <c r="V221" s="22">
        <v>2.6880000000000002</v>
      </c>
      <c r="W221" s="60"/>
      <c r="X221" s="60"/>
      <c r="Y221" s="60"/>
      <c r="Z221" s="22">
        <v>2.7639999999999998</v>
      </c>
      <c r="AA221" s="22">
        <v>2.7519999999999998</v>
      </c>
      <c r="AB221" s="6">
        <v>2.7360000000000002</v>
      </c>
      <c r="AC221" s="6">
        <v>2.839</v>
      </c>
      <c r="AD221" s="6">
        <v>2.79</v>
      </c>
      <c r="AE221" s="6">
        <v>2.64</v>
      </c>
      <c r="AF221" s="6">
        <v>2.5430000000000001</v>
      </c>
      <c r="AG221" s="6">
        <v>2.4750000000000001</v>
      </c>
      <c r="AH221" s="6">
        <f t="shared" si="20"/>
        <v>2.5090000000000003</v>
      </c>
      <c r="AI221" s="35"/>
      <c r="AJ221" s="35"/>
      <c r="AK221" s="35"/>
      <c r="AL221" s="35"/>
      <c r="AM221" s="35"/>
      <c r="AN221" s="35"/>
      <c r="AO221" s="35"/>
      <c r="AP221" s="3"/>
      <c r="AQ221" s="8"/>
    </row>
    <row r="222" spans="1:43">
      <c r="A222" s="1">
        <f t="shared" si="27"/>
        <v>220</v>
      </c>
      <c r="B222" s="31" t="s">
        <v>217</v>
      </c>
      <c r="C222" s="1">
        <v>7</v>
      </c>
      <c r="D222" s="4">
        <f t="shared" si="25"/>
        <v>69</v>
      </c>
      <c r="E222" s="4" t="s">
        <v>137</v>
      </c>
      <c r="F222" s="4">
        <v>1</v>
      </c>
      <c r="G222" s="4" t="s">
        <v>11</v>
      </c>
      <c r="H222" s="4" t="s">
        <v>17</v>
      </c>
      <c r="I222" s="4"/>
      <c r="J222" s="12">
        <v>86.3</v>
      </c>
      <c r="K222" s="64">
        <v>8.9999999999999998E-4</v>
      </c>
      <c r="L222" s="37">
        <v>4.9109999999999996</v>
      </c>
      <c r="M222" s="127" t="s">
        <v>339</v>
      </c>
      <c r="N222" s="4" t="s">
        <v>13</v>
      </c>
      <c r="O222" s="60"/>
      <c r="P222" s="9"/>
      <c r="Q222" s="3"/>
      <c r="R222" s="22">
        <v>5.1689999999999996</v>
      </c>
      <c r="S222" s="22">
        <v>5.1109999999999998</v>
      </c>
      <c r="T222" s="22">
        <v>5.3390000000000004</v>
      </c>
      <c r="U222" s="22">
        <v>4.7110000000000003</v>
      </c>
      <c r="V222" s="22">
        <v>5.0869999999999997</v>
      </c>
      <c r="W222" s="22">
        <v>5.01</v>
      </c>
      <c r="X222" s="22">
        <v>5.016</v>
      </c>
      <c r="Y222" s="22">
        <v>4.9859999999999998</v>
      </c>
      <c r="Z222" s="22">
        <v>4.9560000000000004</v>
      </c>
      <c r="AA222" s="41"/>
      <c r="AB222" s="22">
        <v>4.923</v>
      </c>
      <c r="AC222" s="22">
        <v>4.9130000000000003</v>
      </c>
      <c r="AD222" s="22">
        <v>4.9809999999999999</v>
      </c>
      <c r="AE222" s="22">
        <v>4.7729999999999997</v>
      </c>
      <c r="AF222" s="22">
        <v>5.117</v>
      </c>
      <c r="AG222" s="22">
        <v>4.8860000000000001</v>
      </c>
      <c r="AH222" s="22">
        <f t="shared" ref="AH222:AH233" si="29">SUM(AF222:AG222)/2</f>
        <v>5.0015000000000001</v>
      </c>
      <c r="AI222" s="35"/>
      <c r="AJ222" s="35"/>
      <c r="AK222" s="35"/>
      <c r="AL222" s="35"/>
      <c r="AM222" s="35"/>
      <c r="AN222" s="35"/>
      <c r="AO222" s="35"/>
      <c r="AP222" s="3"/>
      <c r="AQ222" s="8"/>
    </row>
    <row r="223" spans="1:43">
      <c r="A223" s="1">
        <f t="shared" si="27"/>
        <v>221</v>
      </c>
      <c r="B223" s="31"/>
      <c r="C223" s="1">
        <v>7</v>
      </c>
      <c r="D223" s="4">
        <f t="shared" si="25"/>
        <v>69</v>
      </c>
      <c r="E223" s="4" t="s">
        <v>118</v>
      </c>
      <c r="F223" s="4">
        <v>1</v>
      </c>
      <c r="G223" s="4" t="s">
        <v>11</v>
      </c>
      <c r="H223" s="4" t="s">
        <v>17</v>
      </c>
      <c r="I223" s="4"/>
      <c r="J223" s="12">
        <v>92.3</v>
      </c>
      <c r="K223" s="64">
        <v>8.0699999999999994E-2</v>
      </c>
      <c r="L223" s="37">
        <v>6.1840000000000002</v>
      </c>
      <c r="M223" s="127" t="s">
        <v>339</v>
      </c>
      <c r="N223" s="4" t="s">
        <v>13</v>
      </c>
      <c r="O223" s="60"/>
      <c r="P223" s="9"/>
      <c r="Q223" s="3"/>
      <c r="R223" s="22">
        <v>6.4340000000000002</v>
      </c>
      <c r="S223" s="22">
        <v>6.2069999999999999</v>
      </c>
      <c r="T223" s="22">
        <v>6.4340000000000002</v>
      </c>
      <c r="U223" s="22">
        <v>6.226</v>
      </c>
      <c r="V223" s="22">
        <v>6.2839999999999998</v>
      </c>
      <c r="W223" s="22">
        <v>6.2240000000000002</v>
      </c>
      <c r="X223" s="22">
        <v>6.2229999999999999</v>
      </c>
      <c r="Y223" s="22">
        <v>6.2089999999999996</v>
      </c>
      <c r="Z223" s="22">
        <v>6.1879999999999997</v>
      </c>
      <c r="AA223" s="41"/>
      <c r="AB223" s="22">
        <v>6.1360000000000001</v>
      </c>
      <c r="AC223" s="22">
        <v>6.1680000000000001</v>
      </c>
      <c r="AD223" s="22">
        <v>6.1859999999999999</v>
      </c>
      <c r="AE223" s="22">
        <v>6.149</v>
      </c>
      <c r="AF223" s="22">
        <v>6.1749999999999998</v>
      </c>
      <c r="AG223" s="22">
        <v>6.0430000000000001</v>
      </c>
      <c r="AH223" s="22">
        <f t="shared" si="29"/>
        <v>6.109</v>
      </c>
      <c r="AI223" s="35"/>
      <c r="AJ223" s="35"/>
      <c r="AK223" s="35"/>
      <c r="AL223" s="35"/>
      <c r="AM223" s="35"/>
      <c r="AN223" s="35"/>
      <c r="AO223" s="35"/>
      <c r="AP223" s="3"/>
      <c r="AQ223" s="8"/>
    </row>
    <row r="224" spans="1:43">
      <c r="A224" s="1">
        <f t="shared" si="27"/>
        <v>222</v>
      </c>
      <c r="B224" s="31"/>
      <c r="C224" s="1">
        <v>7</v>
      </c>
      <c r="D224" s="4">
        <f t="shared" si="25"/>
        <v>69</v>
      </c>
      <c r="E224" s="4" t="s">
        <v>128</v>
      </c>
      <c r="F224" s="4">
        <v>1</v>
      </c>
      <c r="G224" s="4" t="s">
        <v>14</v>
      </c>
      <c r="H224" s="4" t="s">
        <v>170</v>
      </c>
      <c r="I224" s="4"/>
      <c r="J224" s="12">
        <v>92.4</v>
      </c>
      <c r="K224" s="64">
        <v>4.4000000000000003E-3</v>
      </c>
      <c r="L224" s="37">
        <v>6.3070000000000004</v>
      </c>
      <c r="M224" s="127" t="s">
        <v>339</v>
      </c>
      <c r="N224" s="4" t="s">
        <v>13</v>
      </c>
      <c r="O224" s="60"/>
      <c r="P224" s="9"/>
      <c r="Q224" s="3"/>
      <c r="R224" s="22">
        <v>6.4009999999999998</v>
      </c>
      <c r="S224" s="22">
        <v>6.2709999999999999</v>
      </c>
      <c r="T224" s="22">
        <v>6.601</v>
      </c>
      <c r="U224" s="22">
        <v>6.4180000000000001</v>
      </c>
      <c r="V224" s="22">
        <v>6.41</v>
      </c>
      <c r="W224" s="22">
        <v>6.3470000000000004</v>
      </c>
      <c r="X224" s="22">
        <v>6.351</v>
      </c>
      <c r="Y224" s="22">
        <v>6.3470000000000004</v>
      </c>
      <c r="Z224" s="22">
        <v>6.3150000000000004</v>
      </c>
      <c r="AA224" s="41"/>
      <c r="AB224" s="22">
        <v>6.5190000000000001</v>
      </c>
      <c r="AC224" s="22">
        <v>6.4589999999999996</v>
      </c>
      <c r="AD224" s="22">
        <v>6.3979999999999997</v>
      </c>
      <c r="AE224" s="22">
        <v>6.4749999999999996</v>
      </c>
      <c r="AF224" s="22">
        <v>6.3289999999999997</v>
      </c>
      <c r="AG224" s="22">
        <v>6.2110000000000003</v>
      </c>
      <c r="AH224" s="22">
        <f t="shared" si="29"/>
        <v>6.27</v>
      </c>
      <c r="AI224" s="35"/>
      <c r="AJ224" s="35"/>
      <c r="AK224" s="35"/>
      <c r="AL224" s="35"/>
      <c r="AM224" s="35"/>
      <c r="AN224" s="35"/>
      <c r="AO224" s="35"/>
      <c r="AP224" s="3"/>
      <c r="AQ224" s="8"/>
    </row>
    <row r="225" spans="1:43">
      <c r="A225" s="1">
        <f t="shared" si="27"/>
        <v>223</v>
      </c>
      <c r="B225" s="31"/>
      <c r="C225" s="1">
        <v>7</v>
      </c>
      <c r="D225" s="4">
        <f t="shared" si="25"/>
        <v>69</v>
      </c>
      <c r="E225" s="4" t="s">
        <v>128</v>
      </c>
      <c r="F225" s="4">
        <v>1</v>
      </c>
      <c r="G225" s="4" t="s">
        <v>207</v>
      </c>
      <c r="H225" s="4" t="s">
        <v>170</v>
      </c>
      <c r="I225" s="4"/>
      <c r="J225" s="12">
        <v>91.9</v>
      </c>
      <c r="K225" s="64">
        <v>3.5999999999999999E-3</v>
      </c>
      <c r="L225" s="37">
        <v>6.7080000000000002</v>
      </c>
      <c r="M225" s="127" t="s">
        <v>339</v>
      </c>
      <c r="N225" s="4" t="s">
        <v>13</v>
      </c>
      <c r="O225" s="60"/>
      <c r="P225" s="9"/>
      <c r="Q225" s="3"/>
      <c r="R225" s="22">
        <v>6.9349999999999996</v>
      </c>
      <c r="S225" s="22">
        <v>6.7380000000000004</v>
      </c>
      <c r="T225" s="22">
        <v>6.9580000000000002</v>
      </c>
      <c r="U225" s="41"/>
      <c r="V225" s="22">
        <v>6.8339999999999996</v>
      </c>
      <c r="W225" s="22">
        <v>6.7629999999999999</v>
      </c>
      <c r="X225" s="22">
        <v>6.7590000000000003</v>
      </c>
      <c r="Y225" s="22">
        <v>6.7549999999999999</v>
      </c>
      <c r="Z225" s="22">
        <v>6.7210000000000001</v>
      </c>
      <c r="AA225" s="41"/>
      <c r="AB225" s="22">
        <v>6.9669999999999996</v>
      </c>
      <c r="AC225" s="22">
        <v>6.9290000000000003</v>
      </c>
      <c r="AD225" s="22">
        <v>6.8659999999999997</v>
      </c>
      <c r="AE225" s="22">
        <v>7.0780000000000003</v>
      </c>
      <c r="AF225" s="22">
        <v>6.782</v>
      </c>
      <c r="AG225" s="22">
        <v>6.6360000000000001</v>
      </c>
      <c r="AH225" s="22">
        <f t="shared" si="29"/>
        <v>6.7089999999999996</v>
      </c>
      <c r="AI225" s="35"/>
      <c r="AJ225" s="35"/>
      <c r="AK225" s="35"/>
      <c r="AL225" s="35"/>
      <c r="AM225" s="35"/>
      <c r="AN225" s="35"/>
      <c r="AO225" s="35"/>
      <c r="AP225" s="3"/>
      <c r="AQ225" s="8"/>
    </row>
    <row r="226" spans="1:43">
      <c r="A226" s="1">
        <f t="shared" si="27"/>
        <v>224</v>
      </c>
      <c r="B226" s="31"/>
      <c r="C226" s="1">
        <v>7</v>
      </c>
      <c r="D226" s="4">
        <f t="shared" si="25"/>
        <v>69</v>
      </c>
      <c r="E226" s="4" t="s">
        <v>131</v>
      </c>
      <c r="F226" s="4">
        <v>1</v>
      </c>
      <c r="G226" s="4" t="s">
        <v>14</v>
      </c>
      <c r="H226" s="4" t="s">
        <v>170</v>
      </c>
      <c r="I226" s="4"/>
      <c r="J226" s="12">
        <v>92.4</v>
      </c>
      <c r="K226" s="68"/>
      <c r="L226" s="37">
        <v>6.7539999999999996</v>
      </c>
      <c r="M226" s="127" t="s">
        <v>339</v>
      </c>
      <c r="N226" s="4" t="s">
        <v>13</v>
      </c>
      <c r="O226" s="60"/>
      <c r="P226" s="9"/>
      <c r="Q226" s="3"/>
      <c r="R226" s="22">
        <v>6.8470000000000004</v>
      </c>
      <c r="S226" s="22">
        <v>6.7309999999999999</v>
      </c>
      <c r="T226" s="22">
        <v>7.0869999999999997</v>
      </c>
      <c r="U226" s="22">
        <v>6.9020000000000001</v>
      </c>
      <c r="V226" s="22">
        <v>6.8540000000000001</v>
      </c>
      <c r="W226" s="22">
        <v>6.7930000000000001</v>
      </c>
      <c r="X226" s="22">
        <v>6.7990000000000004</v>
      </c>
      <c r="Y226" s="22">
        <v>6.7930000000000001</v>
      </c>
      <c r="Z226" s="22">
        <v>6.7640000000000002</v>
      </c>
      <c r="AA226" s="41"/>
      <c r="AB226" s="22">
        <v>6.923</v>
      </c>
      <c r="AC226" s="22">
        <v>6.8570000000000002</v>
      </c>
      <c r="AD226" s="22">
        <v>6.8150000000000004</v>
      </c>
      <c r="AE226" s="22">
        <v>6.8680000000000003</v>
      </c>
      <c r="AF226" s="22">
        <v>6.7930000000000001</v>
      </c>
      <c r="AG226" s="22">
        <v>6.6369999999999996</v>
      </c>
      <c r="AH226" s="22">
        <f t="shared" si="29"/>
        <v>6.7149999999999999</v>
      </c>
      <c r="AI226" s="35"/>
      <c r="AJ226" s="35"/>
      <c r="AK226" s="35"/>
      <c r="AL226" s="35"/>
      <c r="AM226" s="35"/>
      <c r="AN226" s="35"/>
      <c r="AO226" s="35"/>
      <c r="AP226" s="3"/>
      <c r="AQ226" s="8"/>
    </row>
    <row r="227" spans="1:43">
      <c r="A227" s="1">
        <f t="shared" si="27"/>
        <v>225</v>
      </c>
      <c r="B227" s="31"/>
      <c r="C227" s="1">
        <v>7</v>
      </c>
      <c r="D227" s="4">
        <f t="shared" si="25"/>
        <v>69</v>
      </c>
      <c r="E227" s="4" t="s">
        <v>137</v>
      </c>
      <c r="F227" s="4">
        <v>1</v>
      </c>
      <c r="G227" s="4" t="s">
        <v>11</v>
      </c>
      <c r="H227" s="4" t="s">
        <v>17</v>
      </c>
      <c r="I227" s="4"/>
      <c r="J227" s="12">
        <v>91</v>
      </c>
      <c r="K227" s="64">
        <v>0.38419999999999999</v>
      </c>
      <c r="L227" s="37">
        <v>6.8710000000000004</v>
      </c>
      <c r="M227" s="127" t="s">
        <v>339</v>
      </c>
      <c r="N227" s="4" t="s">
        <v>13</v>
      </c>
      <c r="O227" s="60"/>
      <c r="P227" s="9"/>
      <c r="Q227" s="3"/>
      <c r="R227" s="22">
        <v>7.0860000000000003</v>
      </c>
      <c r="S227" s="22">
        <v>6.8789999999999996</v>
      </c>
      <c r="T227" s="22">
        <v>7.2549999999999999</v>
      </c>
      <c r="U227" s="41"/>
      <c r="V227" s="22">
        <v>7.0940000000000003</v>
      </c>
      <c r="W227" s="22">
        <v>6.9269999999999996</v>
      </c>
      <c r="X227" s="22">
        <v>6.9109999999999996</v>
      </c>
      <c r="Y227" s="22">
        <v>6.9470000000000001</v>
      </c>
      <c r="Z227" s="22">
        <v>6.8780000000000001</v>
      </c>
      <c r="AA227" s="41"/>
      <c r="AB227" s="22">
        <v>7.056</v>
      </c>
      <c r="AC227" s="22">
        <v>7.05</v>
      </c>
      <c r="AD227" s="22">
        <v>6.9340000000000002</v>
      </c>
      <c r="AE227" s="22">
        <v>7.1340000000000003</v>
      </c>
      <c r="AF227" s="22">
        <v>6.8849999999999998</v>
      </c>
      <c r="AG227" s="22">
        <v>6.8369999999999997</v>
      </c>
      <c r="AH227" s="22">
        <f t="shared" si="29"/>
        <v>6.8609999999999998</v>
      </c>
      <c r="AI227" s="35"/>
      <c r="AJ227" s="35"/>
      <c r="AK227" s="35"/>
      <c r="AL227" s="35"/>
      <c r="AM227" s="35"/>
      <c r="AN227" s="35"/>
      <c r="AO227" s="35"/>
      <c r="AP227" s="3"/>
      <c r="AQ227" s="8"/>
    </row>
    <row r="228" spans="1:43">
      <c r="A228" s="1">
        <f t="shared" si="27"/>
        <v>226</v>
      </c>
      <c r="B228" s="31"/>
      <c r="C228" s="1">
        <v>7</v>
      </c>
      <c r="D228" s="4">
        <f t="shared" si="25"/>
        <v>69</v>
      </c>
      <c r="E228" s="4" t="s">
        <v>118</v>
      </c>
      <c r="F228" s="4">
        <v>1</v>
      </c>
      <c r="G228" s="4" t="s">
        <v>11</v>
      </c>
      <c r="H228" s="4" t="s">
        <v>17</v>
      </c>
      <c r="I228" s="4"/>
      <c r="J228" s="12">
        <v>91.6</v>
      </c>
      <c r="K228" s="64">
        <v>0.63719999999999999</v>
      </c>
      <c r="L228" s="37">
        <v>6.9829999999999997</v>
      </c>
      <c r="M228" s="127" t="s">
        <v>339</v>
      </c>
      <c r="N228" s="4" t="s">
        <v>13</v>
      </c>
      <c r="O228" s="60"/>
      <c r="P228" s="9"/>
      <c r="Q228" s="3"/>
      <c r="R228" s="22">
        <v>7.0469999999999997</v>
      </c>
      <c r="S228" s="22">
        <v>6.9859999999999998</v>
      </c>
      <c r="T228" s="22">
        <v>7.3280000000000003</v>
      </c>
      <c r="U228" s="41"/>
      <c r="V228" s="22">
        <v>7.1890000000000001</v>
      </c>
      <c r="W228" s="22">
        <v>7.032</v>
      </c>
      <c r="X228" s="22">
        <v>7.0049999999999999</v>
      </c>
      <c r="Y228" s="22">
        <v>7.0490000000000004</v>
      </c>
      <c r="Z228" s="22">
        <v>6.9859999999999998</v>
      </c>
      <c r="AA228" s="41"/>
      <c r="AB228" s="22">
        <v>7.1189999999999998</v>
      </c>
      <c r="AC228" s="22">
        <v>7.1289999999999996</v>
      </c>
      <c r="AD228" s="22">
        <v>7.0789999999999997</v>
      </c>
      <c r="AE228" s="22">
        <v>7.1449999999999996</v>
      </c>
      <c r="AF228" s="22">
        <v>6.976</v>
      </c>
      <c r="AG228" s="22">
        <v>6.931</v>
      </c>
      <c r="AH228" s="22">
        <f t="shared" si="29"/>
        <v>6.9535</v>
      </c>
      <c r="AI228" s="35"/>
      <c r="AJ228" s="35"/>
      <c r="AK228" s="35"/>
      <c r="AL228" s="35"/>
      <c r="AM228" s="35"/>
      <c r="AN228" s="35"/>
      <c r="AO228" s="35"/>
      <c r="AP228" s="3"/>
      <c r="AQ228" s="8"/>
    </row>
    <row r="229" spans="1:43">
      <c r="A229" s="1">
        <f t="shared" si="27"/>
        <v>227</v>
      </c>
      <c r="B229" s="31"/>
      <c r="C229" s="1">
        <v>7</v>
      </c>
      <c r="D229" s="4">
        <f t="shared" si="25"/>
        <v>69</v>
      </c>
      <c r="E229" s="4" t="s">
        <v>131</v>
      </c>
      <c r="F229" s="4">
        <v>1</v>
      </c>
      <c r="G229" s="4" t="s">
        <v>14</v>
      </c>
      <c r="H229" s="4" t="s">
        <v>170</v>
      </c>
      <c r="I229" s="4"/>
      <c r="J229" s="12">
        <v>92.6</v>
      </c>
      <c r="K229" s="68"/>
      <c r="L229" s="37">
        <v>7.0090000000000003</v>
      </c>
      <c r="M229" s="127" t="s">
        <v>339</v>
      </c>
      <c r="N229" s="4" t="s">
        <v>13</v>
      </c>
      <c r="O229" s="60"/>
      <c r="P229" s="9"/>
      <c r="Q229" s="3"/>
      <c r="R229" s="22">
        <v>7.0069999999999997</v>
      </c>
      <c r="S229" s="22">
        <v>6.91</v>
      </c>
      <c r="T229" s="22">
        <v>7.3129999999999997</v>
      </c>
      <c r="U229" s="22">
        <v>7.1139999999999999</v>
      </c>
      <c r="V229" s="22">
        <v>7.0919999999999996</v>
      </c>
      <c r="W229" s="22">
        <v>7.04</v>
      </c>
      <c r="X229" s="22">
        <v>7.0469999999999997</v>
      </c>
      <c r="Y229" s="22">
        <v>7.0439999999999996</v>
      </c>
      <c r="Z229" s="22">
        <v>7.0149999999999997</v>
      </c>
      <c r="AA229" s="41"/>
      <c r="AB229" s="22">
        <v>7.1769999999999996</v>
      </c>
      <c r="AC229" s="22">
        <v>7.109</v>
      </c>
      <c r="AD229" s="22">
        <v>7.0419999999999998</v>
      </c>
      <c r="AE229" s="22">
        <v>7.0780000000000003</v>
      </c>
      <c r="AF229" s="22">
        <v>6.9749999999999996</v>
      </c>
      <c r="AG229" s="22">
        <v>6.9039999999999999</v>
      </c>
      <c r="AH229" s="22">
        <f t="shared" si="29"/>
        <v>6.9394999999999998</v>
      </c>
      <c r="AI229" s="35"/>
      <c r="AJ229" s="35"/>
      <c r="AK229" s="35"/>
      <c r="AL229" s="35"/>
      <c r="AM229" s="35"/>
      <c r="AN229" s="35"/>
      <c r="AO229" s="35"/>
      <c r="AP229" s="3"/>
      <c r="AQ229" s="8"/>
    </row>
    <row r="230" spans="1:43">
      <c r="A230" s="1">
        <f t="shared" si="27"/>
        <v>228</v>
      </c>
      <c r="B230" s="31"/>
      <c r="C230" s="1">
        <v>7</v>
      </c>
      <c r="D230" s="4">
        <f t="shared" si="25"/>
        <v>69</v>
      </c>
      <c r="E230" s="4" t="s">
        <v>143</v>
      </c>
      <c r="F230" s="4">
        <v>3</v>
      </c>
      <c r="G230" s="4" t="s">
        <v>11</v>
      </c>
      <c r="H230" s="4" t="s">
        <v>17</v>
      </c>
      <c r="I230" s="4"/>
      <c r="J230" s="12">
        <v>98.4</v>
      </c>
      <c r="K230" s="68"/>
      <c r="L230" s="38">
        <v>4.0730000000000004</v>
      </c>
      <c r="M230" s="127" t="s">
        <v>113</v>
      </c>
      <c r="N230" s="4" t="s">
        <v>13</v>
      </c>
      <c r="O230" s="60"/>
      <c r="P230" s="9"/>
      <c r="Q230" s="3"/>
      <c r="R230" s="22">
        <v>4.4059999999999997</v>
      </c>
      <c r="S230" s="22">
        <v>4.2720000000000002</v>
      </c>
      <c r="T230" s="22">
        <v>4.2859999999999996</v>
      </c>
      <c r="U230" s="22">
        <v>3.677</v>
      </c>
      <c r="V230" s="22">
        <v>3.919</v>
      </c>
      <c r="W230" s="41"/>
      <c r="X230" s="41"/>
      <c r="Y230" s="41"/>
      <c r="Z230" s="22">
        <v>4.0910000000000002</v>
      </c>
      <c r="AA230" s="41"/>
      <c r="AB230" s="22">
        <v>4.2409999999999997</v>
      </c>
      <c r="AC230" s="22">
        <v>4.2389999999999999</v>
      </c>
      <c r="AD230" s="22">
        <v>4.25</v>
      </c>
      <c r="AE230" s="22">
        <v>4.1210000000000004</v>
      </c>
      <c r="AF230" s="22">
        <v>4.2670000000000003</v>
      </c>
      <c r="AG230" s="22">
        <v>3.8519999999999999</v>
      </c>
      <c r="AH230" s="22">
        <f t="shared" si="29"/>
        <v>4.0594999999999999</v>
      </c>
      <c r="AI230" s="35"/>
      <c r="AJ230" s="35"/>
      <c r="AK230" s="35"/>
      <c r="AL230" s="35"/>
      <c r="AM230" s="35"/>
      <c r="AN230" s="35"/>
      <c r="AO230" s="35"/>
      <c r="AP230" s="3"/>
      <c r="AQ230" s="8"/>
    </row>
    <row r="231" spans="1:43">
      <c r="A231" s="1">
        <f t="shared" si="27"/>
        <v>229</v>
      </c>
      <c r="B231" s="31"/>
      <c r="C231" s="1">
        <v>7</v>
      </c>
      <c r="D231" s="4">
        <f t="shared" si="25"/>
        <v>69</v>
      </c>
      <c r="E231" s="4" t="s">
        <v>142</v>
      </c>
      <c r="F231" s="4">
        <v>3</v>
      </c>
      <c r="G231" s="4" t="s">
        <v>11</v>
      </c>
      <c r="H231" s="4" t="s">
        <v>17</v>
      </c>
      <c r="I231" s="4"/>
      <c r="J231" s="12">
        <v>97</v>
      </c>
      <c r="K231" s="68"/>
      <c r="L231" s="38">
        <v>4.7229999999999999</v>
      </c>
      <c r="M231" s="127" t="s">
        <v>113</v>
      </c>
      <c r="N231" s="4" t="s">
        <v>13</v>
      </c>
      <c r="O231" s="60"/>
      <c r="P231" s="9"/>
      <c r="Q231" s="3"/>
      <c r="R231" s="22">
        <v>4.93</v>
      </c>
      <c r="S231" s="22">
        <v>4.9249999999999998</v>
      </c>
      <c r="T231" s="22">
        <v>5.0389999999999997</v>
      </c>
      <c r="U231" s="22">
        <v>4.6989999999999998</v>
      </c>
      <c r="V231" s="22">
        <v>4.8040000000000003</v>
      </c>
      <c r="W231" s="43"/>
      <c r="X231" s="43"/>
      <c r="Y231" s="43"/>
      <c r="Z231" s="22">
        <v>4.7300000000000004</v>
      </c>
      <c r="AA231" s="41"/>
      <c r="AB231" s="22">
        <v>4.883</v>
      </c>
      <c r="AC231" s="22">
        <v>4.891</v>
      </c>
      <c r="AD231" s="22">
        <v>4.9050000000000002</v>
      </c>
      <c r="AE231" s="22">
        <v>4.7160000000000002</v>
      </c>
      <c r="AF231" s="22">
        <v>4.9169999999999998</v>
      </c>
      <c r="AG231" s="22">
        <v>4.4729999999999999</v>
      </c>
      <c r="AH231" s="22">
        <f t="shared" si="29"/>
        <v>4.6950000000000003</v>
      </c>
      <c r="AI231" s="35"/>
      <c r="AJ231" s="35"/>
      <c r="AK231" s="35"/>
      <c r="AL231" s="35"/>
      <c r="AM231" s="35"/>
      <c r="AN231" s="35"/>
      <c r="AO231" s="35"/>
      <c r="AP231" s="3"/>
      <c r="AQ231" s="8"/>
    </row>
    <row r="232" spans="1:43">
      <c r="A232" s="1">
        <f t="shared" si="27"/>
        <v>230</v>
      </c>
      <c r="B232" s="31"/>
      <c r="C232" s="1">
        <v>7</v>
      </c>
      <c r="D232" s="4">
        <f t="shared" si="25"/>
        <v>69</v>
      </c>
      <c r="E232" s="4" t="s">
        <v>143</v>
      </c>
      <c r="F232" s="4">
        <v>3</v>
      </c>
      <c r="G232" s="4" t="s">
        <v>11</v>
      </c>
      <c r="H232" s="4" t="s">
        <v>17</v>
      </c>
      <c r="I232" s="4"/>
      <c r="J232" s="12">
        <v>97</v>
      </c>
      <c r="K232" s="68"/>
      <c r="L232" s="38">
        <v>4.7679999999999998</v>
      </c>
      <c r="M232" s="127" t="s">
        <v>113</v>
      </c>
      <c r="N232" s="4" t="s">
        <v>13</v>
      </c>
      <c r="O232" s="60"/>
      <c r="P232" s="9"/>
      <c r="Q232" s="3"/>
      <c r="R232" s="22">
        <v>5.0359999999999996</v>
      </c>
      <c r="S232" s="22">
        <v>4.9850000000000003</v>
      </c>
      <c r="T232" s="22">
        <v>5.0819999999999999</v>
      </c>
      <c r="U232" s="22">
        <v>4.7560000000000002</v>
      </c>
      <c r="V232" s="22">
        <v>4.843</v>
      </c>
      <c r="W232" s="41"/>
      <c r="X232" s="41"/>
      <c r="Y232" s="41"/>
      <c r="Z232" s="22">
        <v>4.7770000000000001</v>
      </c>
      <c r="AA232" s="41"/>
      <c r="AB232" s="22">
        <v>4.9160000000000004</v>
      </c>
      <c r="AC232" s="22">
        <v>4.9219999999999997</v>
      </c>
      <c r="AD232" s="22">
        <v>4.9429999999999996</v>
      </c>
      <c r="AE232" s="22">
        <v>4.7510000000000003</v>
      </c>
      <c r="AF232" s="22">
        <v>4.9770000000000003</v>
      </c>
      <c r="AG232" s="22">
        <v>4.5140000000000002</v>
      </c>
      <c r="AH232" s="22">
        <f t="shared" si="29"/>
        <v>4.7454999999999998</v>
      </c>
      <c r="AI232" s="35"/>
      <c r="AJ232" s="35"/>
      <c r="AK232" s="35"/>
      <c r="AL232" s="35"/>
      <c r="AM232" s="35"/>
      <c r="AN232" s="35"/>
      <c r="AO232" s="35"/>
      <c r="AP232" s="3"/>
      <c r="AQ232" s="8"/>
    </row>
    <row r="233" spans="1:43">
      <c r="A233" s="1">
        <f t="shared" si="27"/>
        <v>231</v>
      </c>
      <c r="B233" s="31"/>
      <c r="C233" s="1">
        <v>7</v>
      </c>
      <c r="D233" s="4">
        <f t="shared" si="25"/>
        <v>69</v>
      </c>
      <c r="E233" s="4" t="s">
        <v>142</v>
      </c>
      <c r="F233" s="4">
        <v>3</v>
      </c>
      <c r="G233" s="4" t="s">
        <v>11</v>
      </c>
      <c r="H233" s="4" t="s">
        <v>17</v>
      </c>
      <c r="I233" s="4"/>
      <c r="J233" s="12">
        <v>97.8</v>
      </c>
      <c r="K233" s="68"/>
      <c r="L233" s="38">
        <v>5.7249999999999996</v>
      </c>
      <c r="M233" s="127" t="s">
        <v>113</v>
      </c>
      <c r="N233" s="4" t="s">
        <v>13</v>
      </c>
      <c r="O233" s="60"/>
      <c r="P233" s="9"/>
      <c r="Q233" s="3"/>
      <c r="R233" s="22">
        <v>5.8890000000000002</v>
      </c>
      <c r="S233" s="22">
        <v>5.8090000000000002</v>
      </c>
      <c r="T233" s="22">
        <v>5.8760000000000003</v>
      </c>
      <c r="U233" s="22">
        <v>5.6749999999999998</v>
      </c>
      <c r="V233" s="22">
        <v>5.7039999999999997</v>
      </c>
      <c r="W233" s="43"/>
      <c r="X233" s="43"/>
      <c r="Y233" s="43"/>
      <c r="Z233" s="22">
        <v>5.7229999999999999</v>
      </c>
      <c r="AA233" s="41"/>
      <c r="AB233" s="22">
        <v>5.8849999999999998</v>
      </c>
      <c r="AC233" s="22">
        <v>5.9119999999999999</v>
      </c>
      <c r="AD233" s="22">
        <v>5.8780000000000001</v>
      </c>
      <c r="AE233" s="22">
        <v>5.73</v>
      </c>
      <c r="AF233" s="22">
        <v>5.7830000000000004</v>
      </c>
      <c r="AG233" s="22">
        <v>5.4450000000000003</v>
      </c>
      <c r="AH233" s="22">
        <f t="shared" si="29"/>
        <v>5.6140000000000008</v>
      </c>
      <c r="AI233" s="35"/>
      <c r="AJ233" s="35"/>
      <c r="AK233" s="35"/>
      <c r="AL233" s="35"/>
      <c r="AM233" s="35"/>
      <c r="AN233" s="35"/>
      <c r="AO233" s="35"/>
      <c r="AP233" s="3"/>
      <c r="AQ233" s="8"/>
    </row>
    <row r="234" spans="1:43">
      <c r="A234" s="1">
        <f t="shared" si="27"/>
        <v>232</v>
      </c>
      <c r="B234" s="31" t="s">
        <v>268</v>
      </c>
      <c r="C234" s="1">
        <v>3</v>
      </c>
      <c r="D234" s="4">
        <f t="shared" si="25"/>
        <v>35</v>
      </c>
      <c r="E234" s="4" t="s">
        <v>147</v>
      </c>
      <c r="F234" s="4">
        <v>1</v>
      </c>
      <c r="G234" s="4" t="s">
        <v>11</v>
      </c>
      <c r="H234" s="4" t="s">
        <v>12</v>
      </c>
      <c r="I234" s="4" t="s">
        <v>320</v>
      </c>
      <c r="J234" s="12">
        <v>79.900000000000006</v>
      </c>
      <c r="K234" s="42">
        <v>0</v>
      </c>
      <c r="L234" s="38">
        <v>2.403</v>
      </c>
      <c r="M234" s="127" t="s">
        <v>341</v>
      </c>
      <c r="N234" s="4" t="s">
        <v>13</v>
      </c>
      <c r="O234" s="22">
        <v>2.407</v>
      </c>
      <c r="P234" s="4" t="s">
        <v>7</v>
      </c>
      <c r="Q234" s="3"/>
      <c r="R234" s="22">
        <v>1.78</v>
      </c>
      <c r="S234" s="22">
        <v>2.1840000000000002</v>
      </c>
      <c r="T234" s="22">
        <v>2.427</v>
      </c>
      <c r="U234" s="22">
        <v>2.5449999999999999</v>
      </c>
      <c r="V234" s="22">
        <v>2.6909999999999998</v>
      </c>
      <c r="W234" s="22">
        <v>2.4209999999999998</v>
      </c>
      <c r="X234" s="22">
        <v>2.4350000000000001</v>
      </c>
      <c r="Y234" s="22">
        <v>2.4660000000000002</v>
      </c>
      <c r="Z234" s="22">
        <v>2.3839999999999999</v>
      </c>
      <c r="AA234" s="22">
        <v>2.4079999999999999</v>
      </c>
      <c r="AB234" s="22">
        <v>2.2360000000000002</v>
      </c>
      <c r="AC234" s="22">
        <v>2.548</v>
      </c>
      <c r="AD234" s="22">
        <v>2.42</v>
      </c>
      <c r="AE234" s="22">
        <v>1.944</v>
      </c>
      <c r="AF234" s="22">
        <v>1.68</v>
      </c>
      <c r="AG234" s="22">
        <v>2.7589999999999999</v>
      </c>
      <c r="AH234" s="6">
        <f t="shared" ref="AH234:AH237" si="30">IF((AF234&lt;&gt;0)*AND(AG234&lt;&gt;0),AVERAGE(AF234:AG234),"")</f>
        <v>2.2195</v>
      </c>
      <c r="AI234" s="35"/>
      <c r="AJ234" s="35"/>
      <c r="AK234" s="35"/>
      <c r="AL234" s="35"/>
      <c r="AM234" s="35"/>
      <c r="AN234" s="35"/>
      <c r="AO234" s="35"/>
      <c r="AP234" s="3"/>
      <c r="AQ234" s="8"/>
    </row>
    <row r="235" spans="1:43">
      <c r="A235" s="1">
        <f t="shared" si="27"/>
        <v>233</v>
      </c>
      <c r="B235" s="31"/>
      <c r="C235" s="1">
        <v>3</v>
      </c>
      <c r="D235" s="4">
        <f t="shared" si="25"/>
        <v>35</v>
      </c>
      <c r="E235" s="4" t="s">
        <v>229</v>
      </c>
      <c r="F235" s="4">
        <v>1</v>
      </c>
      <c r="G235" s="4" t="s">
        <v>11</v>
      </c>
      <c r="H235" s="4" t="s">
        <v>17</v>
      </c>
      <c r="I235" s="4" t="s">
        <v>320</v>
      </c>
      <c r="J235" s="12">
        <v>79.5</v>
      </c>
      <c r="K235" s="64">
        <v>0.13200000000000001</v>
      </c>
      <c r="L235" s="38">
        <v>3.7149999999999999</v>
      </c>
      <c r="M235" s="127" t="s">
        <v>341</v>
      </c>
      <c r="N235" s="4" t="s">
        <v>13</v>
      </c>
      <c r="O235" s="22">
        <v>3.7109999999999999</v>
      </c>
      <c r="P235" s="4" t="s">
        <v>7</v>
      </c>
      <c r="Q235" s="3"/>
      <c r="R235" s="22">
        <v>2.5270000000000001</v>
      </c>
      <c r="S235" s="22">
        <v>3.371</v>
      </c>
      <c r="T235" s="22">
        <v>3.4159999999999999</v>
      </c>
      <c r="U235" s="22">
        <v>3.4209999999999998</v>
      </c>
      <c r="V235" s="22">
        <v>3.9820000000000002</v>
      </c>
      <c r="W235" s="22">
        <v>3.6829999999999998</v>
      </c>
      <c r="X235" s="22">
        <v>3.6859999999999999</v>
      </c>
      <c r="Y235" s="22">
        <v>3.7850000000000001</v>
      </c>
      <c r="Z235" s="22">
        <v>3.7250000000000001</v>
      </c>
      <c r="AA235" s="22">
        <v>3.7370000000000001</v>
      </c>
      <c r="AB235" s="22">
        <v>2.6930000000000001</v>
      </c>
      <c r="AC235" s="22">
        <v>3.3290000000000002</v>
      </c>
      <c r="AD235" s="22">
        <v>3.335</v>
      </c>
      <c r="AE235" s="22">
        <v>2.3889999999999998</v>
      </c>
      <c r="AF235" s="22">
        <v>2.3540000000000001</v>
      </c>
      <c r="AG235" s="22">
        <v>3.6739999999999999</v>
      </c>
      <c r="AH235" s="6">
        <f t="shared" si="30"/>
        <v>3.0140000000000002</v>
      </c>
      <c r="AI235" s="35"/>
      <c r="AJ235" s="35"/>
      <c r="AK235" s="35"/>
      <c r="AL235" s="35"/>
      <c r="AM235" s="35"/>
      <c r="AN235" s="35"/>
      <c r="AO235" s="35"/>
      <c r="AP235" s="3"/>
      <c r="AQ235" s="8"/>
    </row>
    <row r="236" spans="1:43">
      <c r="A236" s="1">
        <f t="shared" si="27"/>
        <v>234</v>
      </c>
      <c r="B236" s="31"/>
      <c r="C236" s="1">
        <v>3</v>
      </c>
      <c r="D236" s="4">
        <f t="shared" si="25"/>
        <v>35</v>
      </c>
      <c r="E236" s="4" t="s">
        <v>230</v>
      </c>
      <c r="F236" s="4">
        <v>3</v>
      </c>
      <c r="G236" s="4" t="s">
        <v>11</v>
      </c>
      <c r="H236" s="4" t="s">
        <v>17</v>
      </c>
      <c r="I236" s="4"/>
      <c r="J236" s="12">
        <v>97.6</v>
      </c>
      <c r="K236" s="68"/>
      <c r="L236" s="38">
        <v>1.917</v>
      </c>
      <c r="M236" s="127" t="s">
        <v>109</v>
      </c>
      <c r="N236" s="4" t="s">
        <v>13</v>
      </c>
      <c r="O236" s="22">
        <v>1.925</v>
      </c>
      <c r="P236" s="4" t="s">
        <v>7</v>
      </c>
      <c r="Q236" s="3"/>
      <c r="R236" s="22">
        <v>1.9430000000000001</v>
      </c>
      <c r="S236" s="22">
        <v>2.0830000000000002</v>
      </c>
      <c r="T236" s="22">
        <v>1.8979999999999999</v>
      </c>
      <c r="U236" s="22">
        <v>1.841</v>
      </c>
      <c r="V236" s="22">
        <v>1.85</v>
      </c>
      <c r="W236" s="60"/>
      <c r="X236" s="60"/>
      <c r="Y236" s="60"/>
      <c r="Z236" s="22">
        <v>1.9650000000000001</v>
      </c>
      <c r="AA236" s="22">
        <v>1.9119999999999999</v>
      </c>
      <c r="AB236" s="22">
        <v>2.056</v>
      </c>
      <c r="AC236" s="22">
        <v>2.306</v>
      </c>
      <c r="AD236" s="22">
        <v>2.2290000000000001</v>
      </c>
      <c r="AE236" s="22">
        <v>1.8480000000000001</v>
      </c>
      <c r="AF236" s="22">
        <v>1.609</v>
      </c>
      <c r="AG236" s="22">
        <v>1.512</v>
      </c>
      <c r="AH236" s="6">
        <f t="shared" si="30"/>
        <v>1.5605</v>
      </c>
      <c r="AI236" s="35"/>
      <c r="AJ236" s="35"/>
      <c r="AK236" s="35"/>
      <c r="AL236" s="35"/>
      <c r="AM236" s="35"/>
      <c r="AN236" s="35"/>
      <c r="AO236" s="35"/>
      <c r="AP236" s="3"/>
      <c r="AQ236" s="8"/>
    </row>
    <row r="237" spans="1:43">
      <c r="A237" s="1">
        <f t="shared" si="27"/>
        <v>235</v>
      </c>
      <c r="B237" s="31"/>
      <c r="C237" s="1">
        <v>3</v>
      </c>
      <c r="D237" s="4">
        <f t="shared" si="25"/>
        <v>35</v>
      </c>
      <c r="E237" s="4" t="s">
        <v>134</v>
      </c>
      <c r="F237" s="4">
        <v>3</v>
      </c>
      <c r="G237" s="4" t="s">
        <v>11</v>
      </c>
      <c r="H237" s="4" t="s">
        <v>12</v>
      </c>
      <c r="I237" s="4"/>
      <c r="J237" s="12">
        <v>93.9</v>
      </c>
      <c r="K237" s="68"/>
      <c r="L237" s="38">
        <v>2.2909999999999999</v>
      </c>
      <c r="M237" s="127" t="s">
        <v>109</v>
      </c>
      <c r="N237" s="4" t="s">
        <v>13</v>
      </c>
      <c r="O237" s="22">
        <v>2.2970000000000002</v>
      </c>
      <c r="P237" s="4" t="s">
        <v>7</v>
      </c>
      <c r="Q237" s="3"/>
      <c r="R237" s="22">
        <v>2.202</v>
      </c>
      <c r="S237" s="22">
        <v>2.085</v>
      </c>
      <c r="T237" s="22">
        <v>2.278</v>
      </c>
      <c r="U237" s="22">
        <v>2.452</v>
      </c>
      <c r="V237" s="22">
        <v>2.4950000000000001</v>
      </c>
      <c r="W237" s="60"/>
      <c r="X237" s="60"/>
      <c r="Y237" s="60"/>
      <c r="Z237" s="22">
        <v>2.2749999999999999</v>
      </c>
      <c r="AA237" s="22">
        <v>2.286</v>
      </c>
      <c r="AB237" s="22">
        <v>2.2149999999999999</v>
      </c>
      <c r="AC237" s="22">
        <v>2.5339999999999998</v>
      </c>
      <c r="AD237" s="22">
        <v>2.38</v>
      </c>
      <c r="AE237" s="22">
        <v>1.9370000000000001</v>
      </c>
      <c r="AF237" s="22">
        <v>1.605</v>
      </c>
      <c r="AG237" s="22">
        <v>2.5390000000000001</v>
      </c>
      <c r="AH237" s="6">
        <f t="shared" si="30"/>
        <v>2.0720000000000001</v>
      </c>
      <c r="AI237" s="35"/>
      <c r="AJ237" s="35"/>
      <c r="AK237" s="35"/>
      <c r="AL237" s="35"/>
      <c r="AM237" s="35"/>
      <c r="AN237" s="35"/>
      <c r="AO237" s="35"/>
      <c r="AP237" s="3"/>
      <c r="AQ237" s="8"/>
    </row>
    <row r="238" spans="1:43">
      <c r="A238" s="1">
        <f t="shared" si="27"/>
        <v>236</v>
      </c>
      <c r="B238" s="2" t="s">
        <v>27</v>
      </c>
      <c r="C238" s="1">
        <v>4</v>
      </c>
      <c r="D238" s="4">
        <f t="shared" si="25"/>
        <v>35</v>
      </c>
      <c r="E238" s="4" t="s">
        <v>243</v>
      </c>
      <c r="F238" s="4">
        <v>1</v>
      </c>
      <c r="G238" s="4" t="s">
        <v>11</v>
      </c>
      <c r="H238" s="4" t="s">
        <v>17</v>
      </c>
      <c r="I238" s="4"/>
      <c r="J238" s="5">
        <v>94.3</v>
      </c>
      <c r="K238" s="68"/>
      <c r="L238" s="38">
        <v>5.7880000000000003</v>
      </c>
      <c r="M238" s="127" t="s">
        <v>216</v>
      </c>
      <c r="N238" s="1" t="s">
        <v>13</v>
      </c>
      <c r="O238" s="22">
        <v>5.78</v>
      </c>
      <c r="P238" s="4" t="s">
        <v>7</v>
      </c>
      <c r="Q238" s="3" t="s">
        <v>205</v>
      </c>
      <c r="R238" s="22">
        <v>6.14</v>
      </c>
      <c r="S238" s="22">
        <v>6.0309999999999997</v>
      </c>
      <c r="T238" s="22">
        <v>6.0220000000000002</v>
      </c>
      <c r="U238" s="22">
        <v>5.8479999999999999</v>
      </c>
      <c r="V238" s="22">
        <v>5.8819999999999997</v>
      </c>
      <c r="W238" s="22">
        <v>5.8380000000000001</v>
      </c>
      <c r="X238" s="22">
        <v>5.8369999999999997</v>
      </c>
      <c r="Y238" s="22">
        <v>5.8129999999999997</v>
      </c>
      <c r="Z238" s="22">
        <v>5.8029999999999999</v>
      </c>
      <c r="AA238" s="22">
        <v>5.8090000000000002</v>
      </c>
      <c r="AB238" s="22">
        <v>6.1529999999999996</v>
      </c>
      <c r="AC238" s="22">
        <v>6.1980000000000004</v>
      </c>
      <c r="AD238" s="22">
        <v>6.1429999999999998</v>
      </c>
      <c r="AE238" s="22">
        <v>6.0090000000000003</v>
      </c>
      <c r="AF238" s="22">
        <v>5.992</v>
      </c>
      <c r="AG238" s="22">
        <v>5.367</v>
      </c>
      <c r="AH238" s="6">
        <f t="shared" ref="AH238:AH242" si="31">IF((AF238&lt;&gt;0)*AND(AG238&lt;&gt;0),AVERAGE(AF238:AG238),"")</f>
        <v>5.6795</v>
      </c>
      <c r="AI238" s="7">
        <v>6.54</v>
      </c>
      <c r="AJ238" s="7">
        <v>5.85</v>
      </c>
      <c r="AK238" s="7">
        <v>5.47</v>
      </c>
      <c r="AL238" s="55">
        <v>5.89</v>
      </c>
      <c r="AM238" s="55">
        <v>5.81</v>
      </c>
      <c r="AN238" s="7">
        <v>5.83</v>
      </c>
      <c r="AO238" s="7">
        <v>5.78</v>
      </c>
      <c r="AP238" s="3"/>
      <c r="AQ238" s="8"/>
    </row>
    <row r="239" spans="1:43">
      <c r="A239" s="1">
        <f t="shared" si="27"/>
        <v>237</v>
      </c>
      <c r="B239" s="19"/>
      <c r="C239" s="1">
        <v>4</v>
      </c>
      <c r="D239" s="4">
        <f t="shared" si="25"/>
        <v>35</v>
      </c>
      <c r="E239" s="4" t="s">
        <v>136</v>
      </c>
      <c r="F239" s="4">
        <v>1</v>
      </c>
      <c r="G239" s="4" t="s">
        <v>11</v>
      </c>
      <c r="H239" s="4" t="s">
        <v>17</v>
      </c>
      <c r="I239" s="4"/>
      <c r="J239" s="5">
        <v>94</v>
      </c>
      <c r="K239" s="68"/>
      <c r="L239" s="38">
        <v>6.0709999999999997</v>
      </c>
      <c r="M239" s="127" t="s">
        <v>216</v>
      </c>
      <c r="N239" s="1" t="s">
        <v>13</v>
      </c>
      <c r="O239" s="22">
        <v>6.0579999999999998</v>
      </c>
      <c r="P239" s="4" t="s">
        <v>7</v>
      </c>
      <c r="Q239" s="3" t="s">
        <v>205</v>
      </c>
      <c r="R239" s="22">
        <v>6.4109999999999996</v>
      </c>
      <c r="S239" s="22">
        <v>6.2990000000000004</v>
      </c>
      <c r="T239" s="22">
        <v>6.2889999999999997</v>
      </c>
      <c r="U239" s="22">
        <v>6.1520000000000001</v>
      </c>
      <c r="V239" s="22">
        <v>6.1529999999999996</v>
      </c>
      <c r="W239" s="22">
        <v>6.1139999999999999</v>
      </c>
      <c r="X239" s="22">
        <v>6.1150000000000002</v>
      </c>
      <c r="Y239" s="22">
        <v>6.0890000000000004</v>
      </c>
      <c r="Z239" s="22">
        <v>6.0759999999999996</v>
      </c>
      <c r="AA239" s="22">
        <v>6.0890000000000004</v>
      </c>
      <c r="AB239" s="22">
        <v>6.3310000000000004</v>
      </c>
      <c r="AC239" s="22">
        <v>6.383</v>
      </c>
      <c r="AD239" s="22">
        <v>6.3559999999999999</v>
      </c>
      <c r="AE239" s="22">
        <v>6.181</v>
      </c>
      <c r="AF239" s="22">
        <v>6.2510000000000003</v>
      </c>
      <c r="AG239" s="22">
        <v>5.6429999999999998</v>
      </c>
      <c r="AH239" s="6">
        <f t="shared" si="31"/>
        <v>5.9470000000000001</v>
      </c>
      <c r="AI239" s="7">
        <v>6.8</v>
      </c>
      <c r="AJ239" s="7">
        <v>6.13</v>
      </c>
      <c r="AK239" s="7">
        <v>5.78</v>
      </c>
      <c r="AL239" s="55">
        <v>6.17</v>
      </c>
      <c r="AM239" s="55">
        <v>6.09</v>
      </c>
      <c r="AN239" s="7">
        <v>6.14</v>
      </c>
      <c r="AO239" s="7">
        <v>6.1</v>
      </c>
      <c r="AP239" s="3"/>
      <c r="AQ239" s="8"/>
    </row>
    <row r="240" spans="1:43">
      <c r="A240" s="1">
        <f t="shared" si="27"/>
        <v>238</v>
      </c>
      <c r="B240" s="19"/>
      <c r="C240" s="1">
        <v>4</v>
      </c>
      <c r="D240" s="4">
        <f t="shared" si="25"/>
        <v>35</v>
      </c>
      <c r="E240" s="4" t="s">
        <v>246</v>
      </c>
      <c r="F240" s="4">
        <v>3</v>
      </c>
      <c r="G240" s="4" t="s">
        <v>11</v>
      </c>
      <c r="H240" s="4" t="s">
        <v>17</v>
      </c>
      <c r="I240" s="4"/>
      <c r="J240" s="5">
        <v>98.5</v>
      </c>
      <c r="K240" s="68"/>
      <c r="L240" s="38">
        <v>4.4509999999999996</v>
      </c>
      <c r="M240" s="127" t="s">
        <v>109</v>
      </c>
      <c r="N240" s="1" t="s">
        <v>13</v>
      </c>
      <c r="O240" s="22">
        <v>4.4690000000000003</v>
      </c>
      <c r="P240" s="4" t="s">
        <v>7</v>
      </c>
      <c r="Q240" s="3" t="s">
        <v>205</v>
      </c>
      <c r="R240" s="22">
        <v>4.891</v>
      </c>
      <c r="S240" s="22">
        <v>4.8010000000000002</v>
      </c>
      <c r="T240" s="22">
        <v>4.7610000000000001</v>
      </c>
      <c r="U240" s="22">
        <v>4.3540000000000001</v>
      </c>
      <c r="V240" s="22">
        <v>4.3780000000000001</v>
      </c>
      <c r="W240" s="60"/>
      <c r="X240" s="60"/>
      <c r="Y240" s="60"/>
      <c r="Z240" s="22">
        <v>4.4450000000000003</v>
      </c>
      <c r="AA240" s="60"/>
      <c r="AB240" s="22">
        <v>4.5350000000000001</v>
      </c>
      <c r="AC240" s="22">
        <v>4.5490000000000004</v>
      </c>
      <c r="AD240" s="22">
        <v>4.6360000000000001</v>
      </c>
      <c r="AE240" s="22">
        <v>4.4349999999999996</v>
      </c>
      <c r="AF240" s="22">
        <v>4.7729999999999997</v>
      </c>
      <c r="AG240" s="22">
        <v>4.109</v>
      </c>
      <c r="AH240" s="6">
        <f t="shared" si="31"/>
        <v>4.4409999999999998</v>
      </c>
      <c r="AI240" s="7">
        <v>4.8600000000000003</v>
      </c>
      <c r="AJ240" s="7">
        <v>4.45</v>
      </c>
      <c r="AK240" s="7">
        <v>4.04</v>
      </c>
      <c r="AL240" s="55">
        <v>4.5199999999999996</v>
      </c>
      <c r="AM240" s="55">
        <v>4.45</v>
      </c>
      <c r="AN240" s="7">
        <v>4.49</v>
      </c>
      <c r="AO240" s="7">
        <v>4.45</v>
      </c>
      <c r="AP240" s="3"/>
      <c r="AQ240" s="8"/>
    </row>
    <row r="241" spans="1:43">
      <c r="A241" s="1">
        <f t="shared" si="27"/>
        <v>239</v>
      </c>
      <c r="B241" s="19"/>
      <c r="C241" s="1">
        <v>4</v>
      </c>
      <c r="D241" s="4">
        <f t="shared" si="25"/>
        <v>35</v>
      </c>
      <c r="E241" s="4" t="s">
        <v>155</v>
      </c>
      <c r="F241" s="4">
        <v>3</v>
      </c>
      <c r="G241" s="4" t="s">
        <v>11</v>
      </c>
      <c r="H241" s="4" t="s">
        <v>17</v>
      </c>
      <c r="I241" s="4"/>
      <c r="J241" s="5">
        <v>98.2</v>
      </c>
      <c r="K241" s="68"/>
      <c r="L241" s="38">
        <v>5.2039999999999997</v>
      </c>
      <c r="M241" s="127" t="s">
        <v>109</v>
      </c>
      <c r="N241" s="1" t="s">
        <v>13</v>
      </c>
      <c r="O241" s="22">
        <v>5.2030000000000003</v>
      </c>
      <c r="P241" s="4" t="s">
        <v>7</v>
      </c>
      <c r="Q241" s="3" t="s">
        <v>205</v>
      </c>
      <c r="R241" s="22">
        <v>5.6040000000000001</v>
      </c>
      <c r="S241" s="22">
        <v>5.4960000000000004</v>
      </c>
      <c r="T241" s="22">
        <v>5.4589999999999996</v>
      </c>
      <c r="U241" s="22">
        <v>5.2190000000000003</v>
      </c>
      <c r="V241" s="22">
        <v>5.2370000000000001</v>
      </c>
      <c r="W241" s="60"/>
      <c r="X241" s="60"/>
      <c r="Y241" s="60"/>
      <c r="Z241" s="22">
        <v>5.2160000000000002</v>
      </c>
      <c r="AA241" s="60"/>
      <c r="AB241" s="22">
        <v>5.665</v>
      </c>
      <c r="AC241" s="22">
        <v>5.7060000000000004</v>
      </c>
      <c r="AD241" s="22">
        <v>5.6360000000000001</v>
      </c>
      <c r="AE241" s="22">
        <v>5.5380000000000003</v>
      </c>
      <c r="AF241" s="22">
        <v>5.4640000000000004</v>
      </c>
      <c r="AG241" s="22">
        <v>4.8010000000000002</v>
      </c>
      <c r="AH241" s="6">
        <f t="shared" si="31"/>
        <v>5.1325000000000003</v>
      </c>
      <c r="AI241" s="7">
        <v>5.64</v>
      </c>
      <c r="AJ241" s="7">
        <v>5.21</v>
      </c>
      <c r="AK241" s="7">
        <v>4.8600000000000003</v>
      </c>
      <c r="AL241" s="55">
        <v>5.26</v>
      </c>
      <c r="AM241" s="55">
        <v>5.19</v>
      </c>
      <c r="AN241" s="7">
        <v>5.23</v>
      </c>
      <c r="AO241" s="7">
        <v>5.19</v>
      </c>
      <c r="AP241" s="3"/>
      <c r="AQ241" s="8"/>
    </row>
    <row r="242" spans="1:43">
      <c r="A242" s="1">
        <f t="shared" si="27"/>
        <v>240</v>
      </c>
      <c r="B242" s="19"/>
      <c r="C242" s="1">
        <v>4</v>
      </c>
      <c r="D242" s="4">
        <f t="shared" si="25"/>
        <v>35</v>
      </c>
      <c r="E242" s="4" t="s">
        <v>115</v>
      </c>
      <c r="F242" s="4">
        <v>1</v>
      </c>
      <c r="G242" s="4" t="s">
        <v>11</v>
      </c>
      <c r="H242" s="4" t="s">
        <v>17</v>
      </c>
      <c r="I242" s="4" t="s">
        <v>251</v>
      </c>
      <c r="J242" s="5">
        <v>93.6</v>
      </c>
      <c r="K242" s="63">
        <v>4.0000000000000001E-3</v>
      </c>
      <c r="L242" s="38">
        <v>3.5379999999999998</v>
      </c>
      <c r="M242" s="127" t="s">
        <v>117</v>
      </c>
      <c r="N242" s="1" t="s">
        <v>13</v>
      </c>
      <c r="O242" s="22">
        <v>3.5310000000000001</v>
      </c>
      <c r="P242" s="4" t="s">
        <v>7</v>
      </c>
      <c r="Q242" s="3" t="s">
        <v>205</v>
      </c>
      <c r="R242" s="22">
        <v>3.827</v>
      </c>
      <c r="S242" s="22">
        <v>3.7909999999999999</v>
      </c>
      <c r="T242" s="22">
        <v>3.7120000000000002</v>
      </c>
      <c r="U242" s="22">
        <v>3.5259999999999998</v>
      </c>
      <c r="V242" s="22">
        <v>3.5779999999999998</v>
      </c>
      <c r="W242" s="22">
        <v>3.5739999999999998</v>
      </c>
      <c r="X242" s="22">
        <v>3.5750000000000002</v>
      </c>
      <c r="Y242" s="22">
        <v>3.536</v>
      </c>
      <c r="Z242" s="22">
        <v>3.5430000000000001</v>
      </c>
      <c r="AA242" s="22">
        <v>3.5579999999999998</v>
      </c>
      <c r="AB242" s="22">
        <v>3.7210000000000001</v>
      </c>
      <c r="AC242" s="22">
        <v>3.8839999999999999</v>
      </c>
      <c r="AD242" s="22">
        <v>3.8540000000000001</v>
      </c>
      <c r="AE242" s="22">
        <v>3.57</v>
      </c>
      <c r="AF242" s="22">
        <v>3.6280000000000001</v>
      </c>
      <c r="AG242" s="22">
        <v>2.7829999999999999</v>
      </c>
      <c r="AH242" s="6">
        <f t="shared" si="31"/>
        <v>3.2054999999999998</v>
      </c>
      <c r="AI242" s="7">
        <v>4.3</v>
      </c>
      <c r="AJ242" s="7">
        <v>3.67</v>
      </c>
      <c r="AK242" s="7">
        <v>3.47</v>
      </c>
      <c r="AL242" s="55">
        <v>3.64</v>
      </c>
      <c r="AM242" s="55">
        <v>3.58</v>
      </c>
      <c r="AN242" s="7">
        <v>3.55</v>
      </c>
      <c r="AO242" s="7">
        <v>3.5</v>
      </c>
      <c r="AP242" s="3"/>
      <c r="AQ242" s="8"/>
    </row>
    <row r="243" spans="1:43">
      <c r="A243" s="1">
        <f t="shared" si="27"/>
        <v>241</v>
      </c>
      <c r="B243" s="2" t="s">
        <v>28</v>
      </c>
      <c r="C243" s="1">
        <v>4</v>
      </c>
      <c r="D243" s="4">
        <f t="shared" si="25"/>
        <v>35</v>
      </c>
      <c r="E243" s="4" t="s">
        <v>224</v>
      </c>
      <c r="F243" s="4">
        <v>1</v>
      </c>
      <c r="G243" s="4" t="s">
        <v>11</v>
      </c>
      <c r="H243" s="4" t="s">
        <v>12</v>
      </c>
      <c r="I243" s="4"/>
      <c r="J243" s="5">
        <v>89.8</v>
      </c>
      <c r="K243" s="135">
        <v>1.5E-3</v>
      </c>
      <c r="L243" s="38">
        <v>3.8169999999999993</v>
      </c>
      <c r="M243" s="127" t="s">
        <v>203</v>
      </c>
      <c r="N243" s="1" t="s">
        <v>13</v>
      </c>
      <c r="O243" s="22">
        <v>3.8209999999999997</v>
      </c>
      <c r="P243" s="1" t="s">
        <v>7</v>
      </c>
      <c r="Q243" s="3" t="s">
        <v>205</v>
      </c>
      <c r="R243" s="22">
        <v>3.9809999999999999</v>
      </c>
      <c r="S243" s="22">
        <v>3.972</v>
      </c>
      <c r="T243" s="22">
        <v>3.9660000000000002</v>
      </c>
      <c r="U243" s="22">
        <v>3.835</v>
      </c>
      <c r="V243" s="22">
        <v>3.9369999999999998</v>
      </c>
      <c r="W243" s="22">
        <v>3.8690000000000002</v>
      </c>
      <c r="X243" s="22">
        <v>3.867</v>
      </c>
      <c r="Y243" s="22">
        <v>3.8559999999999999</v>
      </c>
      <c r="Z243" s="22">
        <v>3.8330000000000002</v>
      </c>
      <c r="AA243" s="22">
        <v>3.8149999999999999</v>
      </c>
      <c r="AB243" s="22">
        <v>4.0289999999999999</v>
      </c>
      <c r="AC243" s="22">
        <v>4.1589999999999998</v>
      </c>
      <c r="AD243" s="22">
        <v>4.0979999999999999</v>
      </c>
      <c r="AE243" s="22">
        <v>3.8149999999999999</v>
      </c>
      <c r="AF243" s="22">
        <v>3.8279999999999998</v>
      </c>
      <c r="AG243" s="22">
        <v>3.7770000000000001</v>
      </c>
      <c r="AH243" s="6">
        <f t="shared" si="20"/>
        <v>3.8025000000000002</v>
      </c>
      <c r="AI243" s="7">
        <v>4.0199999999999996</v>
      </c>
      <c r="AJ243" s="7">
        <v>3.98</v>
      </c>
      <c r="AK243" s="7">
        <v>3.67</v>
      </c>
      <c r="AL243" s="55">
        <v>3.94</v>
      </c>
      <c r="AM243" s="55">
        <v>3.89</v>
      </c>
      <c r="AN243" s="7">
        <v>4.01</v>
      </c>
      <c r="AO243" s="7">
        <v>3.98</v>
      </c>
      <c r="AP243" s="3"/>
      <c r="AQ243" s="8"/>
    </row>
    <row r="244" spans="1:43">
      <c r="A244" s="1">
        <f t="shared" si="27"/>
        <v>242</v>
      </c>
      <c r="B244" s="19"/>
      <c r="C244" s="1">
        <v>4</v>
      </c>
      <c r="D244" s="4">
        <f t="shared" si="25"/>
        <v>35</v>
      </c>
      <c r="E244" s="4" t="s">
        <v>224</v>
      </c>
      <c r="F244" s="4">
        <v>1</v>
      </c>
      <c r="G244" s="4" t="s">
        <v>11</v>
      </c>
      <c r="H244" s="4" t="s">
        <v>17</v>
      </c>
      <c r="I244" s="4"/>
      <c r="J244" s="5">
        <v>91.9</v>
      </c>
      <c r="K244" s="135">
        <v>0</v>
      </c>
      <c r="L244" s="38">
        <v>6.4289999999999994</v>
      </c>
      <c r="M244" s="127" t="s">
        <v>203</v>
      </c>
      <c r="N244" s="1" t="s">
        <v>13</v>
      </c>
      <c r="O244" s="22">
        <v>6.4189999999999996</v>
      </c>
      <c r="P244" s="1" t="s">
        <v>7</v>
      </c>
      <c r="Q244" s="3" t="s">
        <v>205</v>
      </c>
      <c r="R244" s="22">
        <v>7.1029999999999998</v>
      </c>
      <c r="S244" s="22">
        <v>6.7430000000000003</v>
      </c>
      <c r="T244" s="22">
        <v>6.8520000000000003</v>
      </c>
      <c r="U244" s="22">
        <v>6.5819999999999999</v>
      </c>
      <c r="V244" s="22">
        <v>6.6740000000000004</v>
      </c>
      <c r="W244" s="22">
        <v>6.5060000000000002</v>
      </c>
      <c r="X244" s="22">
        <v>6.5</v>
      </c>
      <c r="Y244" s="22">
        <v>6.4749999999999996</v>
      </c>
      <c r="Z244" s="22">
        <v>6.4189999999999996</v>
      </c>
      <c r="AA244" s="22">
        <v>6.4589999999999996</v>
      </c>
      <c r="AB244" s="22">
        <v>6.9489999999999998</v>
      </c>
      <c r="AC244" s="22">
        <v>6.9790000000000001</v>
      </c>
      <c r="AD244" s="22">
        <v>6.9029999999999996</v>
      </c>
      <c r="AE244" s="22">
        <v>6.7729999999999997</v>
      </c>
      <c r="AF244" s="22">
        <v>6.7309999999999999</v>
      </c>
      <c r="AG244" s="22">
        <v>6.069</v>
      </c>
      <c r="AH244" s="6">
        <f t="shared" si="20"/>
        <v>6.4</v>
      </c>
      <c r="AI244" s="7">
        <v>7.61</v>
      </c>
      <c r="AJ244" s="7">
        <v>6.79</v>
      </c>
      <c r="AK244" s="7">
        <v>6.43</v>
      </c>
      <c r="AL244" s="55">
        <v>6.77</v>
      </c>
      <c r="AM244" s="55">
        <v>6.67</v>
      </c>
      <c r="AN244" s="7">
        <v>6.52</v>
      </c>
      <c r="AO244" s="7">
        <v>6.44</v>
      </c>
      <c r="AP244" s="3"/>
      <c r="AQ244" s="8"/>
    </row>
    <row r="245" spans="1:43">
      <c r="A245" s="1">
        <f t="shared" si="27"/>
        <v>243</v>
      </c>
      <c r="B245" s="19"/>
      <c r="C245" s="1">
        <v>4</v>
      </c>
      <c r="D245" s="4">
        <f t="shared" si="25"/>
        <v>35</v>
      </c>
      <c r="E245" s="4" t="s">
        <v>225</v>
      </c>
      <c r="F245" s="4">
        <v>3</v>
      </c>
      <c r="G245" s="4" t="s">
        <v>11</v>
      </c>
      <c r="H245" s="4" t="s">
        <v>12</v>
      </c>
      <c r="I245" s="4"/>
      <c r="J245" s="5">
        <v>97.6</v>
      </c>
      <c r="K245" s="68"/>
      <c r="L245" s="38">
        <v>3.4430000000000001</v>
      </c>
      <c r="M245" s="127" t="s">
        <v>110</v>
      </c>
      <c r="N245" s="1" t="s">
        <v>13</v>
      </c>
      <c r="O245" s="22">
        <v>3.4540000000000002</v>
      </c>
      <c r="P245" s="1" t="s">
        <v>7</v>
      </c>
      <c r="Q245" s="3" t="s">
        <v>205</v>
      </c>
      <c r="R245" s="22">
        <v>3.5379999999999998</v>
      </c>
      <c r="S245" s="22">
        <v>3.5059999999999998</v>
      </c>
      <c r="T245" s="22">
        <v>3.5259999999999998</v>
      </c>
      <c r="U245" s="22">
        <v>3.3149999999999999</v>
      </c>
      <c r="V245" s="22">
        <v>3.488</v>
      </c>
      <c r="W245" s="60"/>
      <c r="X245" s="60"/>
      <c r="Y245" s="60"/>
      <c r="Z245" s="22">
        <v>3.4590000000000001</v>
      </c>
      <c r="AA245" s="60"/>
      <c r="AB245" s="22">
        <v>3.6640000000000001</v>
      </c>
      <c r="AC245" s="22">
        <v>3.7810000000000001</v>
      </c>
      <c r="AD245" s="22">
        <v>3.69</v>
      </c>
      <c r="AE245" s="22">
        <v>3.472</v>
      </c>
      <c r="AF245" s="22">
        <v>3.3740000000000001</v>
      </c>
      <c r="AG245" s="22">
        <v>3.3809999999999998</v>
      </c>
      <c r="AH245" s="6">
        <f t="shared" si="20"/>
        <v>3.3774999999999999</v>
      </c>
      <c r="AI245" s="7">
        <v>3.52</v>
      </c>
      <c r="AJ245" s="7">
        <v>3.46</v>
      </c>
      <c r="AK245" s="7">
        <v>3.25</v>
      </c>
      <c r="AL245" s="55">
        <v>3.51</v>
      </c>
      <c r="AM245" s="28">
        <v>3.5</v>
      </c>
      <c r="AN245" s="7">
        <v>3.59</v>
      </c>
      <c r="AO245" s="7">
        <v>3.58</v>
      </c>
      <c r="AP245" s="3"/>
      <c r="AQ245" s="8"/>
    </row>
    <row r="246" spans="1:43">
      <c r="A246" s="1">
        <f t="shared" si="27"/>
        <v>244</v>
      </c>
      <c r="B246" s="19"/>
      <c r="C246" s="1">
        <v>4</v>
      </c>
      <c r="D246" s="4">
        <f t="shared" si="25"/>
        <v>35</v>
      </c>
      <c r="E246" s="4" t="s">
        <v>230</v>
      </c>
      <c r="F246" s="4">
        <v>3</v>
      </c>
      <c r="G246" s="4" t="s">
        <v>11</v>
      </c>
      <c r="H246" s="4" t="s">
        <v>17</v>
      </c>
      <c r="I246" s="4"/>
      <c r="J246" s="5">
        <v>98.4</v>
      </c>
      <c r="K246" s="68"/>
      <c r="L246" s="38">
        <v>5.0039999999999996</v>
      </c>
      <c r="M246" s="127" t="s">
        <v>110</v>
      </c>
      <c r="N246" s="1" t="s">
        <v>13</v>
      </c>
      <c r="O246" s="22">
        <v>5.016</v>
      </c>
      <c r="P246" s="1" t="s">
        <v>7</v>
      </c>
      <c r="Q246" s="3" t="s">
        <v>205</v>
      </c>
      <c r="R246" s="22">
        <v>5.43</v>
      </c>
      <c r="S246" s="22">
        <v>5.3440000000000003</v>
      </c>
      <c r="T246" s="22">
        <v>5.266</v>
      </c>
      <c r="U246" s="22">
        <v>4.8419999999999996</v>
      </c>
      <c r="V246" s="22">
        <v>4.9710000000000001</v>
      </c>
      <c r="W246" s="60"/>
      <c r="X246" s="60"/>
      <c r="Y246" s="60"/>
      <c r="Z246" s="22">
        <v>5.0069999999999997</v>
      </c>
      <c r="AA246" s="60"/>
      <c r="AB246" s="22">
        <v>5.1929999999999996</v>
      </c>
      <c r="AC246" s="22">
        <v>5.2460000000000004</v>
      </c>
      <c r="AD246" s="22">
        <v>5.2880000000000003</v>
      </c>
      <c r="AE246" s="22">
        <v>5.07</v>
      </c>
      <c r="AF246" s="22">
        <v>5.2720000000000002</v>
      </c>
      <c r="AG246" s="22">
        <v>4.6340000000000003</v>
      </c>
      <c r="AH246" s="6">
        <f t="shared" si="20"/>
        <v>4.9530000000000003</v>
      </c>
      <c r="AI246" s="7">
        <v>4.9800000000000004</v>
      </c>
      <c r="AJ246" s="7">
        <v>5.25</v>
      </c>
      <c r="AK246" s="7">
        <v>5.03</v>
      </c>
      <c r="AL246" s="55">
        <v>5.16</v>
      </c>
      <c r="AM246" s="55">
        <v>5.12</v>
      </c>
      <c r="AN246" s="7">
        <v>5.37</v>
      </c>
      <c r="AO246" s="7">
        <v>5.35</v>
      </c>
      <c r="AP246" s="3"/>
      <c r="AQ246" s="8"/>
    </row>
    <row r="247" spans="1:43">
      <c r="A247" s="1">
        <f t="shared" si="27"/>
        <v>245</v>
      </c>
      <c r="B247" s="2" t="s">
        <v>29</v>
      </c>
      <c r="C247" s="1">
        <v>4</v>
      </c>
      <c r="D247" s="4">
        <f t="shared" si="25"/>
        <v>35</v>
      </c>
      <c r="E247" s="4" t="s">
        <v>248</v>
      </c>
      <c r="F247" s="4">
        <v>1</v>
      </c>
      <c r="G247" s="4" t="s">
        <v>11</v>
      </c>
      <c r="H247" s="4" t="s">
        <v>17</v>
      </c>
      <c r="I247" s="4"/>
      <c r="J247" s="5">
        <v>94.1</v>
      </c>
      <c r="K247" s="68"/>
      <c r="L247" s="38">
        <v>6.3749999999999991</v>
      </c>
      <c r="M247" s="127" t="s">
        <v>216</v>
      </c>
      <c r="N247" s="1" t="s">
        <v>13</v>
      </c>
      <c r="O247" s="22">
        <v>6.3639999999999999</v>
      </c>
      <c r="P247" s="1" t="s">
        <v>7</v>
      </c>
      <c r="Q247" s="3" t="s">
        <v>205</v>
      </c>
      <c r="R247" s="22">
        <v>6.8460000000000001</v>
      </c>
      <c r="S247" s="22">
        <v>6.7210000000000001</v>
      </c>
      <c r="T247" s="22">
        <v>6.7249999999999996</v>
      </c>
      <c r="U247" s="22">
        <v>6.4630000000000001</v>
      </c>
      <c r="V247" s="22">
        <v>6.4969999999999999</v>
      </c>
      <c r="W247" s="22">
        <v>6.4370000000000003</v>
      </c>
      <c r="X247" s="22">
        <v>6.4379999999999997</v>
      </c>
      <c r="Y247" s="22">
        <v>6.4050000000000002</v>
      </c>
      <c r="Z247" s="6">
        <v>6.3890000000000002</v>
      </c>
      <c r="AA247" s="6">
        <v>6.399</v>
      </c>
      <c r="AB247" s="22">
        <v>6.8239999999999998</v>
      </c>
      <c r="AC247" s="22">
        <v>6.8860000000000001</v>
      </c>
      <c r="AD247" s="22">
        <v>6.8319999999999999</v>
      </c>
      <c r="AE247" s="22">
        <v>6.6680000000000001</v>
      </c>
      <c r="AF247" s="22">
        <v>6.6639999999999997</v>
      </c>
      <c r="AG247" s="22">
        <v>5.8840000000000003</v>
      </c>
      <c r="AH247" s="6">
        <f t="shared" si="20"/>
        <v>6.274</v>
      </c>
      <c r="AI247" s="7">
        <v>7.14</v>
      </c>
      <c r="AJ247" s="7">
        <v>6.4</v>
      </c>
      <c r="AK247" s="7">
        <v>6.03</v>
      </c>
      <c r="AL247" s="55">
        <v>6.46</v>
      </c>
      <c r="AM247" s="55">
        <v>6.39</v>
      </c>
      <c r="AN247" s="7">
        <v>6.37</v>
      </c>
      <c r="AO247" s="7">
        <v>6.32</v>
      </c>
      <c r="AP247" s="3"/>
      <c r="AQ247" s="8"/>
    </row>
    <row r="248" spans="1:43">
      <c r="A248" s="1">
        <f t="shared" si="27"/>
        <v>246</v>
      </c>
      <c r="B248" s="19"/>
      <c r="C248" s="1">
        <v>4</v>
      </c>
      <c r="D248" s="4">
        <f t="shared" si="25"/>
        <v>35</v>
      </c>
      <c r="E248" s="4" t="s">
        <v>249</v>
      </c>
      <c r="F248" s="4">
        <v>1</v>
      </c>
      <c r="G248" s="4" t="s">
        <v>11</v>
      </c>
      <c r="H248" s="4" t="s">
        <v>17</v>
      </c>
      <c r="I248" s="4"/>
      <c r="J248" s="5">
        <v>93.4</v>
      </c>
      <c r="K248" s="68"/>
      <c r="L248" s="38">
        <v>6.6490000000000009</v>
      </c>
      <c r="M248" s="127" t="s">
        <v>216</v>
      </c>
      <c r="N248" s="1" t="s">
        <v>13</v>
      </c>
      <c r="O248" s="22">
        <v>6.6340000000000003</v>
      </c>
      <c r="P248" s="1" t="s">
        <v>7</v>
      </c>
      <c r="Q248" s="3" t="s">
        <v>205</v>
      </c>
      <c r="R248" s="22">
        <v>7.1479999999999997</v>
      </c>
      <c r="S248" s="22">
        <v>7.0170000000000003</v>
      </c>
      <c r="T248" s="22">
        <v>6.9989999999999997</v>
      </c>
      <c r="U248" s="22">
        <v>6.8019999999999996</v>
      </c>
      <c r="V248" s="22">
        <v>6.7759999999999998</v>
      </c>
      <c r="W248" s="22">
        <v>6.7140000000000004</v>
      </c>
      <c r="X248" s="22">
        <v>6.7160000000000002</v>
      </c>
      <c r="Y248" s="22">
        <v>6.6790000000000003</v>
      </c>
      <c r="Z248" s="6">
        <v>6.6589999999999998</v>
      </c>
      <c r="AA248" s="6">
        <v>6.673</v>
      </c>
      <c r="AB248" s="22">
        <v>7.0110000000000001</v>
      </c>
      <c r="AC248" s="22">
        <v>7.0810000000000004</v>
      </c>
      <c r="AD248" s="22">
        <v>7.06</v>
      </c>
      <c r="AE248" s="22">
        <v>6.8470000000000004</v>
      </c>
      <c r="AF248" s="22">
        <v>6.9480000000000004</v>
      </c>
      <c r="AG248" s="22">
        <v>6.1630000000000003</v>
      </c>
      <c r="AH248" s="6">
        <f t="shared" ref="AH248:AH250" si="32">IF((AF248&lt;&gt;0)*AND(AG248&lt;&gt;0),AVERAGE(AF248:AG248),"")</f>
        <v>6.5555000000000003</v>
      </c>
      <c r="AI248" s="7">
        <v>7.46</v>
      </c>
      <c r="AJ248" s="7">
        <v>6.7</v>
      </c>
      <c r="AK248" s="7">
        <v>6.35</v>
      </c>
      <c r="AL248" s="55">
        <v>6.75</v>
      </c>
      <c r="AM248" s="55">
        <v>6.68</v>
      </c>
      <c r="AN248" s="7">
        <v>6.71</v>
      </c>
      <c r="AO248" s="7">
        <v>6.66</v>
      </c>
      <c r="AP248" s="3"/>
      <c r="AQ248" s="8"/>
    </row>
    <row r="249" spans="1:43">
      <c r="A249" s="1">
        <f t="shared" si="27"/>
        <v>247</v>
      </c>
      <c r="B249" s="19"/>
      <c r="C249" s="1">
        <v>4</v>
      </c>
      <c r="D249" s="4">
        <f t="shared" si="25"/>
        <v>35</v>
      </c>
      <c r="E249" s="4" t="s">
        <v>250</v>
      </c>
      <c r="F249" s="4">
        <v>3</v>
      </c>
      <c r="G249" s="4" t="s">
        <v>11</v>
      </c>
      <c r="H249" s="4" t="s">
        <v>17</v>
      </c>
      <c r="I249" s="4"/>
      <c r="J249" s="5">
        <v>98.5</v>
      </c>
      <c r="K249" s="68"/>
      <c r="L249" s="38">
        <v>4.9050000000000002</v>
      </c>
      <c r="M249" s="127" t="s">
        <v>109</v>
      </c>
      <c r="N249" s="1" t="s">
        <v>13</v>
      </c>
      <c r="O249" s="22">
        <v>4.9230000000000018</v>
      </c>
      <c r="P249" s="1" t="s">
        <v>7</v>
      </c>
      <c r="Q249" s="3" t="s">
        <v>205</v>
      </c>
      <c r="R249" s="22">
        <v>5.444</v>
      </c>
      <c r="S249" s="22">
        <v>5.3550000000000004</v>
      </c>
      <c r="T249" s="22">
        <v>5.3220000000000001</v>
      </c>
      <c r="U249" s="22">
        <v>4.8109999999999999</v>
      </c>
      <c r="V249" s="22">
        <v>4.8360000000000003</v>
      </c>
      <c r="W249" s="60"/>
      <c r="X249" s="60"/>
      <c r="Y249" s="60"/>
      <c r="Z249" s="22">
        <v>4.8949999999999996</v>
      </c>
      <c r="AA249" s="22">
        <v>4.8890000000000002</v>
      </c>
      <c r="AB249" s="22">
        <v>4.9580000000000002</v>
      </c>
      <c r="AC249" s="22">
        <v>4.9779999999999998</v>
      </c>
      <c r="AD249" s="22">
        <v>5.1079999999999997</v>
      </c>
      <c r="AE249" s="22">
        <v>4.8499999999999996</v>
      </c>
      <c r="AF249" s="22">
        <v>5.3140000000000001</v>
      </c>
      <c r="AG249" s="22">
        <v>4.4870000000000001</v>
      </c>
      <c r="AH249" s="6">
        <f t="shared" si="32"/>
        <v>4.9005000000000001</v>
      </c>
      <c r="AI249" s="7">
        <v>5.28</v>
      </c>
      <c r="AJ249" s="7">
        <v>4.8499999999999996</v>
      </c>
      <c r="AK249" s="7">
        <v>4.46</v>
      </c>
      <c r="AL249" s="55">
        <v>4.95</v>
      </c>
      <c r="AM249" s="55">
        <v>4.8899999999999997</v>
      </c>
      <c r="AN249" s="7">
        <v>4.92</v>
      </c>
      <c r="AO249" s="7">
        <v>4.88</v>
      </c>
      <c r="AP249" s="3"/>
      <c r="AQ249" s="8"/>
    </row>
    <row r="250" spans="1:43">
      <c r="A250" s="1">
        <f t="shared" si="27"/>
        <v>248</v>
      </c>
      <c r="B250" s="19"/>
      <c r="C250" s="1">
        <v>4</v>
      </c>
      <c r="D250" s="4">
        <f t="shared" si="25"/>
        <v>35</v>
      </c>
      <c r="E250" s="4" t="s">
        <v>116</v>
      </c>
      <c r="F250" s="4">
        <v>1</v>
      </c>
      <c r="G250" s="4" t="s">
        <v>11</v>
      </c>
      <c r="H250" s="4" t="s">
        <v>17</v>
      </c>
      <c r="I250" s="4" t="s">
        <v>251</v>
      </c>
      <c r="J250" s="5">
        <v>93.4</v>
      </c>
      <c r="K250" s="68"/>
      <c r="L250" s="38">
        <v>5.0410000000000004</v>
      </c>
      <c r="M250" s="127" t="s">
        <v>216</v>
      </c>
      <c r="N250" s="1" t="s">
        <v>13</v>
      </c>
      <c r="O250" s="22">
        <v>5.0270000000000001</v>
      </c>
      <c r="P250" s="1" t="s">
        <v>7</v>
      </c>
      <c r="Q250" s="3" t="s">
        <v>205</v>
      </c>
      <c r="R250" s="22">
        <v>5.6109999999999998</v>
      </c>
      <c r="S250" s="22">
        <v>5.4770000000000003</v>
      </c>
      <c r="T250" s="22">
        <v>5.569</v>
      </c>
      <c r="U250" s="22">
        <v>5.0670000000000002</v>
      </c>
      <c r="V250" s="22">
        <v>5.1280000000000001</v>
      </c>
      <c r="W250" s="22">
        <v>5.1379999999999999</v>
      </c>
      <c r="X250" s="22">
        <v>5.1420000000000003</v>
      </c>
      <c r="Y250" s="22">
        <v>5.0640000000000001</v>
      </c>
      <c r="Z250" s="6">
        <v>5.0629999999999997</v>
      </c>
      <c r="AA250" s="6">
        <v>5.0670000000000002</v>
      </c>
      <c r="AB250" s="22">
        <v>5.5430000000000001</v>
      </c>
      <c r="AC250" s="22">
        <v>5.6340000000000003</v>
      </c>
      <c r="AD250" s="22">
        <v>5.5819999999999999</v>
      </c>
      <c r="AE250" s="22">
        <v>5.3769999999999998</v>
      </c>
      <c r="AF250" s="22">
        <v>5.3879999999999999</v>
      </c>
      <c r="AG250" s="22">
        <v>4.3220000000000001</v>
      </c>
      <c r="AH250" s="6">
        <f t="shared" si="32"/>
        <v>4.8550000000000004</v>
      </c>
      <c r="AI250" s="7">
        <v>5.68</v>
      </c>
      <c r="AJ250" s="7">
        <v>5.07</v>
      </c>
      <c r="AK250" s="7">
        <v>4.75</v>
      </c>
      <c r="AL250" s="55">
        <v>5.1100000000000003</v>
      </c>
      <c r="AM250" s="55">
        <v>5.04</v>
      </c>
      <c r="AN250" s="7">
        <v>5.01</v>
      </c>
      <c r="AO250" s="7">
        <v>4.97</v>
      </c>
      <c r="AP250" s="3"/>
      <c r="AQ250" s="8"/>
    </row>
    <row r="251" spans="1:43">
      <c r="A251" s="1">
        <f t="shared" si="27"/>
        <v>249</v>
      </c>
      <c r="B251" s="2" t="s">
        <v>186</v>
      </c>
      <c r="C251" s="1">
        <v>4</v>
      </c>
      <c r="D251" s="4">
        <f t="shared" si="25"/>
        <v>35</v>
      </c>
      <c r="E251" s="4" t="s">
        <v>240</v>
      </c>
      <c r="F251" s="4">
        <v>1</v>
      </c>
      <c r="G251" s="4" t="s">
        <v>11</v>
      </c>
      <c r="H251" s="4" t="s">
        <v>17</v>
      </c>
      <c r="I251" s="4"/>
      <c r="J251" s="5">
        <v>95</v>
      </c>
      <c r="K251" s="68"/>
      <c r="L251" s="38">
        <v>3.1379999999999999</v>
      </c>
      <c r="M251" s="127" t="s">
        <v>203</v>
      </c>
      <c r="N251" s="1" t="s">
        <v>13</v>
      </c>
      <c r="O251" s="22">
        <v>3.1319999999999992</v>
      </c>
      <c r="P251" s="1" t="s">
        <v>7</v>
      </c>
      <c r="Q251" s="3" t="s">
        <v>205</v>
      </c>
      <c r="R251" s="22">
        <v>3.0310000000000001</v>
      </c>
      <c r="S251" s="22">
        <v>2.9860000000000002</v>
      </c>
      <c r="T251" s="22">
        <v>3.0350000000000001</v>
      </c>
      <c r="U251" s="22">
        <v>3.0739999999999998</v>
      </c>
      <c r="V251" s="22">
        <v>3.1920000000000002</v>
      </c>
      <c r="W251" s="22">
        <v>3.081</v>
      </c>
      <c r="X251" s="22">
        <v>3.0779999999999998</v>
      </c>
      <c r="Y251" s="22">
        <v>3.1240000000000001</v>
      </c>
      <c r="Z251" s="22">
        <v>3.1190000000000002</v>
      </c>
      <c r="AA251" s="22">
        <v>3.1389999999999998</v>
      </c>
      <c r="AB251" s="22">
        <v>3.2109999999999999</v>
      </c>
      <c r="AC251" s="22">
        <v>3.2709999999999999</v>
      </c>
      <c r="AD251" s="22">
        <v>3.1760000000000002</v>
      </c>
      <c r="AE251" s="22">
        <v>3.0720000000000001</v>
      </c>
      <c r="AF251" s="22">
        <v>2.9380000000000002</v>
      </c>
      <c r="AG251" s="22">
        <v>2.7850000000000001</v>
      </c>
      <c r="AH251" s="6">
        <f t="shared" ref="AH251:AH390" si="33">IF((AF251&lt;&gt;0)*AND(AG251&lt;&gt;0),AVERAGE(AF251:AG251),"")</f>
        <v>2.8615000000000004</v>
      </c>
      <c r="AI251" s="7">
        <v>3.84</v>
      </c>
      <c r="AJ251" s="7">
        <v>3.18</v>
      </c>
      <c r="AK251" s="11"/>
      <c r="AL251" s="11"/>
      <c r="AM251" s="11"/>
      <c r="AN251" s="8">
        <v>3.19</v>
      </c>
      <c r="AO251" s="8">
        <v>3.06</v>
      </c>
      <c r="AP251" s="3"/>
      <c r="AQ251" s="8"/>
    </row>
    <row r="252" spans="1:43">
      <c r="A252" s="1">
        <f t="shared" si="27"/>
        <v>250</v>
      </c>
      <c r="B252" s="19"/>
      <c r="C252" s="1">
        <v>4</v>
      </c>
      <c r="D252" s="4">
        <f t="shared" si="25"/>
        <v>35</v>
      </c>
      <c r="E252" s="4" t="s">
        <v>120</v>
      </c>
      <c r="F252" s="4">
        <v>1</v>
      </c>
      <c r="G252" s="4" t="s">
        <v>11</v>
      </c>
      <c r="H252" s="4" t="s">
        <v>121</v>
      </c>
      <c r="I252" s="4" t="s">
        <v>321</v>
      </c>
      <c r="J252" s="5">
        <v>0.8</v>
      </c>
      <c r="K252" s="68"/>
      <c r="L252" s="38">
        <v>4.0359999999999996</v>
      </c>
      <c r="M252" s="127" t="s">
        <v>566</v>
      </c>
      <c r="N252" s="1" t="s">
        <v>13</v>
      </c>
      <c r="O252" s="46"/>
      <c r="P252" s="46"/>
      <c r="Q252" s="3" t="s">
        <v>205</v>
      </c>
      <c r="R252" s="46"/>
      <c r="S252" s="46"/>
      <c r="T252" s="46"/>
      <c r="U252" s="46"/>
      <c r="V252" s="46"/>
      <c r="W252" s="22">
        <v>5.016</v>
      </c>
      <c r="X252" s="46"/>
      <c r="Y252" s="22">
        <v>5.0389999999999997</v>
      </c>
      <c r="Z252" s="22">
        <v>4.7770000000000001</v>
      </c>
      <c r="AA252" s="22">
        <v>4.4290000000000003</v>
      </c>
      <c r="AB252" s="46"/>
      <c r="AC252" s="46"/>
      <c r="AD252" s="46"/>
      <c r="AE252" s="46"/>
      <c r="AF252" s="46"/>
      <c r="AG252" s="22">
        <v>2.1179999999999999</v>
      </c>
      <c r="AH252" s="46"/>
      <c r="AI252" s="6">
        <v>4.2169999999999996</v>
      </c>
      <c r="AJ252" s="6">
        <v>4.0389999999999997</v>
      </c>
      <c r="AK252" s="22">
        <v>3.9710000000000001</v>
      </c>
      <c r="AL252" s="22">
        <v>4.0410000000000004</v>
      </c>
      <c r="AM252" s="22">
        <v>4.0309999999999997</v>
      </c>
      <c r="AN252" s="22">
        <v>4.0860000000000003</v>
      </c>
      <c r="AO252" s="22">
        <v>4.056</v>
      </c>
      <c r="AP252" s="3"/>
      <c r="AQ252" s="8"/>
    </row>
    <row r="253" spans="1:43">
      <c r="A253" s="1">
        <f t="shared" si="27"/>
        <v>251</v>
      </c>
      <c r="B253" s="19"/>
      <c r="C253" s="1">
        <v>4</v>
      </c>
      <c r="D253" s="4">
        <f t="shared" si="25"/>
        <v>35</v>
      </c>
      <c r="E253" s="4" t="s">
        <v>241</v>
      </c>
      <c r="F253" s="4">
        <v>3</v>
      </c>
      <c r="G253" s="4" t="s">
        <v>11</v>
      </c>
      <c r="H253" s="4" t="s">
        <v>17</v>
      </c>
      <c r="I253" s="4"/>
      <c r="J253" s="5">
        <v>98.7</v>
      </c>
      <c r="K253" s="68"/>
      <c r="L253" s="38">
        <v>1.4330000000000001</v>
      </c>
      <c r="M253" s="127" t="s">
        <v>109</v>
      </c>
      <c r="N253" s="1" t="s">
        <v>13</v>
      </c>
      <c r="O253" s="22">
        <v>1.4400000000000002</v>
      </c>
      <c r="P253" s="1" t="s">
        <v>7</v>
      </c>
      <c r="Q253" s="3" t="s">
        <v>205</v>
      </c>
      <c r="R253" s="22">
        <v>1.431</v>
      </c>
      <c r="S253" s="22">
        <v>1.353</v>
      </c>
      <c r="T253" s="22">
        <v>1.347</v>
      </c>
      <c r="U253" s="22">
        <v>1.2649999999999999</v>
      </c>
      <c r="V253" s="22">
        <v>1.3169999999999999</v>
      </c>
      <c r="W253" s="46"/>
      <c r="X253" s="46"/>
      <c r="Y253" s="46"/>
      <c r="Z253" s="22">
        <v>1.4019999999999999</v>
      </c>
      <c r="AA253" s="22">
        <v>1.411</v>
      </c>
      <c r="AB253" s="22">
        <v>1.538</v>
      </c>
      <c r="AC253" s="22">
        <v>1.5569999999999999</v>
      </c>
      <c r="AD253" s="22">
        <v>1.49</v>
      </c>
      <c r="AE253" s="22">
        <v>1.43</v>
      </c>
      <c r="AF253" s="22">
        <v>1.335</v>
      </c>
      <c r="AG253" s="22">
        <v>1.079</v>
      </c>
      <c r="AH253" s="6">
        <f t="shared" si="33"/>
        <v>1.2069999999999999</v>
      </c>
      <c r="AI253" s="7">
        <v>1.69</v>
      </c>
      <c r="AJ253" s="7">
        <v>1.48</v>
      </c>
      <c r="AK253" s="11"/>
      <c r="AL253" s="11"/>
      <c r="AM253" s="11"/>
      <c r="AN253" s="8">
        <v>1.5</v>
      </c>
      <c r="AO253" s="8">
        <v>1.46</v>
      </c>
      <c r="AP253" s="3"/>
      <c r="AQ253" s="8"/>
    </row>
    <row r="254" spans="1:43">
      <c r="A254" s="1">
        <f t="shared" si="27"/>
        <v>252</v>
      </c>
      <c r="B254" s="2" t="s">
        <v>30</v>
      </c>
      <c r="C254" s="1">
        <v>5</v>
      </c>
      <c r="D254" s="4">
        <f t="shared" si="25"/>
        <v>35</v>
      </c>
      <c r="E254" s="4" t="s">
        <v>137</v>
      </c>
      <c r="F254" s="4">
        <v>1</v>
      </c>
      <c r="G254" s="4" t="s">
        <v>11</v>
      </c>
      <c r="H254" s="4" t="s">
        <v>17</v>
      </c>
      <c r="I254" s="4"/>
      <c r="J254" s="5">
        <v>93.8</v>
      </c>
      <c r="K254" s="63">
        <v>8.4000000000000005E-2</v>
      </c>
      <c r="L254" s="38">
        <v>5.54</v>
      </c>
      <c r="M254" s="127" t="s">
        <v>212</v>
      </c>
      <c r="N254" s="1" t="s">
        <v>13</v>
      </c>
      <c r="O254" s="22">
        <v>5.5339999999999998</v>
      </c>
      <c r="P254" s="1" t="s">
        <v>7</v>
      </c>
      <c r="Q254" s="3" t="s">
        <v>205</v>
      </c>
      <c r="R254" s="22">
        <v>5.6219999999999999</v>
      </c>
      <c r="S254" s="22">
        <v>5.5220000000000002</v>
      </c>
      <c r="T254" s="22">
        <v>5.6429999999999998</v>
      </c>
      <c r="U254" s="35"/>
      <c r="V254" s="22">
        <v>5.6680000000000001</v>
      </c>
      <c r="W254" s="22">
        <v>5.5419999999999998</v>
      </c>
      <c r="X254" s="22">
        <v>5.5330000000000004</v>
      </c>
      <c r="Y254" s="22">
        <v>5.5609999999999999</v>
      </c>
      <c r="Z254" s="22">
        <v>5.54</v>
      </c>
      <c r="AA254" s="22">
        <v>5.5579999999999998</v>
      </c>
      <c r="AB254" s="22">
        <v>5.6420000000000003</v>
      </c>
      <c r="AC254" s="22">
        <v>5.6790000000000003</v>
      </c>
      <c r="AD254" s="22">
        <v>5.6260000000000003</v>
      </c>
      <c r="AE254" s="22">
        <v>5.49</v>
      </c>
      <c r="AF254" s="22">
        <v>5.4870000000000001</v>
      </c>
      <c r="AG254" s="22">
        <v>5.3479999999999999</v>
      </c>
      <c r="AH254" s="22">
        <f t="shared" ref="AH254:AH263" si="34">0.5*(AF254+AG254)</f>
        <v>5.4175000000000004</v>
      </c>
      <c r="AI254" s="8">
        <v>6.71</v>
      </c>
      <c r="AJ254" s="8">
        <v>5.96</v>
      </c>
      <c r="AK254" s="8">
        <v>5.62</v>
      </c>
      <c r="AL254" s="7">
        <v>6.06</v>
      </c>
      <c r="AM254" s="7">
        <v>5.99</v>
      </c>
      <c r="AN254" s="8">
        <v>5.71</v>
      </c>
      <c r="AO254" s="8">
        <v>5.65</v>
      </c>
      <c r="AP254" s="3"/>
      <c r="AQ254" s="8"/>
    </row>
    <row r="255" spans="1:43">
      <c r="A255" s="1">
        <f t="shared" si="27"/>
        <v>253</v>
      </c>
      <c r="B255" s="19"/>
      <c r="C255" s="1">
        <v>5</v>
      </c>
      <c r="D255" s="4">
        <f t="shared" si="25"/>
        <v>35</v>
      </c>
      <c r="E255" s="4" t="s">
        <v>131</v>
      </c>
      <c r="F255" s="4">
        <v>1</v>
      </c>
      <c r="G255" s="4" t="s">
        <v>14</v>
      </c>
      <c r="H255" s="4" t="s">
        <v>22</v>
      </c>
      <c r="I255" s="4"/>
      <c r="J255" s="5">
        <v>94</v>
      </c>
      <c r="K255" s="68"/>
      <c r="L255" s="38">
        <v>5.7749999999999995</v>
      </c>
      <c r="M255" s="127" t="s">
        <v>212</v>
      </c>
      <c r="N255" s="1" t="s">
        <v>13</v>
      </c>
      <c r="O255" s="22">
        <v>5.7959999999999994</v>
      </c>
      <c r="P255" s="1" t="s">
        <v>7</v>
      </c>
      <c r="Q255" s="3" t="s">
        <v>205</v>
      </c>
      <c r="R255" s="22">
        <v>5.75</v>
      </c>
      <c r="S255" s="22">
        <v>5.6689999999999996</v>
      </c>
      <c r="T255" s="22">
        <v>5.9509999999999996</v>
      </c>
      <c r="U255" s="22">
        <v>5.8049999999999997</v>
      </c>
      <c r="V255" s="22">
        <v>5.8330000000000002</v>
      </c>
      <c r="W255" s="22">
        <v>5.7789999999999999</v>
      </c>
      <c r="X255" s="22">
        <v>5.7830000000000004</v>
      </c>
      <c r="Y255" s="22">
        <v>5.782</v>
      </c>
      <c r="Z255" s="22">
        <v>5.7729999999999997</v>
      </c>
      <c r="AA255" s="22">
        <v>5.7759999999999998</v>
      </c>
      <c r="AB255" s="22">
        <v>5.95</v>
      </c>
      <c r="AC255" s="22">
        <v>5.91</v>
      </c>
      <c r="AD255" s="22">
        <v>5.8259999999999996</v>
      </c>
      <c r="AE255" s="22">
        <v>5.8440000000000003</v>
      </c>
      <c r="AF255" s="22">
        <v>5.7110000000000003</v>
      </c>
      <c r="AG255" s="22">
        <v>5.6269999999999998</v>
      </c>
      <c r="AH255" s="22">
        <f t="shared" si="34"/>
        <v>5.6690000000000005</v>
      </c>
      <c r="AI255" s="8">
        <v>5.21</v>
      </c>
      <c r="AJ255" s="8">
        <v>5.88</v>
      </c>
      <c r="AK255" s="8">
        <v>5.78</v>
      </c>
      <c r="AL255" s="7">
        <v>5.81</v>
      </c>
      <c r="AM255" s="7">
        <v>5.77</v>
      </c>
      <c r="AN255" s="8">
        <v>5.92</v>
      </c>
      <c r="AO255" s="8">
        <v>5.92</v>
      </c>
      <c r="AP255" s="3"/>
      <c r="AQ255" s="8"/>
    </row>
    <row r="256" spans="1:43">
      <c r="A256" s="1">
        <f t="shared" si="27"/>
        <v>254</v>
      </c>
      <c r="B256" s="19"/>
      <c r="C256" s="1">
        <v>5</v>
      </c>
      <c r="D256" s="4">
        <f t="shared" si="25"/>
        <v>35</v>
      </c>
      <c r="E256" s="4" t="s">
        <v>128</v>
      </c>
      <c r="F256" s="4">
        <v>1</v>
      </c>
      <c r="G256" s="4" t="s">
        <v>14</v>
      </c>
      <c r="H256" s="4" t="s">
        <v>23</v>
      </c>
      <c r="I256" s="4"/>
      <c r="J256" s="5">
        <v>94.2</v>
      </c>
      <c r="K256" s="63">
        <v>3.6999999999999998E-2</v>
      </c>
      <c r="L256" s="38">
        <v>6.4069999999999983</v>
      </c>
      <c r="M256" s="127" t="s">
        <v>212</v>
      </c>
      <c r="N256" s="1" t="s">
        <v>13</v>
      </c>
      <c r="O256" s="22">
        <v>6.4229999999999974</v>
      </c>
      <c r="P256" s="1" t="s">
        <v>7</v>
      </c>
      <c r="Q256" s="3" t="s">
        <v>205</v>
      </c>
      <c r="R256" s="22">
        <v>6.335</v>
      </c>
      <c r="S256" s="22">
        <v>6.2560000000000002</v>
      </c>
      <c r="T256" s="22">
        <v>6.5709999999999997</v>
      </c>
      <c r="U256" s="22">
        <v>6.4340000000000002</v>
      </c>
      <c r="V256" s="22">
        <v>6.4489999999999998</v>
      </c>
      <c r="W256" s="22">
        <v>6.4080000000000004</v>
      </c>
      <c r="X256" s="22">
        <v>6.4130000000000003</v>
      </c>
      <c r="Y256" s="22">
        <v>6.4080000000000004</v>
      </c>
      <c r="Z256" s="22">
        <v>6.4029999999999996</v>
      </c>
      <c r="AA256" s="22">
        <v>6.4059999999999997</v>
      </c>
      <c r="AB256" s="22">
        <v>6.5419999999999998</v>
      </c>
      <c r="AC256" s="22">
        <v>6.5019999999999998</v>
      </c>
      <c r="AD256" s="22">
        <v>6.4189999999999996</v>
      </c>
      <c r="AE256" s="22">
        <v>6.44</v>
      </c>
      <c r="AF256" s="22">
        <v>6.306</v>
      </c>
      <c r="AG256" s="22">
        <v>6.2460000000000004</v>
      </c>
      <c r="AH256" s="22">
        <f t="shared" si="34"/>
        <v>6.2759999999999998</v>
      </c>
      <c r="AI256" s="8">
        <v>6.08</v>
      </c>
      <c r="AJ256" s="8">
        <v>6.59</v>
      </c>
      <c r="AK256" s="8">
        <v>6.44</v>
      </c>
      <c r="AL256" s="7">
        <v>6.47</v>
      </c>
      <c r="AM256" s="7">
        <v>6.41</v>
      </c>
      <c r="AN256" s="8">
        <v>6.43</v>
      </c>
      <c r="AO256" s="8">
        <v>6.42</v>
      </c>
      <c r="AP256" s="3"/>
      <c r="AQ256" s="8"/>
    </row>
    <row r="257" spans="1:43">
      <c r="A257" s="1">
        <f t="shared" si="27"/>
        <v>255</v>
      </c>
      <c r="B257" s="19"/>
      <c r="C257" s="1">
        <v>5</v>
      </c>
      <c r="D257" s="4">
        <f t="shared" si="25"/>
        <v>35</v>
      </c>
      <c r="E257" s="4" t="s">
        <v>131</v>
      </c>
      <c r="F257" s="4">
        <v>1</v>
      </c>
      <c r="G257" s="4" t="s">
        <v>14</v>
      </c>
      <c r="H257" s="4" t="s">
        <v>23</v>
      </c>
      <c r="I257" s="4"/>
      <c r="J257" s="5">
        <v>93.8</v>
      </c>
      <c r="K257" s="68"/>
      <c r="L257" s="38">
        <v>6.4489999999999998</v>
      </c>
      <c r="M257" s="127" t="s">
        <v>212</v>
      </c>
      <c r="N257" s="1" t="s">
        <v>13</v>
      </c>
      <c r="O257" s="22">
        <v>6.4630000000000001</v>
      </c>
      <c r="P257" s="1" t="s">
        <v>7</v>
      </c>
      <c r="Q257" s="3" t="s">
        <v>205</v>
      </c>
      <c r="R257" s="22">
        <v>6.3730000000000002</v>
      </c>
      <c r="S257" s="22">
        <v>6.3029999999999999</v>
      </c>
      <c r="T257" s="22">
        <v>6.625</v>
      </c>
      <c r="U257" s="22">
        <v>6.4930000000000003</v>
      </c>
      <c r="V257" s="22">
        <v>6.5019999999999998</v>
      </c>
      <c r="W257" s="22">
        <v>6.4530000000000003</v>
      </c>
      <c r="X257" s="22">
        <v>6.4580000000000002</v>
      </c>
      <c r="Y257" s="22">
        <v>6.4569999999999999</v>
      </c>
      <c r="Z257" s="22">
        <v>6.4470000000000001</v>
      </c>
      <c r="AA257" s="22">
        <v>6.3890000000000002</v>
      </c>
      <c r="AB257" s="22">
        <v>6.617</v>
      </c>
      <c r="AC257" s="22">
        <v>6.5759999999999996</v>
      </c>
      <c r="AD257" s="22">
        <v>6.4829999999999997</v>
      </c>
      <c r="AE257" s="22">
        <v>6.5110000000000001</v>
      </c>
      <c r="AF257" s="22">
        <v>6.3550000000000004</v>
      </c>
      <c r="AG257" s="22">
        <v>6.3049999999999997</v>
      </c>
      <c r="AH257" s="22">
        <f t="shared" si="34"/>
        <v>6.33</v>
      </c>
      <c r="AI257" s="8">
        <v>5.78</v>
      </c>
      <c r="AJ257" s="8">
        <v>6.55</v>
      </c>
      <c r="AK257" s="8">
        <v>6.46</v>
      </c>
      <c r="AL257" s="7">
        <v>6.45</v>
      </c>
      <c r="AM257" s="7">
        <v>6.41</v>
      </c>
      <c r="AN257" s="8">
        <v>6.59</v>
      </c>
      <c r="AO257" s="8">
        <v>6.59</v>
      </c>
      <c r="AP257" s="3"/>
      <c r="AQ257" s="8"/>
    </row>
    <row r="258" spans="1:43">
      <c r="A258" s="1">
        <f t="shared" si="27"/>
        <v>256</v>
      </c>
      <c r="B258" s="19"/>
      <c r="C258" s="1">
        <v>5</v>
      </c>
      <c r="D258" s="4">
        <f t="shared" si="25"/>
        <v>35</v>
      </c>
      <c r="E258" s="4" t="s">
        <v>137</v>
      </c>
      <c r="F258" s="4">
        <v>1</v>
      </c>
      <c r="G258" s="4" t="s">
        <v>14</v>
      </c>
      <c r="H258" s="4" t="s">
        <v>23</v>
      </c>
      <c r="I258" s="4"/>
      <c r="J258" s="5">
        <v>94.2</v>
      </c>
      <c r="K258" s="63">
        <v>4.5999999999999999E-2</v>
      </c>
      <c r="L258" s="38">
        <v>6.556</v>
      </c>
      <c r="M258" s="127" t="s">
        <v>212</v>
      </c>
      <c r="N258" s="1" t="s">
        <v>13</v>
      </c>
      <c r="O258" s="22">
        <v>6.5460000000000003</v>
      </c>
      <c r="P258" s="1" t="s">
        <v>7</v>
      </c>
      <c r="Q258" s="3" t="s">
        <v>205</v>
      </c>
      <c r="R258" s="22">
        <v>6.5019999999999998</v>
      </c>
      <c r="S258" s="22">
        <v>6.4210000000000003</v>
      </c>
      <c r="T258" s="22">
        <v>6.7359999999999998</v>
      </c>
      <c r="U258" s="22">
        <v>6.585</v>
      </c>
      <c r="V258" s="22">
        <v>6.6079999999999997</v>
      </c>
      <c r="W258" s="22">
        <v>6.5609999999999999</v>
      </c>
      <c r="X258" s="22">
        <v>6.5650000000000004</v>
      </c>
      <c r="Y258" s="22">
        <v>6.5629999999999997</v>
      </c>
      <c r="Z258" s="22">
        <v>6.556</v>
      </c>
      <c r="AA258" s="22">
        <v>6.5590000000000002</v>
      </c>
      <c r="AB258" s="22">
        <v>6.7050000000000001</v>
      </c>
      <c r="AC258" s="22">
        <v>6.6619999999999999</v>
      </c>
      <c r="AD258" s="22">
        <v>6.5810000000000004</v>
      </c>
      <c r="AE258" s="22">
        <v>6.6020000000000003</v>
      </c>
      <c r="AF258" s="22">
        <v>6.4749999999999996</v>
      </c>
      <c r="AG258" s="22">
        <v>6.407</v>
      </c>
      <c r="AH258" s="22">
        <f t="shared" si="34"/>
        <v>6.4409999999999998</v>
      </c>
      <c r="AI258" s="8">
        <v>6.16</v>
      </c>
      <c r="AJ258" s="8">
        <v>6.72</v>
      </c>
      <c r="AK258" s="8">
        <v>6.56</v>
      </c>
      <c r="AL258" s="7">
        <v>6.61</v>
      </c>
      <c r="AM258" s="7">
        <v>6.54</v>
      </c>
      <c r="AN258" s="8">
        <v>6.62</v>
      </c>
      <c r="AO258" s="8">
        <v>6.6</v>
      </c>
      <c r="AP258" s="3"/>
      <c r="AQ258" s="8"/>
    </row>
    <row r="259" spans="1:43">
      <c r="A259" s="1">
        <f t="shared" si="27"/>
        <v>257</v>
      </c>
      <c r="B259" s="19"/>
      <c r="C259" s="1">
        <v>5</v>
      </c>
      <c r="D259" s="4">
        <f t="shared" si="25"/>
        <v>35</v>
      </c>
      <c r="E259" s="4" t="s">
        <v>118</v>
      </c>
      <c r="F259" s="4">
        <v>1</v>
      </c>
      <c r="G259" s="4" t="s">
        <v>11</v>
      </c>
      <c r="H259" s="4" t="s">
        <v>17</v>
      </c>
      <c r="I259" s="4" t="s">
        <v>320</v>
      </c>
      <c r="J259" s="5">
        <v>78.900000000000006</v>
      </c>
      <c r="K259" s="63">
        <v>0.01</v>
      </c>
      <c r="L259" s="38">
        <v>6.4509999999999996</v>
      </c>
      <c r="M259" s="127" t="s">
        <v>334</v>
      </c>
      <c r="N259" s="1" t="s">
        <v>13</v>
      </c>
      <c r="O259" s="22">
        <v>6.45</v>
      </c>
      <c r="P259" s="1" t="s">
        <v>7</v>
      </c>
      <c r="Q259" s="3" t="s">
        <v>205</v>
      </c>
      <c r="R259" s="22">
        <v>7.6289999999999996</v>
      </c>
      <c r="S259" s="22">
        <v>6.86</v>
      </c>
      <c r="T259" s="22">
        <v>7.0430000000000001</v>
      </c>
      <c r="U259" s="35"/>
      <c r="V259" s="22">
        <v>6.9630000000000001</v>
      </c>
      <c r="W259" s="22">
        <v>6.72</v>
      </c>
      <c r="X259" s="22">
        <v>6.7089999999999996</v>
      </c>
      <c r="Y259" s="22">
        <v>6.6609999999999996</v>
      </c>
      <c r="Z259" s="22">
        <v>6.57</v>
      </c>
      <c r="AA259" s="22">
        <v>6.5229999999999997</v>
      </c>
      <c r="AB259" s="22">
        <v>7.165</v>
      </c>
      <c r="AC259" s="22">
        <v>7.1550000000000002</v>
      </c>
      <c r="AD259" s="22">
        <v>7.0529999999999999</v>
      </c>
      <c r="AE259" s="22">
        <v>6.9649999999999999</v>
      </c>
      <c r="AF259" s="22">
        <v>6.9039999999999999</v>
      </c>
      <c r="AG259" s="22">
        <v>5.923</v>
      </c>
      <c r="AH259" s="22">
        <f t="shared" si="34"/>
        <v>6.4135</v>
      </c>
      <c r="AI259" s="8">
        <v>6.49</v>
      </c>
      <c r="AJ259" s="8">
        <v>6.63</v>
      </c>
      <c r="AK259" s="8">
        <v>6.13</v>
      </c>
      <c r="AL259" s="7">
        <v>6.59</v>
      </c>
      <c r="AM259" s="7">
        <v>6.5</v>
      </c>
      <c r="AN259" s="8">
        <v>6.78</v>
      </c>
      <c r="AO259" s="8">
        <v>6.75</v>
      </c>
      <c r="AP259" s="3"/>
      <c r="AQ259" s="8"/>
    </row>
    <row r="260" spans="1:43">
      <c r="A260" s="1">
        <f t="shared" si="27"/>
        <v>258</v>
      </c>
      <c r="B260" s="19"/>
      <c r="C260" s="1">
        <v>5</v>
      </c>
      <c r="D260" s="4">
        <f t="shared" ref="D260:D323" si="35">_xlfn.SWITCH(C260,1,12,2,12,3,35,4,35,5,35,6,69,7,69,8,69,9,69,1016)</f>
        <v>35</v>
      </c>
      <c r="E260" s="4" t="s">
        <v>142</v>
      </c>
      <c r="F260" s="4">
        <v>3</v>
      </c>
      <c r="G260" s="4" t="s">
        <v>11</v>
      </c>
      <c r="H260" s="4" t="s">
        <v>17</v>
      </c>
      <c r="I260" s="4"/>
      <c r="J260" s="5">
        <v>98.4</v>
      </c>
      <c r="K260" s="68"/>
      <c r="L260" s="38">
        <v>3.3080000000000003</v>
      </c>
      <c r="M260" s="127" t="s">
        <v>110</v>
      </c>
      <c r="N260" s="1" t="s">
        <v>13</v>
      </c>
      <c r="O260" s="22">
        <v>3.3140000000000009</v>
      </c>
      <c r="P260" s="1" t="s">
        <v>7</v>
      </c>
      <c r="Q260" s="3" t="s">
        <v>205</v>
      </c>
      <c r="R260" s="22">
        <v>3.5190000000000001</v>
      </c>
      <c r="S260" s="22">
        <v>3.4209999999999998</v>
      </c>
      <c r="T260" s="22">
        <v>3.383</v>
      </c>
      <c r="U260" s="22">
        <v>3.1030000000000002</v>
      </c>
      <c r="V260" s="22">
        <v>3.2429999999999999</v>
      </c>
      <c r="W260" s="33"/>
      <c r="X260" s="33"/>
      <c r="Y260" s="33"/>
      <c r="Z260" s="22">
        <v>3.3159999999999998</v>
      </c>
      <c r="AA260" s="35"/>
      <c r="AB260" s="22">
        <v>3.4670000000000001</v>
      </c>
      <c r="AC260" s="22">
        <v>3.472</v>
      </c>
      <c r="AD260" s="22">
        <v>3.4550000000000001</v>
      </c>
      <c r="AE260" s="22">
        <v>3.355</v>
      </c>
      <c r="AF260" s="22">
        <v>3.415</v>
      </c>
      <c r="AG260" s="22">
        <v>3.0470000000000002</v>
      </c>
      <c r="AH260" s="22">
        <f t="shared" si="34"/>
        <v>3.2309999999999999</v>
      </c>
      <c r="AI260" s="8">
        <v>3.26</v>
      </c>
      <c r="AJ260" s="8">
        <v>3.34</v>
      </c>
      <c r="AK260" s="8">
        <v>3.09</v>
      </c>
      <c r="AL260" s="7">
        <v>3.31</v>
      </c>
      <c r="AM260" s="7">
        <v>3.26</v>
      </c>
      <c r="AN260" s="8">
        <v>3.42</v>
      </c>
      <c r="AO260" s="8">
        <v>3.41</v>
      </c>
      <c r="AP260" s="3"/>
      <c r="AQ260" s="8"/>
    </row>
    <row r="261" spans="1:43">
      <c r="A261" s="1">
        <f t="shared" si="27"/>
        <v>259</v>
      </c>
      <c r="B261" s="19"/>
      <c r="C261" s="1">
        <v>5</v>
      </c>
      <c r="D261" s="4">
        <f t="shared" si="35"/>
        <v>35</v>
      </c>
      <c r="E261" s="4" t="s">
        <v>143</v>
      </c>
      <c r="F261" s="4">
        <v>3</v>
      </c>
      <c r="G261" s="4" t="s">
        <v>11</v>
      </c>
      <c r="H261" s="4" t="s">
        <v>17</v>
      </c>
      <c r="I261" s="4"/>
      <c r="J261" s="5">
        <v>98.6</v>
      </c>
      <c r="K261" s="68"/>
      <c r="L261" s="38">
        <v>5.1170000000000018</v>
      </c>
      <c r="M261" s="127" t="s">
        <v>110</v>
      </c>
      <c r="N261" s="1" t="s">
        <v>13</v>
      </c>
      <c r="O261" s="22">
        <v>5.1240000000000014</v>
      </c>
      <c r="P261" s="1" t="s">
        <v>7</v>
      </c>
      <c r="Q261" s="3" t="s">
        <v>205</v>
      </c>
      <c r="R261" s="22">
        <v>5.2969999999999997</v>
      </c>
      <c r="S261" s="22">
        <v>5.26</v>
      </c>
      <c r="T261" s="22">
        <v>5.1470000000000002</v>
      </c>
      <c r="U261" s="22">
        <v>4.7960000000000003</v>
      </c>
      <c r="V261" s="22">
        <v>5.0860000000000003</v>
      </c>
      <c r="W261" s="33"/>
      <c r="X261" s="33"/>
      <c r="Y261" s="33"/>
      <c r="Z261" s="22">
        <v>5.1230000000000002</v>
      </c>
      <c r="AA261" s="35"/>
      <c r="AB261" s="22">
        <v>5.1130000000000004</v>
      </c>
      <c r="AC261" s="22">
        <v>5.1150000000000002</v>
      </c>
      <c r="AD261" s="22">
        <v>5.1630000000000003</v>
      </c>
      <c r="AE261" s="22">
        <v>5.0119999999999996</v>
      </c>
      <c r="AF261" s="22">
        <v>5.2309999999999999</v>
      </c>
      <c r="AG261" s="22">
        <v>4.8639999999999999</v>
      </c>
      <c r="AH261" s="22">
        <f t="shared" si="34"/>
        <v>5.0474999999999994</v>
      </c>
      <c r="AI261" s="8">
        <v>4.92</v>
      </c>
      <c r="AJ261" s="8">
        <v>5.14</v>
      </c>
      <c r="AK261" s="8">
        <v>4.78</v>
      </c>
      <c r="AL261" s="7">
        <v>5.0999999999999996</v>
      </c>
      <c r="AM261" s="7">
        <v>5.03</v>
      </c>
      <c r="AN261" s="8">
        <v>5.31</v>
      </c>
      <c r="AO261" s="8">
        <v>5.3</v>
      </c>
      <c r="AP261" s="3"/>
      <c r="AQ261" s="8"/>
    </row>
    <row r="262" spans="1:43">
      <c r="A262" s="1">
        <f t="shared" si="27"/>
        <v>260</v>
      </c>
      <c r="B262" s="19"/>
      <c r="C262" s="1">
        <v>5</v>
      </c>
      <c r="D262" s="4">
        <f t="shared" si="35"/>
        <v>35</v>
      </c>
      <c r="E262" s="4" t="s">
        <v>130</v>
      </c>
      <c r="F262" s="4">
        <v>3</v>
      </c>
      <c r="G262" s="4" t="s">
        <v>14</v>
      </c>
      <c r="H262" s="4" t="s">
        <v>22</v>
      </c>
      <c r="I262" s="4"/>
      <c r="J262" s="5">
        <v>97.9</v>
      </c>
      <c r="K262" s="68"/>
      <c r="L262" s="38">
        <v>5.7249999999999996</v>
      </c>
      <c r="M262" s="127" t="s">
        <v>110</v>
      </c>
      <c r="N262" s="1" t="s">
        <v>13</v>
      </c>
      <c r="O262" s="22">
        <v>5.7480000000000002</v>
      </c>
      <c r="P262" s="1" t="s">
        <v>7</v>
      </c>
      <c r="Q262" s="3" t="s">
        <v>205</v>
      </c>
      <c r="R262" s="22">
        <v>5.7290000000000001</v>
      </c>
      <c r="S262" s="22">
        <v>5.6230000000000002</v>
      </c>
      <c r="T262" s="22">
        <v>5.89</v>
      </c>
      <c r="U262" s="22">
        <v>5.85</v>
      </c>
      <c r="V262" s="22">
        <v>5.7750000000000004</v>
      </c>
      <c r="W262" s="33"/>
      <c r="X262" s="33"/>
      <c r="Y262" s="33"/>
      <c r="Z262" s="22">
        <v>5.726</v>
      </c>
      <c r="AA262" s="35"/>
      <c r="AB262" s="22">
        <v>5.9279999999999999</v>
      </c>
      <c r="AC262" s="22">
        <v>5.89</v>
      </c>
      <c r="AD262" s="22">
        <v>5.8</v>
      </c>
      <c r="AE262" s="22">
        <v>5.8259999999999996</v>
      </c>
      <c r="AF262" s="22">
        <v>5.673</v>
      </c>
      <c r="AG262" s="22">
        <v>5.5750000000000002</v>
      </c>
      <c r="AH262" s="22">
        <f t="shared" si="34"/>
        <v>5.6240000000000006</v>
      </c>
      <c r="AI262" s="8">
        <v>5.53</v>
      </c>
      <c r="AJ262" s="8">
        <v>5.91</v>
      </c>
      <c r="AK262" s="8">
        <v>5.74</v>
      </c>
      <c r="AL262" s="7">
        <v>5.81</v>
      </c>
      <c r="AM262" s="7">
        <v>5.75</v>
      </c>
      <c r="AN262" s="8">
        <v>5.74</v>
      </c>
      <c r="AO262" s="8">
        <v>5.73</v>
      </c>
      <c r="AP262" s="3"/>
      <c r="AQ262" s="8"/>
    </row>
    <row r="263" spans="1:43">
      <c r="A263" s="1">
        <f t="shared" si="27"/>
        <v>261</v>
      </c>
      <c r="B263" s="19"/>
      <c r="C263" s="1">
        <v>5</v>
      </c>
      <c r="D263" s="4">
        <f t="shared" si="35"/>
        <v>35</v>
      </c>
      <c r="E263" s="4" t="s">
        <v>129</v>
      </c>
      <c r="F263" s="4">
        <v>3</v>
      </c>
      <c r="G263" s="4" t="s">
        <v>14</v>
      </c>
      <c r="H263" s="4" t="s">
        <v>23</v>
      </c>
      <c r="I263" s="4"/>
      <c r="J263" s="5">
        <v>97.9</v>
      </c>
      <c r="K263" s="68"/>
      <c r="L263" s="38">
        <v>6.3609999999999998</v>
      </c>
      <c r="M263" s="127" t="s">
        <v>110</v>
      </c>
      <c r="N263" s="1" t="s">
        <v>13</v>
      </c>
      <c r="O263" s="22">
        <v>6.3779999999999983</v>
      </c>
      <c r="P263" s="1" t="s">
        <v>7</v>
      </c>
      <c r="Q263" s="3" t="s">
        <v>205</v>
      </c>
      <c r="R263" s="22">
        <v>6.31</v>
      </c>
      <c r="S263" s="22">
        <v>6.2229999999999999</v>
      </c>
      <c r="T263" s="22">
        <v>6.5190000000000001</v>
      </c>
      <c r="U263" s="22">
        <v>6.4859999999999998</v>
      </c>
      <c r="V263" s="22">
        <v>6.399</v>
      </c>
      <c r="W263" s="33"/>
      <c r="X263" s="33"/>
      <c r="Y263" s="33"/>
      <c r="Z263" s="22">
        <v>6.3620000000000001</v>
      </c>
      <c r="AA263" s="35"/>
      <c r="AB263" s="22">
        <v>6.5209999999999999</v>
      </c>
      <c r="AC263" s="22">
        <v>6.4809999999999999</v>
      </c>
      <c r="AD263" s="22">
        <v>6.3940000000000001</v>
      </c>
      <c r="AE263" s="22">
        <v>6.4210000000000003</v>
      </c>
      <c r="AF263" s="22">
        <v>6.2729999999999997</v>
      </c>
      <c r="AG263" s="22">
        <v>6.202</v>
      </c>
      <c r="AH263" s="22">
        <f t="shared" si="34"/>
        <v>6.2374999999999998</v>
      </c>
      <c r="AI263" s="8">
        <v>6.05</v>
      </c>
      <c r="AJ263" s="8">
        <v>6.56</v>
      </c>
      <c r="AK263" s="8">
        <v>6.4</v>
      </c>
      <c r="AL263" s="7">
        <v>6.43</v>
      </c>
      <c r="AM263" s="7">
        <v>6.37</v>
      </c>
      <c r="AN263" s="8">
        <v>6.41</v>
      </c>
      <c r="AO263" s="8">
        <v>6.4</v>
      </c>
      <c r="AP263" s="3"/>
      <c r="AQ263" s="8"/>
    </row>
    <row r="264" spans="1:43">
      <c r="A264" s="1">
        <f t="shared" si="27"/>
        <v>262</v>
      </c>
      <c r="B264" s="2" t="s">
        <v>144</v>
      </c>
      <c r="C264" s="1">
        <v>6</v>
      </c>
      <c r="D264" s="4">
        <f t="shared" si="35"/>
        <v>69</v>
      </c>
      <c r="E264" s="4" t="s">
        <v>131</v>
      </c>
      <c r="F264" s="4">
        <v>1</v>
      </c>
      <c r="G264" s="4" t="s">
        <v>11</v>
      </c>
      <c r="H264" s="4" t="s">
        <v>12</v>
      </c>
      <c r="I264" s="4"/>
      <c r="J264" s="5">
        <v>87.2</v>
      </c>
      <c r="K264" s="68"/>
      <c r="L264" s="38">
        <v>1.6910000000000001</v>
      </c>
      <c r="M264" s="127" t="s">
        <v>213</v>
      </c>
      <c r="N264" s="1" t="s">
        <v>13</v>
      </c>
      <c r="O264" s="22">
        <v>1.698</v>
      </c>
      <c r="P264" s="1" t="s">
        <v>7</v>
      </c>
      <c r="Q264" s="3" t="s">
        <v>205</v>
      </c>
      <c r="R264" s="22">
        <v>1.714</v>
      </c>
      <c r="S264" s="22">
        <v>1.75</v>
      </c>
      <c r="T264" s="22">
        <v>1.677</v>
      </c>
      <c r="U264" s="22">
        <v>1.7969999999999999</v>
      </c>
      <c r="V264" s="22">
        <v>1.841</v>
      </c>
      <c r="W264" s="22">
        <v>1.7370000000000001</v>
      </c>
      <c r="X264" s="22">
        <v>1.734</v>
      </c>
      <c r="Y264" s="22">
        <v>1.748</v>
      </c>
      <c r="Z264" s="22">
        <v>1.714</v>
      </c>
      <c r="AA264" s="60"/>
      <c r="AB264" s="22">
        <v>1.8540000000000001</v>
      </c>
      <c r="AC264" s="22">
        <v>1.962</v>
      </c>
      <c r="AD264" s="22">
        <v>1.893</v>
      </c>
      <c r="AE264" s="22">
        <v>1.6779999999999999</v>
      </c>
      <c r="AF264" s="22">
        <v>1.629</v>
      </c>
      <c r="AG264" s="22">
        <v>1.5549999999999999</v>
      </c>
      <c r="AH264" s="6">
        <f>IF((AF264&lt;&gt;0)*AND(AG264&lt;&gt;0),AVERAGE(AF264:AG264),"")</f>
        <v>1.5920000000000001</v>
      </c>
      <c r="AI264" s="60"/>
      <c r="AJ264" s="60"/>
      <c r="AK264" s="60"/>
      <c r="AL264" s="60"/>
      <c r="AM264" s="60"/>
      <c r="AN264" s="60"/>
      <c r="AO264" s="60"/>
      <c r="AP264" s="3"/>
      <c r="AQ264" s="8"/>
    </row>
    <row r="265" spans="1:43">
      <c r="A265" s="1">
        <f t="shared" si="27"/>
        <v>263</v>
      </c>
      <c r="B265" s="19"/>
      <c r="C265" s="1">
        <v>6</v>
      </c>
      <c r="D265" s="4">
        <f t="shared" si="35"/>
        <v>69</v>
      </c>
      <c r="E265" s="4" t="s">
        <v>137</v>
      </c>
      <c r="F265" s="4">
        <v>1</v>
      </c>
      <c r="G265" s="4" t="s">
        <v>11</v>
      </c>
      <c r="H265" s="4" t="s">
        <v>17</v>
      </c>
      <c r="I265" s="4"/>
      <c r="J265" s="5">
        <v>85.3</v>
      </c>
      <c r="K265" s="42">
        <v>0</v>
      </c>
      <c r="L265" s="38">
        <v>2.5470000000000002</v>
      </c>
      <c r="M265" s="127" t="s">
        <v>213</v>
      </c>
      <c r="N265" s="1" t="s">
        <v>13</v>
      </c>
      <c r="O265" s="22">
        <v>2.5350000000000001</v>
      </c>
      <c r="P265" s="1" t="s">
        <v>7</v>
      </c>
      <c r="Q265" s="3" t="s">
        <v>205</v>
      </c>
      <c r="R265" s="22">
        <v>2.899</v>
      </c>
      <c r="S265" s="22">
        <v>2.7509999999999999</v>
      </c>
      <c r="T265" s="22">
        <v>3.0249999999999999</v>
      </c>
      <c r="U265" s="22">
        <v>2.746</v>
      </c>
      <c r="V265" s="22">
        <v>2.9239999999999999</v>
      </c>
      <c r="W265" s="22">
        <v>2.722</v>
      </c>
      <c r="X265" s="22">
        <v>2.7170000000000001</v>
      </c>
      <c r="Y265" s="22">
        <v>2.69</v>
      </c>
      <c r="Z265" s="6">
        <v>2.621</v>
      </c>
      <c r="AA265" s="60"/>
      <c r="AB265" s="22">
        <v>3.1120000000000001</v>
      </c>
      <c r="AC265" s="22">
        <v>3.0939999999999999</v>
      </c>
      <c r="AD265" s="22">
        <v>2.9790000000000001</v>
      </c>
      <c r="AE265" s="22">
        <v>2.9319999999999999</v>
      </c>
      <c r="AF265" s="22">
        <v>2.8039999999999998</v>
      </c>
      <c r="AG265" s="22">
        <v>2.2160000000000002</v>
      </c>
      <c r="AH265" s="6">
        <f>IF((AF265&lt;&gt;0)*AND(AG265&lt;&gt;0),AVERAGE(AF265:AG265),"")</f>
        <v>2.5099999999999998</v>
      </c>
      <c r="AI265" s="60"/>
      <c r="AJ265" s="60"/>
      <c r="AK265" s="60"/>
      <c r="AL265" s="60"/>
      <c r="AM265" s="60"/>
      <c r="AN265" s="60"/>
      <c r="AO265" s="60"/>
      <c r="AP265" s="3"/>
      <c r="AQ265" s="8"/>
    </row>
    <row r="266" spans="1:43" ht="15">
      <c r="A266" s="1">
        <f t="shared" si="27"/>
        <v>264</v>
      </c>
      <c r="B266" s="19"/>
      <c r="C266" s="1">
        <v>6</v>
      </c>
      <c r="D266" s="4">
        <f t="shared" si="35"/>
        <v>69</v>
      </c>
      <c r="E266" s="4" t="s">
        <v>128</v>
      </c>
      <c r="F266" s="4">
        <v>1</v>
      </c>
      <c r="G266" s="4" t="s">
        <v>11</v>
      </c>
      <c r="H266" s="4" t="s">
        <v>121</v>
      </c>
      <c r="I266" s="4" t="s">
        <v>321</v>
      </c>
      <c r="J266" s="5">
        <v>1.1000000000000001</v>
      </c>
      <c r="K266" s="42">
        <v>0</v>
      </c>
      <c r="L266" s="45">
        <v>3.1560000000000001</v>
      </c>
      <c r="M266" s="127" t="s">
        <v>567</v>
      </c>
      <c r="N266" s="10" t="s">
        <v>111</v>
      </c>
      <c r="O266" s="60"/>
      <c r="P266" s="9"/>
      <c r="Q266" s="3" t="s">
        <v>205</v>
      </c>
      <c r="R266" s="60"/>
      <c r="S266" s="60"/>
      <c r="T266" s="60"/>
      <c r="U266" s="60"/>
      <c r="V266" s="60"/>
      <c r="W266" s="60"/>
      <c r="X266" s="60"/>
      <c r="Y266" s="22">
        <v>4.7469999999999999</v>
      </c>
      <c r="Z266" s="22">
        <v>4.399</v>
      </c>
      <c r="AA266" s="60"/>
      <c r="AB266" s="60"/>
      <c r="AC266" s="60"/>
      <c r="AD266" s="60"/>
      <c r="AE266" s="60"/>
      <c r="AF266" s="60"/>
      <c r="AG266" s="22">
        <v>2.3460000000000001</v>
      </c>
      <c r="AH266" s="60"/>
      <c r="AI266" s="90">
        <v>3.3250000000000002</v>
      </c>
      <c r="AJ266" s="90">
        <v>3.137</v>
      </c>
      <c r="AK266" s="90">
        <v>2.9</v>
      </c>
      <c r="AL266" s="90">
        <v>3.1779999999999999</v>
      </c>
      <c r="AM266" s="90">
        <v>3.1269999999999998</v>
      </c>
      <c r="AN266" s="90">
        <v>3.169</v>
      </c>
      <c r="AO266" s="90">
        <v>3.1539999999999999</v>
      </c>
      <c r="AP266" s="3"/>
      <c r="AQ266" s="8"/>
    </row>
    <row r="267" spans="1:43">
      <c r="A267" s="1">
        <f t="shared" si="27"/>
        <v>265</v>
      </c>
      <c r="B267" s="2"/>
      <c r="C267" s="1">
        <v>6</v>
      </c>
      <c r="D267" s="4">
        <f t="shared" si="35"/>
        <v>69</v>
      </c>
      <c r="E267" s="4" t="s">
        <v>118</v>
      </c>
      <c r="F267" s="4">
        <v>1</v>
      </c>
      <c r="G267" s="4" t="s">
        <v>11</v>
      </c>
      <c r="H267" s="4" t="s">
        <v>17</v>
      </c>
      <c r="I267" s="4"/>
      <c r="J267" s="5">
        <v>89.2</v>
      </c>
      <c r="K267" s="42">
        <v>0.378</v>
      </c>
      <c r="L267" s="38">
        <v>4.8869999999999996</v>
      </c>
      <c r="M267" s="127" t="s">
        <v>213</v>
      </c>
      <c r="N267" s="1" t="s">
        <v>13</v>
      </c>
      <c r="O267" s="22">
        <v>4.8719999999999999</v>
      </c>
      <c r="P267" s="1" t="s">
        <v>7</v>
      </c>
      <c r="Q267" s="3" t="s">
        <v>205</v>
      </c>
      <c r="R267" s="22">
        <v>5.0110000000000001</v>
      </c>
      <c r="S267" s="22">
        <v>5.0049999999999999</v>
      </c>
      <c r="T267" s="22">
        <v>5.0229999999999997</v>
      </c>
      <c r="U267" s="22">
        <v>5</v>
      </c>
      <c r="V267" s="22">
        <v>5.1139999999999999</v>
      </c>
      <c r="W267" s="22">
        <v>4.9729999999999999</v>
      </c>
      <c r="X267" s="22">
        <v>4.9560000000000004</v>
      </c>
      <c r="Y267" s="22">
        <v>4.9870000000000001</v>
      </c>
      <c r="Z267" s="22">
        <v>4.9450000000000003</v>
      </c>
      <c r="AA267" s="60"/>
      <c r="AB267" s="22">
        <v>5.016</v>
      </c>
      <c r="AC267" s="22">
        <v>5.1559999999999997</v>
      </c>
      <c r="AD267" s="22">
        <v>5.109</v>
      </c>
      <c r="AE267" s="22">
        <v>4.843</v>
      </c>
      <c r="AF267" s="22">
        <v>4.8550000000000004</v>
      </c>
      <c r="AG267" s="22">
        <v>4.54</v>
      </c>
      <c r="AH267" s="6">
        <f>IF((AF267&lt;&gt;0)*AND(AG267&lt;&gt;0),AVERAGE(AF267:AG267),"")</f>
        <v>4.6974999999999998</v>
      </c>
      <c r="AI267" s="60"/>
      <c r="AJ267" s="60"/>
      <c r="AK267" s="60"/>
      <c r="AL267" s="60"/>
      <c r="AM267" s="60"/>
      <c r="AN267" s="60"/>
      <c r="AO267" s="60"/>
      <c r="AP267" s="3"/>
      <c r="AQ267" s="8"/>
    </row>
    <row r="268" spans="1:43">
      <c r="A268" s="1">
        <f t="shared" si="27"/>
        <v>266</v>
      </c>
      <c r="B268" s="2"/>
      <c r="C268" s="1">
        <v>6</v>
      </c>
      <c r="D268" s="4">
        <f t="shared" si="35"/>
        <v>69</v>
      </c>
      <c r="E268" s="4" t="s">
        <v>128</v>
      </c>
      <c r="F268" s="4">
        <v>1</v>
      </c>
      <c r="G268" s="4" t="s">
        <v>11</v>
      </c>
      <c r="H268" s="4" t="s">
        <v>12</v>
      </c>
      <c r="I268" s="4"/>
      <c r="J268" s="5">
        <v>89.7</v>
      </c>
      <c r="K268" s="42">
        <v>7.0000000000000001E-3</v>
      </c>
      <c r="L268" s="38">
        <v>5.7389999999999999</v>
      </c>
      <c r="M268" s="127" t="s">
        <v>213</v>
      </c>
      <c r="N268" s="1" t="s">
        <v>13</v>
      </c>
      <c r="O268" s="22">
        <v>5.7359999999999998</v>
      </c>
      <c r="P268" s="1" t="s">
        <v>7</v>
      </c>
      <c r="Q268" s="3"/>
      <c r="R268" s="22">
        <v>5.95</v>
      </c>
      <c r="S268" s="22">
        <v>5.8029999999999999</v>
      </c>
      <c r="T268" s="22">
        <v>5.9029999999999996</v>
      </c>
      <c r="U268" s="22">
        <v>5.72</v>
      </c>
      <c r="V268" s="22">
        <v>5.8940000000000001</v>
      </c>
      <c r="W268" s="22">
        <v>5.78</v>
      </c>
      <c r="X268" s="22">
        <v>5.7779999999999996</v>
      </c>
      <c r="Y268" s="22">
        <v>5.7910000000000004</v>
      </c>
      <c r="Z268" s="22">
        <v>5.7569999999999997</v>
      </c>
      <c r="AA268" s="60"/>
      <c r="AB268" s="22">
        <v>6.0819999999999999</v>
      </c>
      <c r="AC268" s="22">
        <v>6.0919999999999996</v>
      </c>
      <c r="AD268" s="22">
        <v>6</v>
      </c>
      <c r="AE268" s="22">
        <v>5.8979999999999997</v>
      </c>
      <c r="AF268" s="22">
        <v>5.8019999999999996</v>
      </c>
      <c r="AG268" s="22">
        <v>5.5750000000000002</v>
      </c>
      <c r="AH268" s="6">
        <f>IF((AF268&lt;&gt;0)*AND(AG268&lt;&gt;0),AVERAGE(AF268:AG268),"")</f>
        <v>5.6884999999999994</v>
      </c>
      <c r="AI268" s="60"/>
      <c r="AJ268" s="60"/>
      <c r="AK268" s="60"/>
      <c r="AL268" s="60"/>
      <c r="AM268" s="60"/>
      <c r="AN268" s="60"/>
      <c r="AO268" s="60"/>
      <c r="AP268" s="3"/>
      <c r="AQ268" s="8"/>
    </row>
    <row r="269" spans="1:43" ht="15">
      <c r="A269" s="1">
        <f t="shared" si="27"/>
        <v>267</v>
      </c>
      <c r="B269" s="19"/>
      <c r="C269" s="1">
        <v>6</v>
      </c>
      <c r="D269" s="4">
        <f t="shared" si="35"/>
        <v>69</v>
      </c>
      <c r="E269" s="4" t="s">
        <v>118</v>
      </c>
      <c r="F269" s="4">
        <v>1</v>
      </c>
      <c r="G269" s="4" t="s">
        <v>11</v>
      </c>
      <c r="H269" s="4" t="s">
        <v>170</v>
      </c>
      <c r="I269" s="4" t="s">
        <v>320</v>
      </c>
      <c r="J269" s="5">
        <v>51.7</v>
      </c>
      <c r="K269" s="42">
        <v>3.0000000000000001E-3</v>
      </c>
      <c r="L269" s="45">
        <v>5.3289999999999997</v>
      </c>
      <c r="M269" s="128" t="s">
        <v>568</v>
      </c>
      <c r="N269" s="10" t="s">
        <v>111</v>
      </c>
      <c r="O269" s="60"/>
      <c r="P269" s="9"/>
      <c r="Q269" s="3" t="s">
        <v>205</v>
      </c>
      <c r="R269" s="60"/>
      <c r="S269" s="22">
        <v>6.952</v>
      </c>
      <c r="T269" s="22">
        <v>7.0730000000000004</v>
      </c>
      <c r="U269" s="60"/>
      <c r="V269" s="22">
        <v>6.9160000000000004</v>
      </c>
      <c r="W269" s="22">
        <v>6.4269999999999996</v>
      </c>
      <c r="X269" s="22">
        <v>6.4089999999999998</v>
      </c>
      <c r="Y269" s="22">
        <v>6.0949999999999998</v>
      </c>
      <c r="Z269" s="22">
        <v>5.8840000000000003</v>
      </c>
      <c r="AA269" s="60"/>
      <c r="AB269" s="22">
        <v>7.2880000000000003</v>
      </c>
      <c r="AC269" s="22">
        <v>7.2430000000000003</v>
      </c>
      <c r="AD269" s="22">
        <v>7.1440000000000001</v>
      </c>
      <c r="AE269" s="22">
        <v>7.0739999999999998</v>
      </c>
      <c r="AF269" s="22">
        <v>7.016</v>
      </c>
      <c r="AG269" s="22">
        <v>4.1890000000000001</v>
      </c>
      <c r="AH269" s="6">
        <f>IF((AF269&lt;&gt;0)*AND(AG269&lt;&gt;0),AVERAGE(AF269:AG269),"")</f>
        <v>5.6025</v>
      </c>
      <c r="AI269" s="90">
        <v>5.5720000000000001</v>
      </c>
      <c r="AJ269" s="90">
        <v>5.4180000000000001</v>
      </c>
      <c r="AK269" s="90">
        <v>4.9189999999999996</v>
      </c>
      <c r="AL269" s="90">
        <v>5.423</v>
      </c>
      <c r="AM269" s="90">
        <v>5.34</v>
      </c>
      <c r="AN269" s="90">
        <v>5.4660000000000002</v>
      </c>
      <c r="AO269" s="90">
        <v>5.4279999999999999</v>
      </c>
      <c r="AP269" s="3"/>
      <c r="AQ269" s="8"/>
    </row>
    <row r="270" spans="1:43" ht="15">
      <c r="A270" s="1">
        <f t="shared" si="27"/>
        <v>268</v>
      </c>
      <c r="B270" s="19"/>
      <c r="C270" s="1">
        <v>6</v>
      </c>
      <c r="D270" s="4">
        <f t="shared" si="35"/>
        <v>69</v>
      </c>
      <c r="E270" s="4" t="s">
        <v>118</v>
      </c>
      <c r="F270" s="4">
        <v>1</v>
      </c>
      <c r="G270" s="4" t="s">
        <v>11</v>
      </c>
      <c r="H270" s="4" t="s">
        <v>121</v>
      </c>
      <c r="I270" s="4" t="s">
        <v>321</v>
      </c>
      <c r="J270" s="5">
        <v>3.4</v>
      </c>
      <c r="K270" s="42">
        <v>4.0000000000000001E-3</v>
      </c>
      <c r="L270" s="45">
        <v>5.5549999999999997</v>
      </c>
      <c r="M270" s="128" t="s">
        <v>568</v>
      </c>
      <c r="N270" s="10" t="s">
        <v>111</v>
      </c>
      <c r="O270" s="60"/>
      <c r="P270" s="9"/>
      <c r="Q270" s="3"/>
      <c r="R270" s="60"/>
      <c r="S270" s="60"/>
      <c r="T270" s="60"/>
      <c r="U270" s="60"/>
      <c r="V270" s="60"/>
      <c r="W270" s="60"/>
      <c r="X270" s="60"/>
      <c r="Y270" s="22">
        <v>7.0039999999999996</v>
      </c>
      <c r="Z270" s="22">
        <v>6.6219999999999999</v>
      </c>
      <c r="AA270" s="60"/>
      <c r="AB270" s="60"/>
      <c r="AC270" s="60"/>
      <c r="AD270" s="60"/>
      <c r="AE270" s="60"/>
      <c r="AF270" s="60"/>
      <c r="AG270" s="22">
        <v>5.5839999999999996</v>
      </c>
      <c r="AH270" s="60"/>
      <c r="AI270" s="90">
        <v>7.6260000000000003</v>
      </c>
      <c r="AJ270" s="90">
        <v>5.6790000000000003</v>
      </c>
      <c r="AK270" s="90">
        <v>4.9950000000000001</v>
      </c>
      <c r="AL270" s="90">
        <v>6.032</v>
      </c>
      <c r="AM270" s="90">
        <v>5.9420000000000002</v>
      </c>
      <c r="AN270" s="90">
        <v>5.3970000000000002</v>
      </c>
      <c r="AO270" s="90">
        <v>5.2880000000000003</v>
      </c>
      <c r="AP270" s="3"/>
      <c r="AQ270" s="8"/>
    </row>
    <row r="271" spans="1:43">
      <c r="A271" s="1">
        <f t="shared" si="27"/>
        <v>269</v>
      </c>
      <c r="B271" s="19"/>
      <c r="C271" s="1">
        <v>6</v>
      </c>
      <c r="D271" s="4">
        <f t="shared" si="35"/>
        <v>69</v>
      </c>
      <c r="E271" s="4" t="s">
        <v>130</v>
      </c>
      <c r="F271" s="4">
        <v>3</v>
      </c>
      <c r="G271" s="4" t="s">
        <v>11</v>
      </c>
      <c r="H271" s="4" t="s">
        <v>12</v>
      </c>
      <c r="I271" s="4"/>
      <c r="J271" s="5">
        <v>97</v>
      </c>
      <c r="K271" s="68"/>
      <c r="L271" s="38">
        <v>1.464</v>
      </c>
      <c r="M271" s="127" t="s">
        <v>110</v>
      </c>
      <c r="N271" s="1" t="s">
        <v>13</v>
      </c>
      <c r="O271" s="22">
        <v>1.478</v>
      </c>
      <c r="P271" s="1" t="s">
        <v>7</v>
      </c>
      <c r="Q271" s="3" t="s">
        <v>205</v>
      </c>
      <c r="R271" s="22">
        <v>1.4339999999999999</v>
      </c>
      <c r="S271" s="22">
        <v>1.4119999999999999</v>
      </c>
      <c r="T271" s="22">
        <v>1.3759999999999999</v>
      </c>
      <c r="U271" s="22">
        <v>1.3520000000000001</v>
      </c>
      <c r="V271" s="22">
        <v>1.5129999999999999</v>
      </c>
      <c r="W271" s="60"/>
      <c r="X271" s="60"/>
      <c r="Y271" s="60"/>
      <c r="Z271" s="22">
        <v>1.4650000000000001</v>
      </c>
      <c r="AA271" s="60"/>
      <c r="AB271" s="22">
        <v>1.621</v>
      </c>
      <c r="AC271" s="22">
        <v>1.7090000000000001</v>
      </c>
      <c r="AD271" s="22">
        <v>1.611</v>
      </c>
      <c r="AE271" s="22">
        <v>1.466</v>
      </c>
      <c r="AF271" s="22">
        <v>1.3169999999999999</v>
      </c>
      <c r="AG271" s="22">
        <v>1.3149999999999999</v>
      </c>
      <c r="AH271" s="6">
        <f>IF((AF271&lt;&gt;0)*AND(AG271&lt;&gt;0),AVERAGE(AF271:AG271),"")</f>
        <v>1.3159999999999998</v>
      </c>
      <c r="AI271" s="60"/>
      <c r="AJ271" s="60"/>
      <c r="AK271" s="60"/>
      <c r="AL271" s="60"/>
      <c r="AM271" s="60"/>
      <c r="AN271" s="60"/>
      <c r="AO271" s="60"/>
      <c r="AP271" s="3"/>
      <c r="AQ271" s="8"/>
    </row>
    <row r="272" spans="1:43">
      <c r="A272" s="1">
        <f t="shared" ref="A272:A346" si="36">A271+1</f>
        <v>270</v>
      </c>
      <c r="B272" s="19"/>
      <c r="C272" s="1">
        <v>6</v>
      </c>
      <c r="D272" s="4">
        <f t="shared" si="35"/>
        <v>69</v>
      </c>
      <c r="E272" s="4" t="s">
        <v>142</v>
      </c>
      <c r="F272" s="4">
        <v>3</v>
      </c>
      <c r="G272" s="4" t="s">
        <v>11</v>
      </c>
      <c r="H272" s="4" t="s">
        <v>17</v>
      </c>
      <c r="I272" s="4"/>
      <c r="J272" s="5">
        <v>97.1</v>
      </c>
      <c r="K272" s="68"/>
      <c r="L272" s="38">
        <v>1.883</v>
      </c>
      <c r="M272" s="127" t="s">
        <v>110</v>
      </c>
      <c r="N272" s="1" t="s">
        <v>13</v>
      </c>
      <c r="O272" s="22">
        <v>1.879</v>
      </c>
      <c r="P272" s="1" t="s">
        <v>7</v>
      </c>
      <c r="Q272" s="3" t="s">
        <v>205</v>
      </c>
      <c r="R272" s="22">
        <v>2.15</v>
      </c>
      <c r="S272" s="22">
        <v>1.9690000000000001</v>
      </c>
      <c r="T272" s="22">
        <v>2.0659999999999998</v>
      </c>
      <c r="U272" s="22">
        <v>1.8879999999999999</v>
      </c>
      <c r="V272" s="22">
        <v>1.9259999999999999</v>
      </c>
      <c r="W272" s="60"/>
      <c r="X272" s="60"/>
      <c r="Y272" s="60"/>
      <c r="Z272" s="22">
        <v>1.8819999999999999</v>
      </c>
      <c r="AA272" s="60"/>
      <c r="AB272" s="22">
        <v>2.2200000000000002</v>
      </c>
      <c r="AC272" s="22">
        <v>2.2189999999999999</v>
      </c>
      <c r="AD272" s="22">
        <v>2.137</v>
      </c>
      <c r="AE272" s="22">
        <v>2.0819999999999999</v>
      </c>
      <c r="AF272" s="22">
        <v>1.986</v>
      </c>
      <c r="AG272" s="22">
        <v>1.5229999999999999</v>
      </c>
      <c r="AH272" s="6">
        <f t="shared" ref="AH272:AH273" si="37">IF((AF272&lt;&gt;0)*AND(AG272&lt;&gt;0),AVERAGE(AF272:AG272),"")</f>
        <v>1.7544999999999999</v>
      </c>
      <c r="AI272" s="60"/>
      <c r="AJ272" s="60"/>
      <c r="AK272" s="60"/>
      <c r="AL272" s="60"/>
      <c r="AM272" s="60"/>
      <c r="AN272" s="60"/>
      <c r="AO272" s="60"/>
      <c r="AP272" s="3"/>
      <c r="AQ272" s="8"/>
    </row>
    <row r="273" spans="1:43">
      <c r="A273" s="1">
        <f t="shared" si="36"/>
        <v>271</v>
      </c>
      <c r="B273" s="19"/>
      <c r="C273" s="1">
        <v>6</v>
      </c>
      <c r="D273" s="4">
        <f t="shared" si="35"/>
        <v>69</v>
      </c>
      <c r="E273" s="4" t="s">
        <v>143</v>
      </c>
      <c r="F273" s="4">
        <v>3</v>
      </c>
      <c r="G273" s="4" t="s">
        <v>11</v>
      </c>
      <c r="H273" s="4" t="s">
        <v>17</v>
      </c>
      <c r="I273" s="4"/>
      <c r="J273" s="5">
        <v>98.1</v>
      </c>
      <c r="K273" s="68"/>
      <c r="L273" s="38">
        <v>2.5089999999999999</v>
      </c>
      <c r="M273" s="127" t="s">
        <v>110</v>
      </c>
      <c r="N273" s="1" t="s">
        <v>13</v>
      </c>
      <c r="O273" s="22">
        <v>2.5169999999999999</v>
      </c>
      <c r="P273" s="1" t="s">
        <v>7</v>
      </c>
      <c r="Q273" s="3" t="s">
        <v>205</v>
      </c>
      <c r="R273" s="22">
        <v>2.6669999999999998</v>
      </c>
      <c r="S273" s="22">
        <v>2.5979999999999999</v>
      </c>
      <c r="T273" s="22">
        <v>2.5419999999999998</v>
      </c>
      <c r="U273" s="22">
        <v>2.1760000000000002</v>
      </c>
      <c r="V273" s="22">
        <v>2.4140000000000001</v>
      </c>
      <c r="W273" s="60"/>
      <c r="X273" s="60"/>
      <c r="Y273" s="60"/>
      <c r="Z273" s="22">
        <v>2.5169999999999999</v>
      </c>
      <c r="AA273" s="60"/>
      <c r="AB273" s="22">
        <v>2.597</v>
      </c>
      <c r="AC273" s="22">
        <v>2.6280000000000001</v>
      </c>
      <c r="AD273" s="22">
        <v>2.6190000000000002</v>
      </c>
      <c r="AE273" s="22">
        <v>2.4769999999999999</v>
      </c>
      <c r="AF273" s="22">
        <v>2.5539999999999998</v>
      </c>
      <c r="AG273" s="22">
        <v>2.1819999999999999</v>
      </c>
      <c r="AH273" s="6">
        <f t="shared" si="37"/>
        <v>2.3679999999999999</v>
      </c>
      <c r="AI273" s="60"/>
      <c r="AJ273" s="60"/>
      <c r="AK273" s="60"/>
      <c r="AL273" s="60"/>
      <c r="AM273" s="60"/>
      <c r="AN273" s="60"/>
      <c r="AO273" s="60"/>
      <c r="AP273" s="3"/>
      <c r="AQ273" s="8"/>
    </row>
    <row r="274" spans="1:43" ht="15">
      <c r="A274" s="1">
        <f t="shared" si="36"/>
        <v>272</v>
      </c>
      <c r="B274" s="19"/>
      <c r="C274" s="1">
        <v>6</v>
      </c>
      <c r="D274" s="4">
        <f t="shared" si="35"/>
        <v>69</v>
      </c>
      <c r="E274" s="4" t="s">
        <v>129</v>
      </c>
      <c r="F274" s="4">
        <v>3</v>
      </c>
      <c r="G274" s="4" t="s">
        <v>11</v>
      </c>
      <c r="H274" s="4" t="s">
        <v>121</v>
      </c>
      <c r="I274" s="4" t="s">
        <v>321</v>
      </c>
      <c r="J274" s="5">
        <v>4.2</v>
      </c>
      <c r="K274" s="68"/>
      <c r="L274" s="72">
        <v>3.1150000000000002</v>
      </c>
      <c r="M274" s="127" t="s">
        <v>567</v>
      </c>
      <c r="N274" s="10" t="s">
        <v>111</v>
      </c>
      <c r="O274" s="60"/>
      <c r="P274" s="9"/>
      <c r="Q274" s="3" t="s">
        <v>205</v>
      </c>
      <c r="R274" s="60"/>
      <c r="S274" s="60"/>
      <c r="T274" s="60"/>
      <c r="U274" s="60"/>
      <c r="V274" s="60"/>
      <c r="W274" s="60"/>
      <c r="X274" s="60"/>
      <c r="Y274" s="60"/>
      <c r="Z274" s="22">
        <v>4.3849999999999998</v>
      </c>
      <c r="AA274" s="60"/>
      <c r="AB274" s="60"/>
      <c r="AC274" s="60"/>
      <c r="AD274" s="60"/>
      <c r="AE274" s="60"/>
      <c r="AF274" s="60"/>
      <c r="AG274" s="22">
        <v>2.3540000000000001</v>
      </c>
      <c r="AH274" s="60"/>
      <c r="AI274" s="90">
        <v>3.21</v>
      </c>
      <c r="AJ274" s="90">
        <v>3.105</v>
      </c>
      <c r="AK274" s="90">
        <v>2.867</v>
      </c>
      <c r="AL274" s="90">
        <v>3.14</v>
      </c>
      <c r="AM274" s="90">
        <v>3.0870000000000002</v>
      </c>
      <c r="AN274" s="90">
        <v>3.1360000000000001</v>
      </c>
      <c r="AO274" s="90">
        <v>3.121</v>
      </c>
      <c r="AP274" s="3"/>
      <c r="AQ274" s="8"/>
    </row>
    <row r="275" spans="1:43">
      <c r="A275" s="1">
        <f t="shared" si="36"/>
        <v>273</v>
      </c>
      <c r="B275" s="2" t="s">
        <v>141</v>
      </c>
      <c r="C275" s="1">
        <v>6</v>
      </c>
      <c r="D275" s="4">
        <f t="shared" si="35"/>
        <v>69</v>
      </c>
      <c r="E275" s="4" t="s">
        <v>131</v>
      </c>
      <c r="F275" s="4">
        <v>1</v>
      </c>
      <c r="G275" s="4" t="s">
        <v>11</v>
      </c>
      <c r="H275" s="4" t="s">
        <v>12</v>
      </c>
      <c r="I275" s="4"/>
      <c r="J275" s="5">
        <v>88.5</v>
      </c>
      <c r="K275" s="68"/>
      <c r="L275" s="38">
        <v>2.9510000000000001</v>
      </c>
      <c r="M275" s="127" t="s">
        <v>212</v>
      </c>
      <c r="N275" s="1" t="s">
        <v>13</v>
      </c>
      <c r="O275" s="22">
        <v>2.9590000000000001</v>
      </c>
      <c r="P275" s="1" t="s">
        <v>7</v>
      </c>
      <c r="Q275" s="3" t="s">
        <v>205</v>
      </c>
      <c r="R275" s="22">
        <v>2.964</v>
      </c>
      <c r="S275" s="22">
        <v>2.8620000000000001</v>
      </c>
      <c r="T275" s="22">
        <v>3.1539999999999999</v>
      </c>
      <c r="U275" s="22">
        <v>2.9369999999999998</v>
      </c>
      <c r="V275" s="22">
        <v>3.1230000000000002</v>
      </c>
      <c r="W275" s="22">
        <v>2.9910000000000001</v>
      </c>
      <c r="X275" s="22">
        <v>2.9889999999999999</v>
      </c>
      <c r="Y275" s="6">
        <v>2.9889999999999999</v>
      </c>
      <c r="Z275" s="6">
        <v>2.9380000000000002</v>
      </c>
      <c r="AA275" s="6">
        <v>2.9449999999999998</v>
      </c>
      <c r="AB275" s="22">
        <v>3.14</v>
      </c>
      <c r="AC275" s="22">
        <v>3.2719999999999998</v>
      </c>
      <c r="AD275" s="22">
        <v>3.1389999999999998</v>
      </c>
      <c r="AE275" s="22">
        <v>2.9060000000000001</v>
      </c>
      <c r="AF275" s="22">
        <v>2.7090000000000001</v>
      </c>
      <c r="AG275" s="22">
        <v>3.0070000000000001</v>
      </c>
      <c r="AH275" s="6">
        <f t="shared" ref="AH275:AH276" si="38">IF((AF275&lt;&gt;0)*AND(AG275&lt;&gt;0),AVERAGE(AF275:AG275),"")</f>
        <v>2.8580000000000001</v>
      </c>
      <c r="AI275" s="11"/>
      <c r="AJ275" s="11"/>
      <c r="AK275" s="11"/>
      <c r="AL275" s="11"/>
      <c r="AM275" s="11"/>
      <c r="AN275" s="11"/>
      <c r="AO275" s="11"/>
      <c r="AP275" s="3"/>
      <c r="AQ275" s="8"/>
    </row>
    <row r="276" spans="1:43">
      <c r="A276" s="1">
        <f t="shared" si="36"/>
        <v>274</v>
      </c>
      <c r="B276" s="19"/>
      <c r="C276" s="1">
        <v>6</v>
      </c>
      <c r="D276" s="4">
        <f t="shared" si="35"/>
        <v>69</v>
      </c>
      <c r="E276" s="4" t="s">
        <v>137</v>
      </c>
      <c r="F276" s="4">
        <v>1</v>
      </c>
      <c r="G276" s="4" t="s">
        <v>11</v>
      </c>
      <c r="H276" s="4" t="s">
        <v>17</v>
      </c>
      <c r="I276" s="4"/>
      <c r="J276" s="5">
        <v>91.2</v>
      </c>
      <c r="K276" s="42">
        <v>5.0000000000000001E-3</v>
      </c>
      <c r="L276" s="38">
        <v>3.5310000000000001</v>
      </c>
      <c r="M276" s="127" t="s">
        <v>212</v>
      </c>
      <c r="N276" s="1" t="s">
        <v>13</v>
      </c>
      <c r="O276" s="22">
        <v>3.52</v>
      </c>
      <c r="P276" s="1" t="s">
        <v>7</v>
      </c>
      <c r="Q276" s="3" t="s">
        <v>205</v>
      </c>
      <c r="R276" s="22">
        <v>3.742</v>
      </c>
      <c r="S276" s="22">
        <v>3.58</v>
      </c>
      <c r="T276" s="22">
        <v>3.867</v>
      </c>
      <c r="U276" s="22">
        <v>3.5430000000000001</v>
      </c>
      <c r="V276" s="22">
        <v>3.77</v>
      </c>
      <c r="W276" s="22">
        <v>3.6040000000000001</v>
      </c>
      <c r="X276" s="22">
        <v>3.597</v>
      </c>
      <c r="Y276" s="22">
        <v>3.5920000000000001</v>
      </c>
      <c r="Z276" s="6">
        <v>3.5390000000000001</v>
      </c>
      <c r="AA276" s="6">
        <v>3.58</v>
      </c>
      <c r="AB276" s="22">
        <v>3.9430000000000001</v>
      </c>
      <c r="AC276" s="22">
        <v>3.931</v>
      </c>
      <c r="AD276" s="22">
        <v>3.8140000000000001</v>
      </c>
      <c r="AE276" s="22">
        <v>3.7639999999999998</v>
      </c>
      <c r="AF276" s="22">
        <v>3.6280000000000001</v>
      </c>
      <c r="AG276" s="22">
        <v>3.2869999999999999</v>
      </c>
      <c r="AH276" s="6">
        <f t="shared" si="38"/>
        <v>3.4575</v>
      </c>
      <c r="AI276" s="11"/>
      <c r="AJ276" s="11"/>
      <c r="AK276" s="11"/>
      <c r="AL276" s="11"/>
      <c r="AM276" s="11"/>
      <c r="AN276" s="11"/>
      <c r="AO276" s="11"/>
      <c r="AP276" s="3"/>
      <c r="AQ276" s="8"/>
    </row>
    <row r="277" spans="1:43" ht="15">
      <c r="A277" s="1">
        <f t="shared" si="36"/>
        <v>275</v>
      </c>
      <c r="B277" s="19"/>
      <c r="C277" s="1">
        <v>6</v>
      </c>
      <c r="D277" s="4">
        <f t="shared" si="35"/>
        <v>69</v>
      </c>
      <c r="E277" s="4" t="s">
        <v>128</v>
      </c>
      <c r="F277" s="4">
        <v>1</v>
      </c>
      <c r="G277" s="4" t="s">
        <v>11</v>
      </c>
      <c r="H277" s="4" t="s">
        <v>121</v>
      </c>
      <c r="I277" s="4" t="s">
        <v>321</v>
      </c>
      <c r="J277" s="5">
        <v>3.1</v>
      </c>
      <c r="K277" s="42">
        <v>0</v>
      </c>
      <c r="L277" s="45">
        <v>5.0090000000000003</v>
      </c>
      <c r="M277" s="127" t="s">
        <v>567</v>
      </c>
      <c r="N277" s="10" t="s">
        <v>111</v>
      </c>
      <c r="O277" s="60"/>
      <c r="P277" s="9"/>
      <c r="Q277" s="3" t="s">
        <v>205</v>
      </c>
      <c r="R277" s="46"/>
      <c r="S277" s="46"/>
      <c r="T277" s="46"/>
      <c r="U277" s="46"/>
      <c r="V277" s="46"/>
      <c r="W277" s="46"/>
      <c r="X277" s="46"/>
      <c r="Y277" s="22">
        <v>6.5739999999999998</v>
      </c>
      <c r="Z277" s="6">
        <v>6.125</v>
      </c>
      <c r="AA277" s="60"/>
      <c r="AB277" s="46"/>
      <c r="AC277" s="46"/>
      <c r="AD277" s="46"/>
      <c r="AE277" s="46"/>
      <c r="AF277" s="46"/>
      <c r="AG277" s="22">
        <v>4.3689999999999998</v>
      </c>
      <c r="AH277" s="46"/>
      <c r="AI277" s="96">
        <v>5.1360000000000001</v>
      </c>
      <c r="AJ277" s="96">
        <v>4.9139999999999997</v>
      </c>
      <c r="AK277" s="96">
        <v>4.649</v>
      </c>
      <c r="AL277" s="96">
        <v>5.0410000000000004</v>
      </c>
      <c r="AM277" s="96">
        <v>5.0179999999999998</v>
      </c>
      <c r="AN277" s="96">
        <v>5.0410000000000004</v>
      </c>
      <c r="AO277" s="96">
        <v>5.0250000000000004</v>
      </c>
      <c r="AP277" s="3"/>
      <c r="AQ277" s="8"/>
    </row>
    <row r="278" spans="1:43" ht="15">
      <c r="A278" s="1">
        <f t="shared" si="36"/>
        <v>276</v>
      </c>
      <c r="B278" s="19"/>
      <c r="C278" s="1">
        <v>6</v>
      </c>
      <c r="D278" s="4">
        <f t="shared" si="35"/>
        <v>69</v>
      </c>
      <c r="E278" s="4" t="s">
        <v>118</v>
      </c>
      <c r="F278" s="4">
        <v>1</v>
      </c>
      <c r="G278" s="4" t="s">
        <v>11</v>
      </c>
      <c r="H278" s="4" t="s">
        <v>17</v>
      </c>
      <c r="I278" s="4" t="s">
        <v>320</v>
      </c>
      <c r="J278" s="5">
        <v>73.599999999999994</v>
      </c>
      <c r="K278" s="42">
        <v>0.09</v>
      </c>
      <c r="L278" s="45">
        <v>5.7949999999999999</v>
      </c>
      <c r="M278" s="128" t="s">
        <v>568</v>
      </c>
      <c r="N278" s="10" t="s">
        <v>111</v>
      </c>
      <c r="O278" s="60"/>
      <c r="P278" s="9"/>
      <c r="Q278" s="3" t="s">
        <v>205</v>
      </c>
      <c r="R278" s="46"/>
      <c r="S278" s="46"/>
      <c r="T278" s="46"/>
      <c r="U278" s="46"/>
      <c r="V278" s="46"/>
      <c r="W278" s="46"/>
      <c r="X278" s="46"/>
      <c r="Y278" s="22">
        <v>6.3330000000000002</v>
      </c>
      <c r="Z278" s="22">
        <v>6.2050000000000001</v>
      </c>
      <c r="AA278" s="60"/>
      <c r="AB278" s="46"/>
      <c r="AC278" s="46"/>
      <c r="AD278" s="46"/>
      <c r="AE278" s="46"/>
      <c r="AF278" s="46"/>
      <c r="AG278" s="22">
        <v>4.5890000000000004</v>
      </c>
      <c r="AH278" s="46"/>
      <c r="AI278" s="96">
        <v>6.1459999999999999</v>
      </c>
      <c r="AJ278" s="96">
        <v>5.9829999999999997</v>
      </c>
      <c r="AK278" s="96">
        <v>5.6120000000000001</v>
      </c>
      <c r="AL278" s="96">
        <v>5.9790000000000001</v>
      </c>
      <c r="AM278" s="96">
        <v>5.91</v>
      </c>
      <c r="AN278" s="96">
        <v>6.0570000000000004</v>
      </c>
      <c r="AO278" s="96">
        <v>6.0220000000000002</v>
      </c>
      <c r="AP278" s="3"/>
      <c r="AQ278" s="8"/>
    </row>
    <row r="279" spans="1:43">
      <c r="A279" s="1">
        <f t="shared" si="36"/>
        <v>277</v>
      </c>
      <c r="B279" s="19"/>
      <c r="C279" s="1">
        <v>6</v>
      </c>
      <c r="D279" s="4">
        <f t="shared" si="35"/>
        <v>69</v>
      </c>
      <c r="E279" s="4" t="s">
        <v>131</v>
      </c>
      <c r="F279" s="4">
        <v>1</v>
      </c>
      <c r="G279" s="4" t="s">
        <v>14</v>
      </c>
      <c r="H279" s="4" t="s">
        <v>22</v>
      </c>
      <c r="I279" s="4"/>
      <c r="J279" s="5">
        <v>94.2</v>
      </c>
      <c r="K279" s="68"/>
      <c r="L279" s="38">
        <v>6.532</v>
      </c>
      <c r="M279" s="127" t="s">
        <v>212</v>
      </c>
      <c r="N279" s="1" t="s">
        <v>13</v>
      </c>
      <c r="O279" s="22">
        <v>6.556</v>
      </c>
      <c r="P279" s="1" t="s">
        <v>7</v>
      </c>
      <c r="Q279" s="3"/>
      <c r="R279" s="22">
        <v>6.5750000000000002</v>
      </c>
      <c r="S279" s="22">
        <v>6.4340000000000002</v>
      </c>
      <c r="T279" s="22">
        <v>7.3159999999999998</v>
      </c>
      <c r="U279" s="22">
        <v>6.702</v>
      </c>
      <c r="V279" s="22">
        <v>6.63</v>
      </c>
      <c r="W279" s="22">
        <v>6.5339999999999998</v>
      </c>
      <c r="X279" s="22">
        <v>6.5380000000000003</v>
      </c>
      <c r="Y279" s="22">
        <v>6.54</v>
      </c>
      <c r="Z279" s="6">
        <v>6.5149999999999997</v>
      </c>
      <c r="AA279" s="6">
        <v>6.5469999999999997</v>
      </c>
      <c r="AB279" s="22">
        <v>6.7779999999999996</v>
      </c>
      <c r="AC279" s="22">
        <v>6.6980000000000004</v>
      </c>
      <c r="AD279" s="22">
        <v>6.6189999999999998</v>
      </c>
      <c r="AE279" s="22">
        <v>6.6740000000000004</v>
      </c>
      <c r="AF279" s="22">
        <v>6.5449999999999999</v>
      </c>
      <c r="AG279" s="22">
        <v>6.3010000000000002</v>
      </c>
      <c r="AH279" s="6">
        <f>IF((AF279&lt;&gt;0)*AND(AG279&lt;&gt;0),AVERAGE(AF279:AG279),"")</f>
        <v>6.423</v>
      </c>
      <c r="AI279" s="11"/>
      <c r="AJ279" s="11"/>
      <c r="AK279" s="11"/>
      <c r="AL279" s="11"/>
      <c r="AM279" s="11"/>
      <c r="AN279" s="11"/>
      <c r="AO279" s="11"/>
      <c r="AP279" s="3"/>
      <c r="AQ279" s="8"/>
    </row>
    <row r="280" spans="1:43" ht="15">
      <c r="A280" s="1">
        <f t="shared" si="36"/>
        <v>278</v>
      </c>
      <c r="B280" s="19"/>
      <c r="C280" s="1">
        <v>6</v>
      </c>
      <c r="D280" s="4">
        <f t="shared" si="35"/>
        <v>69</v>
      </c>
      <c r="E280" s="4" t="s">
        <v>118</v>
      </c>
      <c r="F280" s="4">
        <v>1</v>
      </c>
      <c r="G280" s="4" t="s">
        <v>11</v>
      </c>
      <c r="H280" s="4" t="s">
        <v>17</v>
      </c>
      <c r="I280" s="4" t="s">
        <v>320</v>
      </c>
      <c r="J280" s="5">
        <v>49.9</v>
      </c>
      <c r="K280" s="42">
        <v>0.13100000000000001</v>
      </c>
      <c r="L280" s="45">
        <v>6.7140000000000004</v>
      </c>
      <c r="M280" s="128" t="s">
        <v>393</v>
      </c>
      <c r="N280" s="10" t="s">
        <v>111</v>
      </c>
      <c r="O280" s="60"/>
      <c r="P280" s="9"/>
      <c r="Q280" s="3" t="s">
        <v>205</v>
      </c>
      <c r="R280" s="22">
        <v>6.5810000000000004</v>
      </c>
      <c r="S280" s="22">
        <v>6.4969999999999999</v>
      </c>
      <c r="T280" s="22">
        <v>6.7240000000000002</v>
      </c>
      <c r="U280" s="46"/>
      <c r="V280" s="22">
        <v>6.68</v>
      </c>
      <c r="W280" s="22">
        <v>6.42</v>
      </c>
      <c r="X280" s="22">
        <v>6.4039999999999999</v>
      </c>
      <c r="Y280" s="22">
        <v>7.3470000000000004</v>
      </c>
      <c r="Z280" s="22">
        <v>7.0979999999999999</v>
      </c>
      <c r="AA280" s="6">
        <v>6.9669999999999996</v>
      </c>
      <c r="AB280" s="22">
        <v>6.7789999999999999</v>
      </c>
      <c r="AC280" s="22">
        <v>6.8680000000000003</v>
      </c>
      <c r="AD280" s="22">
        <v>6.7450000000000001</v>
      </c>
      <c r="AE280" s="22">
        <v>6.5629999999999997</v>
      </c>
      <c r="AF280" s="22">
        <v>6.4160000000000004</v>
      </c>
      <c r="AG280" s="22">
        <v>6.4980000000000002</v>
      </c>
      <c r="AH280" s="6">
        <f>IF((AF280&lt;&gt;0)*AND(AG280&lt;&gt;0),AVERAGE(AF280:AG280),"")</f>
        <v>6.4570000000000007</v>
      </c>
      <c r="AI280" s="90">
        <v>9.16</v>
      </c>
      <c r="AJ280" s="90">
        <v>7.1719999999999997</v>
      </c>
      <c r="AK280" s="90">
        <v>6.2439999999999998</v>
      </c>
      <c r="AL280" s="90">
        <v>7.548</v>
      </c>
      <c r="AM280" s="90">
        <v>7.468</v>
      </c>
      <c r="AN280" s="1">
        <v>6.8719999999999999</v>
      </c>
      <c r="AO280" s="90">
        <v>6.6619999999999999</v>
      </c>
      <c r="AP280" s="3"/>
      <c r="AQ280" s="8"/>
    </row>
    <row r="281" spans="1:43">
      <c r="A281" s="1">
        <f t="shared" si="36"/>
        <v>279</v>
      </c>
      <c r="B281" s="19"/>
      <c r="C281" s="1">
        <v>6</v>
      </c>
      <c r="D281" s="4">
        <f t="shared" si="35"/>
        <v>69</v>
      </c>
      <c r="E281" s="4" t="s">
        <v>142</v>
      </c>
      <c r="F281" s="4">
        <v>3</v>
      </c>
      <c r="G281" s="4" t="s">
        <v>11</v>
      </c>
      <c r="H281" s="4" t="s">
        <v>17</v>
      </c>
      <c r="I281" s="4"/>
      <c r="J281" s="5">
        <v>98</v>
      </c>
      <c r="K281" s="68"/>
      <c r="L281" s="38">
        <v>2.2890000000000001</v>
      </c>
      <c r="M281" s="127" t="s">
        <v>110</v>
      </c>
      <c r="N281" s="1" t="s">
        <v>13</v>
      </c>
      <c r="O281" s="22">
        <v>2.2890000000000001</v>
      </c>
      <c r="P281" s="1" t="s">
        <v>7</v>
      </c>
      <c r="Q281" s="3" t="s">
        <v>205</v>
      </c>
      <c r="R281" s="22">
        <v>2.5019999999999998</v>
      </c>
      <c r="S281" s="22">
        <v>2.3439999999999999</v>
      </c>
      <c r="T281" s="22">
        <v>2.431</v>
      </c>
      <c r="U281" s="22">
        <v>2.1139999999999999</v>
      </c>
      <c r="V281" s="22">
        <v>2.2759999999999998</v>
      </c>
      <c r="W281" s="46"/>
      <c r="X281" s="46"/>
      <c r="Y281" s="46"/>
      <c r="Z281" s="22">
        <v>2.2770000000000001</v>
      </c>
      <c r="AA281" s="60"/>
      <c r="AB281" s="22">
        <v>2.5710000000000002</v>
      </c>
      <c r="AC281" s="22">
        <v>2.5670000000000002</v>
      </c>
      <c r="AD281" s="22">
        <v>2.4950000000000001</v>
      </c>
      <c r="AE281" s="22">
        <v>2.44</v>
      </c>
      <c r="AF281" s="22">
        <v>2.3639999999999999</v>
      </c>
      <c r="AG281" s="22">
        <v>1.972</v>
      </c>
      <c r="AH281" s="6">
        <f>IF((AF281&lt;&gt;0)*AND(AG281&lt;&gt;0),AVERAGE(AF281:AG281),"")</f>
        <v>2.1680000000000001</v>
      </c>
      <c r="AI281" s="11"/>
      <c r="AJ281" s="11"/>
      <c r="AK281" s="11"/>
      <c r="AL281" s="11"/>
      <c r="AM281" s="11"/>
      <c r="AN281" s="11"/>
      <c r="AO281" s="11"/>
      <c r="AP281" s="3"/>
      <c r="AQ281" s="8"/>
    </row>
    <row r="282" spans="1:43">
      <c r="A282" s="1">
        <f t="shared" si="36"/>
        <v>280</v>
      </c>
      <c r="B282" s="19"/>
      <c r="C282" s="1">
        <v>6</v>
      </c>
      <c r="D282" s="4">
        <f t="shared" si="35"/>
        <v>69</v>
      </c>
      <c r="E282" s="4" t="s">
        <v>130</v>
      </c>
      <c r="F282" s="4">
        <v>3</v>
      </c>
      <c r="G282" s="4" t="s">
        <v>11</v>
      </c>
      <c r="H282" s="4" t="s">
        <v>12</v>
      </c>
      <c r="I282" s="4"/>
      <c r="J282" s="5">
        <v>96.9</v>
      </c>
      <c r="K282" s="68"/>
      <c r="L282" s="38">
        <v>2.641</v>
      </c>
      <c r="M282" s="127" t="s">
        <v>110</v>
      </c>
      <c r="N282" s="1" t="s">
        <v>13</v>
      </c>
      <c r="O282" s="22">
        <v>2.641</v>
      </c>
      <c r="P282" s="1" t="s">
        <v>7</v>
      </c>
      <c r="Q282" s="3" t="s">
        <v>205</v>
      </c>
      <c r="R282" s="22">
        <v>2.6709999999999998</v>
      </c>
      <c r="S282" s="22">
        <v>2.52</v>
      </c>
      <c r="T282" s="22">
        <v>2.798</v>
      </c>
      <c r="U282" s="22">
        <v>2.5489999999999999</v>
      </c>
      <c r="V282" s="22">
        <v>2.7490000000000001</v>
      </c>
      <c r="W282" s="46"/>
      <c r="X282" s="46"/>
      <c r="Y282" s="46"/>
      <c r="Z282" s="22">
        <v>2.637</v>
      </c>
      <c r="AA282" s="60"/>
      <c r="AB282" s="22">
        <v>2.8730000000000002</v>
      </c>
      <c r="AC282" s="22">
        <v>2.9889999999999999</v>
      </c>
      <c r="AD282" s="22">
        <v>2.835</v>
      </c>
      <c r="AE282" s="22">
        <v>2.657</v>
      </c>
      <c r="AF282" s="22">
        <v>2.387</v>
      </c>
      <c r="AG282" s="22">
        <v>2.6680000000000001</v>
      </c>
      <c r="AH282" s="6">
        <f>IF((AF282&lt;&gt;0)*AND(AG282&lt;&gt;0),AVERAGE(AF282:AG282),"")</f>
        <v>2.5274999999999999</v>
      </c>
      <c r="AI282" s="11"/>
      <c r="AJ282" s="11"/>
      <c r="AK282" s="11"/>
      <c r="AL282" s="11"/>
      <c r="AM282" s="11"/>
      <c r="AN282" s="11"/>
      <c r="AO282" s="11"/>
      <c r="AP282" s="3"/>
      <c r="AQ282" s="8"/>
    </row>
    <row r="283" spans="1:43">
      <c r="A283" s="1">
        <f t="shared" si="36"/>
        <v>281</v>
      </c>
      <c r="B283" s="19"/>
      <c r="C283" s="1">
        <v>6</v>
      </c>
      <c r="D283" s="4">
        <f t="shared" si="35"/>
        <v>69</v>
      </c>
      <c r="E283" s="4" t="s">
        <v>143</v>
      </c>
      <c r="F283" s="4">
        <v>3</v>
      </c>
      <c r="G283" s="4" t="s">
        <v>11</v>
      </c>
      <c r="H283" s="4" t="s">
        <v>17</v>
      </c>
      <c r="I283" s="4"/>
      <c r="J283" s="5">
        <v>98.2</v>
      </c>
      <c r="K283" s="68"/>
      <c r="L283" s="38">
        <v>4.1820000000000004</v>
      </c>
      <c r="M283" s="127" t="s">
        <v>110</v>
      </c>
      <c r="N283" s="1" t="s">
        <v>13</v>
      </c>
      <c r="O283" s="22">
        <v>4.1870000000000003</v>
      </c>
      <c r="P283" s="1" t="s">
        <v>7</v>
      </c>
      <c r="Q283" s="3" t="s">
        <v>205</v>
      </c>
      <c r="R283" s="22">
        <v>4.4210000000000003</v>
      </c>
      <c r="S283" s="22">
        <v>4.3140000000000001</v>
      </c>
      <c r="T283" s="22">
        <v>4.3049999999999997</v>
      </c>
      <c r="U283" s="22">
        <v>3.8980000000000001</v>
      </c>
      <c r="V283" s="22">
        <v>4.1340000000000003</v>
      </c>
      <c r="W283" s="46"/>
      <c r="X283" s="46"/>
      <c r="Y283" s="46"/>
      <c r="Z283" s="22">
        <v>4.1900000000000004</v>
      </c>
      <c r="AA283" s="60"/>
      <c r="AB283" s="22">
        <v>4.2850000000000001</v>
      </c>
      <c r="AC283" s="22">
        <v>4.3090000000000002</v>
      </c>
      <c r="AD283" s="22">
        <v>4.3140000000000001</v>
      </c>
      <c r="AE283" s="22">
        <v>4.157</v>
      </c>
      <c r="AF283" s="22">
        <v>4.2649999999999997</v>
      </c>
      <c r="AG283" s="22">
        <v>3.8940000000000001</v>
      </c>
      <c r="AH283" s="6">
        <f>IF((AF283&lt;&gt;0)*AND(AG283&lt;&gt;0),AVERAGE(AF283:AG283),"")</f>
        <v>4.0794999999999995</v>
      </c>
      <c r="AI283" s="11"/>
      <c r="AJ283" s="11"/>
      <c r="AK283" s="11"/>
      <c r="AL283" s="11"/>
      <c r="AM283" s="11"/>
      <c r="AN283" s="11"/>
      <c r="AO283" s="11"/>
      <c r="AP283" s="3"/>
      <c r="AQ283" s="8"/>
    </row>
    <row r="284" spans="1:43" ht="16">
      <c r="A284" s="1">
        <f t="shared" si="36"/>
        <v>282</v>
      </c>
      <c r="B284" s="19"/>
      <c r="C284" s="1">
        <v>6</v>
      </c>
      <c r="D284" s="4">
        <f t="shared" si="35"/>
        <v>69</v>
      </c>
      <c r="E284" s="4" t="s">
        <v>129</v>
      </c>
      <c r="F284" s="4">
        <v>3</v>
      </c>
      <c r="G284" s="4" t="s">
        <v>11</v>
      </c>
      <c r="H284" s="4" t="s">
        <v>121</v>
      </c>
      <c r="I284" s="4" t="s">
        <v>321</v>
      </c>
      <c r="J284" s="5">
        <v>10</v>
      </c>
      <c r="K284" s="68"/>
      <c r="L284" s="72">
        <v>4.8209999999999997</v>
      </c>
      <c r="M284" s="127" t="s">
        <v>567</v>
      </c>
      <c r="N284" s="10" t="s">
        <v>111</v>
      </c>
      <c r="O284" s="60"/>
      <c r="P284" s="9"/>
      <c r="Q284" s="3" t="s">
        <v>205</v>
      </c>
      <c r="R284" s="46"/>
      <c r="S284" s="46"/>
      <c r="T284" s="46"/>
      <c r="U284" s="46"/>
      <c r="V284" s="46"/>
      <c r="W284" s="46"/>
      <c r="X284" s="46"/>
      <c r="Y284" s="46"/>
      <c r="Z284" s="22">
        <v>6.0460000000000003</v>
      </c>
      <c r="AA284" s="60"/>
      <c r="AB284" s="46"/>
      <c r="AC284" s="46"/>
      <c r="AD284" s="46"/>
      <c r="AE284" s="46"/>
      <c r="AF284" s="46"/>
      <c r="AG284" s="22">
        <v>4.298</v>
      </c>
      <c r="AH284" s="59"/>
      <c r="AI284" s="96">
        <v>5.0750000000000002</v>
      </c>
      <c r="AJ284" s="96">
        <v>4.8140000000000001</v>
      </c>
      <c r="AK284" s="96">
        <v>4.5419999999999998</v>
      </c>
      <c r="AL284" s="96">
        <v>4.9130000000000003</v>
      </c>
      <c r="AM284" s="96">
        <v>4.8970000000000002</v>
      </c>
      <c r="AN284" s="96">
        <v>4.9329999999999998</v>
      </c>
      <c r="AO284" s="96">
        <v>4.9130000000000003</v>
      </c>
      <c r="AP284" s="3"/>
      <c r="AQ284" s="8"/>
    </row>
    <row r="285" spans="1:43">
      <c r="A285" s="1">
        <f t="shared" si="36"/>
        <v>283</v>
      </c>
      <c r="B285" s="31" t="s">
        <v>72</v>
      </c>
      <c r="C285" s="1">
        <v>3</v>
      </c>
      <c r="D285" s="4">
        <f t="shared" si="35"/>
        <v>35</v>
      </c>
      <c r="E285" s="4" t="s">
        <v>128</v>
      </c>
      <c r="F285" s="4">
        <v>1</v>
      </c>
      <c r="G285" s="4" t="s">
        <v>11</v>
      </c>
      <c r="H285" s="4" t="s">
        <v>140</v>
      </c>
      <c r="I285" s="4"/>
      <c r="J285" s="5">
        <v>92.8</v>
      </c>
      <c r="K285" s="135">
        <v>1.5E-3</v>
      </c>
      <c r="L285" s="38">
        <v>6.6709999999999994</v>
      </c>
      <c r="M285" s="127" t="s">
        <v>216</v>
      </c>
      <c r="N285" s="4" t="s">
        <v>13</v>
      </c>
      <c r="O285" s="6">
        <v>6.6729999999999983</v>
      </c>
      <c r="P285" s="1" t="s">
        <v>7</v>
      </c>
      <c r="Q285" s="3" t="s">
        <v>205</v>
      </c>
      <c r="R285" s="22">
        <v>6.843</v>
      </c>
      <c r="S285" s="22">
        <v>6.73</v>
      </c>
      <c r="T285" s="6">
        <v>6.726</v>
      </c>
      <c r="U285" s="22">
        <v>6.6150000000000002</v>
      </c>
      <c r="V285" s="22">
        <v>6.7640000000000002</v>
      </c>
      <c r="W285" s="22">
        <v>6.681</v>
      </c>
      <c r="X285" s="22">
        <v>6.6820000000000004</v>
      </c>
      <c r="Y285" s="22">
        <v>6.7</v>
      </c>
      <c r="Z285" s="22">
        <v>6.6829999999999998</v>
      </c>
      <c r="AA285" s="22">
        <v>6.6760000000000002</v>
      </c>
      <c r="AB285" s="6">
        <v>6.9429999999999996</v>
      </c>
      <c r="AC285" s="6">
        <v>6.9240000000000004</v>
      </c>
      <c r="AD285" s="6">
        <v>6.859</v>
      </c>
      <c r="AE285" s="6">
        <v>6.7869999999999999</v>
      </c>
      <c r="AF285" s="6">
        <v>6.7519999999999998</v>
      </c>
      <c r="AG285" s="6">
        <v>6.5579999999999998</v>
      </c>
      <c r="AH285" s="6">
        <f t="shared" ref="AH285:AH291" si="39">IF((AF285&lt;&gt;0)*AND(AG285&lt;&gt;0),AVERAGE(AF285:AG285),"")</f>
        <v>6.6549999999999994</v>
      </c>
      <c r="AI285" s="7">
        <v>7.48</v>
      </c>
      <c r="AJ285" s="7">
        <v>6.86</v>
      </c>
      <c r="AK285" s="7">
        <v>6.58</v>
      </c>
      <c r="AL285" s="7">
        <v>6.85</v>
      </c>
      <c r="AM285" s="7">
        <v>6.77</v>
      </c>
      <c r="AN285" s="7">
        <v>6.91</v>
      </c>
      <c r="AO285" s="7">
        <v>6.8</v>
      </c>
      <c r="AP285" s="3"/>
      <c r="AQ285" s="8"/>
    </row>
    <row r="286" spans="1:43">
      <c r="A286" s="1">
        <f t="shared" si="36"/>
        <v>284</v>
      </c>
      <c r="B286" s="31"/>
      <c r="C286" s="1">
        <v>3</v>
      </c>
      <c r="D286" s="4">
        <f t="shared" si="35"/>
        <v>35</v>
      </c>
      <c r="E286" s="4" t="s">
        <v>137</v>
      </c>
      <c r="F286" s="4">
        <v>1</v>
      </c>
      <c r="G286" s="4" t="s">
        <v>11</v>
      </c>
      <c r="H286" s="4" t="s">
        <v>17</v>
      </c>
      <c r="I286" s="4"/>
      <c r="J286" s="5">
        <v>95</v>
      </c>
      <c r="K286" s="63">
        <v>7.0999999999999994E-2</v>
      </c>
      <c r="L286" s="38">
        <v>6.7289999999999992</v>
      </c>
      <c r="M286" s="127" t="s">
        <v>216</v>
      </c>
      <c r="N286" s="4" t="s">
        <v>13</v>
      </c>
      <c r="O286" s="6">
        <v>6.726</v>
      </c>
      <c r="P286" s="1" t="s">
        <v>7</v>
      </c>
      <c r="Q286" s="3" t="s">
        <v>205</v>
      </c>
      <c r="R286" s="22">
        <v>6.9020000000000001</v>
      </c>
      <c r="S286" s="22">
        <v>6.7839999999999998</v>
      </c>
      <c r="T286" s="6">
        <v>6.7619999999999996</v>
      </c>
      <c r="U286" s="22">
        <v>6.6920000000000002</v>
      </c>
      <c r="V286" s="22">
        <v>6.8559999999999999</v>
      </c>
      <c r="W286" s="22">
        <v>6.7370000000000001</v>
      </c>
      <c r="X286" s="22">
        <v>6.7320000000000002</v>
      </c>
      <c r="Y286" s="22">
        <v>6.7569999999999997</v>
      </c>
      <c r="Z286" s="22">
        <v>6.7329999999999997</v>
      </c>
      <c r="AA286" s="22">
        <v>6.7460000000000004</v>
      </c>
      <c r="AB286" s="6">
        <v>6.984</v>
      </c>
      <c r="AC286" s="6">
        <v>7.0090000000000003</v>
      </c>
      <c r="AD286" s="6">
        <v>6.9359999999999999</v>
      </c>
      <c r="AE286" s="6">
        <v>6.86</v>
      </c>
      <c r="AF286" s="6">
        <v>6.7640000000000002</v>
      </c>
      <c r="AG286" s="6">
        <v>6.5549999999999997</v>
      </c>
      <c r="AH286" s="6">
        <f t="shared" si="39"/>
        <v>6.6594999999999995</v>
      </c>
      <c r="AI286" s="7">
        <v>7.47</v>
      </c>
      <c r="AJ286" s="7">
        <v>6.89</v>
      </c>
      <c r="AK286" s="7">
        <v>6.47</v>
      </c>
      <c r="AL286" s="7">
        <v>6.96</v>
      </c>
      <c r="AM286" s="7">
        <v>6.87</v>
      </c>
      <c r="AN286" s="7">
        <v>6.95</v>
      </c>
      <c r="AO286" s="7">
        <v>6.83</v>
      </c>
      <c r="AP286" s="3"/>
      <c r="AQ286" s="8"/>
    </row>
    <row r="287" spans="1:43">
      <c r="A287" s="1">
        <f t="shared" si="36"/>
        <v>285</v>
      </c>
      <c r="B287" s="31"/>
      <c r="C287" s="1">
        <v>3</v>
      </c>
      <c r="D287" s="4">
        <f t="shared" si="35"/>
        <v>35</v>
      </c>
      <c r="E287" s="4" t="s">
        <v>128</v>
      </c>
      <c r="F287" s="4">
        <v>1</v>
      </c>
      <c r="G287" s="4" t="s">
        <v>14</v>
      </c>
      <c r="H287" s="4" t="s">
        <v>22</v>
      </c>
      <c r="I287" s="4"/>
      <c r="J287" s="5">
        <v>95.1</v>
      </c>
      <c r="K287" s="63">
        <v>7.0000000000000001E-3</v>
      </c>
      <c r="L287" s="38">
        <v>6.9439999999999991</v>
      </c>
      <c r="M287" s="127" t="s">
        <v>216</v>
      </c>
      <c r="N287" s="4" t="s">
        <v>13</v>
      </c>
      <c r="O287" s="6">
        <v>6.9689999999999985</v>
      </c>
      <c r="P287" s="1" t="s">
        <v>7</v>
      </c>
      <c r="Q287" s="3"/>
      <c r="R287" s="22">
        <v>6.899</v>
      </c>
      <c r="S287" s="22">
        <v>6.8310000000000004</v>
      </c>
      <c r="T287" s="6">
        <v>7.0140000000000002</v>
      </c>
      <c r="U287" s="22">
        <v>6.9710000000000001</v>
      </c>
      <c r="V287" s="22">
        <v>6.99</v>
      </c>
      <c r="W287" s="22">
        <v>6.9349999999999996</v>
      </c>
      <c r="X287" s="22">
        <v>6.9359999999999999</v>
      </c>
      <c r="Y287" s="22">
        <v>6.9409999999999998</v>
      </c>
      <c r="Z287" s="22">
        <v>6.9340000000000002</v>
      </c>
      <c r="AA287" s="22">
        <v>6.9370000000000003</v>
      </c>
      <c r="AB287" s="6">
        <v>7.1449999999999996</v>
      </c>
      <c r="AC287" s="6">
        <v>7.1079999999999997</v>
      </c>
      <c r="AD287" s="6">
        <v>7.016</v>
      </c>
      <c r="AE287" s="6">
        <v>7.048</v>
      </c>
      <c r="AF287" s="6">
        <v>6.8630000000000004</v>
      </c>
      <c r="AG287" s="6">
        <v>6.806</v>
      </c>
      <c r="AH287" s="6">
        <f t="shared" si="39"/>
        <v>6.8345000000000002</v>
      </c>
      <c r="AI287" s="11"/>
      <c r="AJ287" s="11"/>
      <c r="AK287" s="11"/>
      <c r="AL287" s="11"/>
      <c r="AM287" s="11"/>
      <c r="AN287" s="11"/>
      <c r="AO287" s="11"/>
      <c r="AP287" s="3"/>
      <c r="AQ287" s="8"/>
    </row>
    <row r="288" spans="1:43">
      <c r="A288" s="1">
        <f t="shared" si="36"/>
        <v>286</v>
      </c>
      <c r="B288" s="31"/>
      <c r="C288" s="1">
        <v>3</v>
      </c>
      <c r="D288" s="4">
        <f t="shared" si="35"/>
        <v>35</v>
      </c>
      <c r="E288" s="4" t="s">
        <v>128</v>
      </c>
      <c r="F288" s="4">
        <v>1</v>
      </c>
      <c r="G288" s="4" t="s">
        <v>14</v>
      </c>
      <c r="H288" s="4" t="s">
        <v>23</v>
      </c>
      <c r="I288" s="4"/>
      <c r="J288" s="5">
        <v>95</v>
      </c>
      <c r="K288" s="63">
        <v>2.8000000000000001E-2</v>
      </c>
      <c r="L288" s="38">
        <v>7.3280000000000003</v>
      </c>
      <c r="M288" s="127" t="s">
        <v>216</v>
      </c>
      <c r="N288" s="4" t="s">
        <v>13</v>
      </c>
      <c r="O288" s="6">
        <v>7.3470000000000013</v>
      </c>
      <c r="P288" s="1" t="s">
        <v>7</v>
      </c>
      <c r="Q288" s="3"/>
      <c r="R288" s="22">
        <v>7.1929999999999996</v>
      </c>
      <c r="S288" s="22">
        <v>7.2279999999999998</v>
      </c>
      <c r="T288" s="6">
        <v>7.3979999999999997</v>
      </c>
      <c r="U288" s="6">
        <v>7.4089999999999998</v>
      </c>
      <c r="V288" s="22">
        <v>7.3819999999999997</v>
      </c>
      <c r="W288" s="22">
        <v>7.3209999999999997</v>
      </c>
      <c r="X288" s="22">
        <v>7.3220000000000001</v>
      </c>
      <c r="Y288" s="22">
        <v>7.3280000000000003</v>
      </c>
      <c r="Z288" s="22">
        <v>7.32</v>
      </c>
      <c r="AA288" s="22">
        <v>7.3230000000000004</v>
      </c>
      <c r="AB288" s="6">
        <v>7.5430000000000001</v>
      </c>
      <c r="AC288" s="6">
        <v>7.5090000000000003</v>
      </c>
      <c r="AD288" s="6">
        <v>7.415</v>
      </c>
      <c r="AE288" s="6">
        <v>7.367</v>
      </c>
      <c r="AF288" s="6">
        <v>7.258</v>
      </c>
      <c r="AG288" s="6">
        <v>7.1890000000000001</v>
      </c>
      <c r="AH288" s="6">
        <f t="shared" si="39"/>
        <v>7.2234999999999996</v>
      </c>
      <c r="AI288" s="11"/>
      <c r="AJ288" s="11"/>
      <c r="AK288" s="11"/>
      <c r="AL288" s="11"/>
      <c r="AM288" s="11"/>
      <c r="AN288" s="11"/>
      <c r="AO288" s="11"/>
      <c r="AP288" s="3"/>
      <c r="AQ288" s="8"/>
    </row>
    <row r="289" spans="1:43">
      <c r="A289" s="1">
        <f t="shared" si="36"/>
        <v>287</v>
      </c>
      <c r="B289" s="31"/>
      <c r="C289" s="1">
        <v>3</v>
      </c>
      <c r="D289" s="4">
        <f t="shared" si="35"/>
        <v>35</v>
      </c>
      <c r="E289" s="4" t="s">
        <v>142</v>
      </c>
      <c r="F289" s="4">
        <v>3</v>
      </c>
      <c r="G289" s="4" t="s">
        <v>11</v>
      </c>
      <c r="H289" s="4" t="s">
        <v>17</v>
      </c>
      <c r="I289" s="4"/>
      <c r="J289" s="5">
        <v>98.9</v>
      </c>
      <c r="K289" s="68"/>
      <c r="L289" s="38">
        <v>4.347999999999999</v>
      </c>
      <c r="M289" s="127" t="s">
        <v>109</v>
      </c>
      <c r="N289" s="4" t="s">
        <v>13</v>
      </c>
      <c r="O289" s="6">
        <v>4.3589999999999982</v>
      </c>
      <c r="P289" s="1" t="s">
        <v>7</v>
      </c>
      <c r="Q289" s="3" t="s">
        <v>205</v>
      </c>
      <c r="R289" s="22">
        <v>4.55</v>
      </c>
      <c r="S289" s="6">
        <v>4.4580000000000002</v>
      </c>
      <c r="T289" s="6">
        <v>4.3579999999999997</v>
      </c>
      <c r="U289" s="22">
        <v>4.181</v>
      </c>
      <c r="V289" s="22">
        <v>4.298</v>
      </c>
      <c r="W289" s="46"/>
      <c r="X289" s="46"/>
      <c r="Y289" s="46"/>
      <c r="Z289" s="22">
        <v>4.34</v>
      </c>
      <c r="AA289" s="22">
        <v>4.3419999999999996</v>
      </c>
      <c r="AB289" s="6">
        <v>4.4889999999999999</v>
      </c>
      <c r="AC289" s="6">
        <v>4.4880000000000004</v>
      </c>
      <c r="AD289" s="6">
        <v>4.4809999999999999</v>
      </c>
      <c r="AE289" s="6">
        <v>4.4000000000000004</v>
      </c>
      <c r="AF289" s="6">
        <v>4.4550000000000001</v>
      </c>
      <c r="AG289" s="6">
        <v>4.093</v>
      </c>
      <c r="AH289" s="6">
        <f t="shared" si="39"/>
        <v>4.274</v>
      </c>
      <c r="AI289" s="7">
        <v>4.5999999999999996</v>
      </c>
      <c r="AJ289" s="7">
        <v>4.47</v>
      </c>
      <c r="AK289" s="7">
        <v>4.2699999999999996</v>
      </c>
      <c r="AL289" s="7">
        <v>4.46</v>
      </c>
      <c r="AM289" s="7">
        <v>4.4000000000000004</v>
      </c>
      <c r="AN289" s="7">
        <v>4.53</v>
      </c>
      <c r="AO289" s="7">
        <v>4.51</v>
      </c>
      <c r="AP289" s="3"/>
      <c r="AQ289" s="8"/>
    </row>
    <row r="290" spans="1:43">
      <c r="A290" s="1">
        <f t="shared" si="36"/>
        <v>288</v>
      </c>
      <c r="B290" s="31"/>
      <c r="C290" s="1">
        <v>3</v>
      </c>
      <c r="D290" s="4">
        <f t="shared" si="35"/>
        <v>35</v>
      </c>
      <c r="E290" s="4" t="s">
        <v>129</v>
      </c>
      <c r="F290" s="4">
        <v>3</v>
      </c>
      <c r="G290" s="4" t="s">
        <v>11</v>
      </c>
      <c r="H290" s="4" t="s">
        <v>140</v>
      </c>
      <c r="I290" s="4"/>
      <c r="J290" s="5">
        <v>98</v>
      </c>
      <c r="K290" s="68"/>
      <c r="L290" s="38">
        <v>6.3929999999999998</v>
      </c>
      <c r="M290" s="127" t="s">
        <v>109</v>
      </c>
      <c r="N290" s="4" t="s">
        <v>13</v>
      </c>
      <c r="O290" s="6">
        <v>6.3980000000000006</v>
      </c>
      <c r="P290" s="1" t="s">
        <v>7</v>
      </c>
      <c r="Q290" s="3" t="s">
        <v>205</v>
      </c>
      <c r="R290" s="22">
        <v>6.49</v>
      </c>
      <c r="S290" s="6">
        <v>6.44</v>
      </c>
      <c r="T290" s="6">
        <v>6.4169999999999998</v>
      </c>
      <c r="U290" s="22">
        <v>6.3789999999999996</v>
      </c>
      <c r="V290" s="22">
        <v>6.4569999999999999</v>
      </c>
      <c r="W290" s="46"/>
      <c r="X290" s="46"/>
      <c r="Y290" s="46"/>
      <c r="Z290" s="22">
        <v>6.4029999999999996</v>
      </c>
      <c r="AA290" s="22">
        <v>6.3979999999999997</v>
      </c>
      <c r="AB290" s="6">
        <v>6.7050000000000001</v>
      </c>
      <c r="AC290" s="6">
        <v>6.69</v>
      </c>
      <c r="AD290" s="6">
        <v>6.6050000000000004</v>
      </c>
      <c r="AE290" s="6">
        <v>6.5640000000000001</v>
      </c>
      <c r="AF290" s="6">
        <v>6.4530000000000003</v>
      </c>
      <c r="AG290" s="6">
        <v>6.2560000000000002</v>
      </c>
      <c r="AH290" s="6">
        <f t="shared" si="39"/>
        <v>6.3544999999999998</v>
      </c>
      <c r="AI290" s="7">
        <v>7.08</v>
      </c>
      <c r="AJ290" s="7">
        <v>6.56</v>
      </c>
      <c r="AK290" s="7">
        <v>6.32</v>
      </c>
      <c r="AL290" s="7">
        <v>6.55</v>
      </c>
      <c r="AM290" s="7">
        <v>6.47</v>
      </c>
      <c r="AN290" s="7">
        <v>6.61</v>
      </c>
      <c r="AO290" s="7">
        <v>6.52</v>
      </c>
      <c r="AP290" s="3"/>
      <c r="AQ290" s="8"/>
    </row>
    <row r="291" spans="1:43">
      <c r="A291" s="1">
        <f t="shared" si="36"/>
        <v>289</v>
      </c>
      <c r="B291" s="31"/>
      <c r="C291" s="1">
        <v>3</v>
      </c>
      <c r="D291" s="4">
        <f t="shared" si="35"/>
        <v>35</v>
      </c>
      <c r="E291" s="4" t="s">
        <v>129</v>
      </c>
      <c r="F291" s="4">
        <v>3</v>
      </c>
      <c r="G291" s="4" t="s">
        <v>14</v>
      </c>
      <c r="H291" s="4" t="s">
        <v>22</v>
      </c>
      <c r="I291" s="4"/>
      <c r="J291" s="5">
        <v>98.3</v>
      </c>
      <c r="K291" s="68"/>
      <c r="L291" s="38">
        <v>6.8470000000000004</v>
      </c>
      <c r="M291" s="127" t="s">
        <v>109</v>
      </c>
      <c r="N291" s="4" t="s">
        <v>13</v>
      </c>
      <c r="O291" s="6">
        <v>6.8740000000000006</v>
      </c>
      <c r="P291" s="1" t="s">
        <v>7</v>
      </c>
      <c r="Q291" s="3"/>
      <c r="R291" s="22">
        <v>6.8360000000000003</v>
      </c>
      <c r="S291" s="6">
        <v>6.75</v>
      </c>
      <c r="T291" s="6">
        <v>6.9059999999999997</v>
      </c>
      <c r="U291" s="22">
        <v>6.89</v>
      </c>
      <c r="V291" s="22">
        <v>6.8890000000000002</v>
      </c>
      <c r="W291" s="46"/>
      <c r="X291" s="46"/>
      <c r="Y291" s="46"/>
      <c r="Z291" s="22">
        <v>6.843</v>
      </c>
      <c r="AA291" s="22">
        <v>6.8449999999999998</v>
      </c>
      <c r="AB291" s="6">
        <v>7.0890000000000004</v>
      </c>
      <c r="AC291" s="6">
        <v>7.0540000000000003</v>
      </c>
      <c r="AD291" s="6">
        <v>6.9530000000000003</v>
      </c>
      <c r="AE291" s="6">
        <v>6.9969999999999999</v>
      </c>
      <c r="AF291" s="6">
        <v>6.7809999999999997</v>
      </c>
      <c r="AG291" s="6">
        <v>6.7110000000000003</v>
      </c>
      <c r="AH291" s="6">
        <f t="shared" si="39"/>
        <v>6.7460000000000004</v>
      </c>
      <c r="AI291" s="11"/>
      <c r="AJ291" s="11"/>
      <c r="AK291" s="11"/>
      <c r="AL291" s="11"/>
      <c r="AM291" s="11"/>
      <c r="AN291" s="11"/>
      <c r="AO291" s="11"/>
      <c r="AP291" s="3"/>
      <c r="AQ291" s="8"/>
    </row>
    <row r="292" spans="1:43">
      <c r="A292" s="1">
        <f t="shared" si="36"/>
        <v>290</v>
      </c>
      <c r="B292" s="31" t="s">
        <v>32</v>
      </c>
      <c r="C292" s="1">
        <v>4</v>
      </c>
      <c r="D292" s="4">
        <f t="shared" si="35"/>
        <v>35</v>
      </c>
      <c r="E292" s="4" t="s">
        <v>131</v>
      </c>
      <c r="F292" s="4">
        <v>1</v>
      </c>
      <c r="G292" s="4" t="s">
        <v>11</v>
      </c>
      <c r="H292" s="4" t="s">
        <v>12</v>
      </c>
      <c r="I292" s="4"/>
      <c r="J292" s="5">
        <v>89.6</v>
      </c>
      <c r="K292" s="68"/>
      <c r="L292" s="38">
        <v>3.4099999999999993</v>
      </c>
      <c r="M292" s="127" t="s">
        <v>203</v>
      </c>
      <c r="N292" s="1" t="s">
        <v>13</v>
      </c>
      <c r="O292" s="22">
        <v>3.4169999999999989</v>
      </c>
      <c r="P292" s="1" t="s">
        <v>7</v>
      </c>
      <c r="Q292" s="3" t="s">
        <v>205</v>
      </c>
      <c r="R292" s="22">
        <v>3.4540000000000002</v>
      </c>
      <c r="S292" s="22">
        <v>3.5310000000000001</v>
      </c>
      <c r="T292" s="22">
        <v>3.3740000000000001</v>
      </c>
      <c r="U292" s="22">
        <v>3.3540000000000001</v>
      </c>
      <c r="V292" s="22">
        <v>3.508</v>
      </c>
      <c r="W292" s="22">
        <v>3.4319999999999999</v>
      </c>
      <c r="X292" s="22">
        <v>3.4340000000000002</v>
      </c>
      <c r="Y292" s="22">
        <v>3.4590000000000001</v>
      </c>
      <c r="Z292" s="22">
        <v>3.431</v>
      </c>
      <c r="AA292" s="22">
        <v>3.407</v>
      </c>
      <c r="AB292" s="22">
        <v>3.46</v>
      </c>
      <c r="AC292" s="22">
        <v>3.5859999999999999</v>
      </c>
      <c r="AD292" s="22">
        <v>3.5670000000000002</v>
      </c>
      <c r="AE292" s="22">
        <v>3.2829999999999999</v>
      </c>
      <c r="AF292" s="22">
        <v>3.375</v>
      </c>
      <c r="AG292" s="22">
        <v>3.4590000000000001</v>
      </c>
      <c r="AH292" s="6">
        <f t="shared" si="33"/>
        <v>3.4169999999999998</v>
      </c>
      <c r="AI292" s="7">
        <v>3.44</v>
      </c>
      <c r="AJ292" s="7">
        <v>3.43</v>
      </c>
      <c r="AK292" s="7">
        <v>3.14</v>
      </c>
      <c r="AL292" s="7">
        <v>3.46</v>
      </c>
      <c r="AM292" s="7">
        <v>3.4</v>
      </c>
      <c r="AN292" s="7">
        <v>3.54</v>
      </c>
      <c r="AO292" s="7">
        <v>3.52</v>
      </c>
      <c r="AP292" s="3"/>
      <c r="AQ292" s="8"/>
    </row>
    <row r="293" spans="1:43">
      <c r="A293" s="1">
        <f t="shared" si="36"/>
        <v>291</v>
      </c>
      <c r="B293" s="19"/>
      <c r="C293" s="1">
        <v>4</v>
      </c>
      <c r="D293" s="4">
        <f t="shared" si="35"/>
        <v>35</v>
      </c>
      <c r="E293" s="4" t="s">
        <v>128</v>
      </c>
      <c r="F293" s="4">
        <v>1</v>
      </c>
      <c r="G293" s="4" t="s">
        <v>11</v>
      </c>
      <c r="H293" s="4" t="s">
        <v>12</v>
      </c>
      <c r="I293" s="4"/>
      <c r="J293" s="5">
        <v>84.8</v>
      </c>
      <c r="K293" s="63">
        <v>0</v>
      </c>
      <c r="L293" s="38">
        <v>3.448</v>
      </c>
      <c r="M293" s="127" t="s">
        <v>203</v>
      </c>
      <c r="N293" s="1" t="s">
        <v>13</v>
      </c>
      <c r="O293" s="22">
        <v>3.472</v>
      </c>
      <c r="P293" s="1" t="s">
        <v>7</v>
      </c>
      <c r="Q293" s="3" t="s">
        <v>205</v>
      </c>
      <c r="R293" s="22">
        <v>3.5579999999999998</v>
      </c>
      <c r="S293" s="22">
        <v>3.4969999999999999</v>
      </c>
      <c r="T293" s="22">
        <v>3.6309999999999998</v>
      </c>
      <c r="U293" s="22">
        <v>3.6789999999999998</v>
      </c>
      <c r="V293" s="22">
        <v>3.843</v>
      </c>
      <c r="W293" s="22">
        <v>3.52</v>
      </c>
      <c r="X293" s="22">
        <v>3.512</v>
      </c>
      <c r="Y293" s="22">
        <v>3.5569999999999999</v>
      </c>
      <c r="Z293" s="22">
        <v>3.4289999999999998</v>
      </c>
      <c r="AA293" s="22">
        <v>3.44</v>
      </c>
      <c r="AB293" s="22">
        <v>3.927</v>
      </c>
      <c r="AC293" s="22">
        <v>4.069</v>
      </c>
      <c r="AD293" s="22">
        <v>3.8780000000000001</v>
      </c>
      <c r="AE293" s="22">
        <v>3.726</v>
      </c>
      <c r="AF293" s="22">
        <v>3.37</v>
      </c>
      <c r="AG293" s="22">
        <v>3.823</v>
      </c>
      <c r="AH293" s="6">
        <f t="shared" si="33"/>
        <v>3.5964999999999998</v>
      </c>
      <c r="AI293" s="7">
        <v>3.57</v>
      </c>
      <c r="AJ293" s="7">
        <v>3.45</v>
      </c>
      <c r="AK293" s="7">
        <v>3.17</v>
      </c>
      <c r="AL293" s="7">
        <v>3.52</v>
      </c>
      <c r="AM293" s="7">
        <v>3.46</v>
      </c>
      <c r="AN293" s="7">
        <v>3.51</v>
      </c>
      <c r="AO293" s="7">
        <v>3.5</v>
      </c>
      <c r="AP293" s="3"/>
      <c r="AQ293" s="8"/>
    </row>
    <row r="294" spans="1:43">
      <c r="A294" s="1">
        <f t="shared" si="36"/>
        <v>292</v>
      </c>
      <c r="B294" s="19"/>
      <c r="C294" s="1">
        <v>4</v>
      </c>
      <c r="D294" s="4">
        <f t="shared" si="35"/>
        <v>35</v>
      </c>
      <c r="E294" s="4" t="s">
        <v>137</v>
      </c>
      <c r="F294" s="4">
        <v>1</v>
      </c>
      <c r="G294" s="4" t="s">
        <v>11</v>
      </c>
      <c r="H294" s="4" t="s">
        <v>17</v>
      </c>
      <c r="I294" s="4"/>
      <c r="J294" s="5">
        <v>83</v>
      </c>
      <c r="K294" s="63">
        <v>7.0000000000000001E-3</v>
      </c>
      <c r="L294" s="38">
        <v>4.5980000000000008</v>
      </c>
      <c r="M294" s="127" t="s">
        <v>203</v>
      </c>
      <c r="N294" s="1" t="s">
        <v>13</v>
      </c>
      <c r="O294" s="22">
        <v>4.6180000000000003</v>
      </c>
      <c r="P294" s="1" t="s">
        <v>7</v>
      </c>
      <c r="Q294" s="3" t="s">
        <v>205</v>
      </c>
      <c r="R294" s="22">
        <v>5.0570000000000004</v>
      </c>
      <c r="S294" s="22">
        <v>4.9050000000000002</v>
      </c>
      <c r="T294" s="22">
        <v>4.8259999999999996</v>
      </c>
      <c r="U294" s="22">
        <v>4.8390000000000004</v>
      </c>
      <c r="V294" s="22">
        <v>4.9779999999999998</v>
      </c>
      <c r="W294" s="22">
        <v>4.7</v>
      </c>
      <c r="X294" s="22">
        <v>4.6929999999999996</v>
      </c>
      <c r="Y294" s="22">
        <v>4.7309999999999999</v>
      </c>
      <c r="Z294" s="22">
        <v>4.6349999999999998</v>
      </c>
      <c r="AA294" s="22">
        <v>4.6230000000000002</v>
      </c>
      <c r="AB294" s="22">
        <v>5.0380000000000003</v>
      </c>
      <c r="AC294" s="22">
        <v>5.2050000000000001</v>
      </c>
      <c r="AD294" s="22">
        <v>5.1050000000000004</v>
      </c>
      <c r="AE294" s="22">
        <v>4.8419999999999996</v>
      </c>
      <c r="AF294" s="22">
        <v>4.7240000000000002</v>
      </c>
      <c r="AG294" s="22">
        <v>4.7190000000000003</v>
      </c>
      <c r="AH294" s="6">
        <f t="shared" si="33"/>
        <v>4.7215000000000007</v>
      </c>
      <c r="AI294" s="7">
        <v>4.51</v>
      </c>
      <c r="AJ294" s="7">
        <v>4.6399999999999997</v>
      </c>
      <c r="AK294" s="7">
        <v>4.3499999999999996</v>
      </c>
      <c r="AL294" s="7">
        <v>4.66</v>
      </c>
      <c r="AM294" s="7">
        <v>4.6100000000000003</v>
      </c>
      <c r="AN294" s="7">
        <v>4.79</v>
      </c>
      <c r="AO294" s="7">
        <v>4.7699999999999996</v>
      </c>
      <c r="AP294" s="3"/>
      <c r="AQ294" s="8"/>
    </row>
    <row r="295" spans="1:43">
      <c r="A295" s="1">
        <f t="shared" si="36"/>
        <v>293</v>
      </c>
      <c r="B295" s="19"/>
      <c r="C295" s="1">
        <v>4</v>
      </c>
      <c r="D295" s="4">
        <f t="shared" si="35"/>
        <v>35</v>
      </c>
      <c r="E295" s="4" t="s">
        <v>137</v>
      </c>
      <c r="F295" s="4">
        <v>1</v>
      </c>
      <c r="G295" s="4" t="s">
        <v>14</v>
      </c>
      <c r="H295" s="4" t="s">
        <v>15</v>
      </c>
      <c r="I295" s="4"/>
      <c r="J295" s="5">
        <v>91.8</v>
      </c>
      <c r="K295" s="63">
        <v>4.8000000000000001E-2</v>
      </c>
      <c r="L295" s="38">
        <v>5.354000000000001</v>
      </c>
      <c r="M295" s="127" t="s">
        <v>203</v>
      </c>
      <c r="N295" s="1" t="s">
        <v>13</v>
      </c>
      <c r="O295" s="22">
        <v>5.4050000000000002</v>
      </c>
      <c r="P295" s="1" t="s">
        <v>7</v>
      </c>
      <c r="Q295" s="3" t="s">
        <v>205</v>
      </c>
      <c r="R295" s="22">
        <v>5.2439999999999998</v>
      </c>
      <c r="S295" s="22">
        <v>5.2240000000000002</v>
      </c>
      <c r="T295" s="22">
        <v>5.2990000000000004</v>
      </c>
      <c r="U295" s="22">
        <v>5.4420000000000002</v>
      </c>
      <c r="V295" s="22">
        <v>5.4089999999999998</v>
      </c>
      <c r="W295" s="22">
        <v>5.335</v>
      </c>
      <c r="X295" s="22">
        <v>5.335</v>
      </c>
      <c r="Y295" s="22">
        <v>5.38</v>
      </c>
      <c r="Z295" s="22">
        <v>5.3419999999999996</v>
      </c>
      <c r="AA295" s="22">
        <v>5.3150000000000004</v>
      </c>
      <c r="AB295" s="22">
        <v>5.4729999999999999</v>
      </c>
      <c r="AC295" s="22">
        <v>5.5229999999999997</v>
      </c>
      <c r="AD295" s="22">
        <v>5.4279999999999999</v>
      </c>
      <c r="AE295" s="22">
        <v>5.3630000000000004</v>
      </c>
      <c r="AF295" s="22">
        <v>5.1710000000000003</v>
      </c>
      <c r="AG295" s="22">
        <v>5.407</v>
      </c>
      <c r="AH295" s="6">
        <f t="shared" si="33"/>
        <v>5.2889999999999997</v>
      </c>
      <c r="AI295" s="7">
        <v>4.59</v>
      </c>
      <c r="AJ295" s="7">
        <v>5.25</v>
      </c>
      <c r="AK295" s="7">
        <v>5.15</v>
      </c>
      <c r="AL295" s="7">
        <v>5.25</v>
      </c>
      <c r="AM295" s="7">
        <v>5.22</v>
      </c>
      <c r="AN295" s="7">
        <v>5.34</v>
      </c>
      <c r="AO295" s="7">
        <v>5.35</v>
      </c>
      <c r="AP295" s="3"/>
      <c r="AQ295" s="8"/>
    </row>
    <row r="296" spans="1:43">
      <c r="A296" s="1">
        <f t="shared" si="36"/>
        <v>294</v>
      </c>
      <c r="B296" s="19"/>
      <c r="C296" s="1">
        <v>4</v>
      </c>
      <c r="D296" s="4">
        <f t="shared" si="35"/>
        <v>35</v>
      </c>
      <c r="E296" s="4" t="s">
        <v>118</v>
      </c>
      <c r="F296" s="4">
        <v>1</v>
      </c>
      <c r="G296" s="4" t="s">
        <v>11</v>
      </c>
      <c r="H296" s="4" t="s">
        <v>17</v>
      </c>
      <c r="I296" s="4"/>
      <c r="J296" s="5">
        <v>89</v>
      </c>
      <c r="K296" s="63">
        <v>0.22800000000000001</v>
      </c>
      <c r="L296" s="38">
        <v>5.4689999999999994</v>
      </c>
      <c r="M296" s="127" t="s">
        <v>203</v>
      </c>
      <c r="N296" s="1" t="s">
        <v>13</v>
      </c>
      <c r="O296" s="22">
        <v>5.4710000000000001</v>
      </c>
      <c r="P296" s="1" t="s">
        <v>7</v>
      </c>
      <c r="Q296" s="3" t="s">
        <v>205</v>
      </c>
      <c r="R296" s="22">
        <v>5.4660000000000002</v>
      </c>
      <c r="S296" s="22">
        <v>5.585</v>
      </c>
      <c r="T296" s="22">
        <v>5.4080000000000004</v>
      </c>
      <c r="U296" s="22">
        <v>5.327</v>
      </c>
      <c r="V296" s="22">
        <v>5.5540000000000003</v>
      </c>
      <c r="W296" s="22">
        <v>5.4980000000000002</v>
      </c>
      <c r="X296" s="22">
        <v>5.484</v>
      </c>
      <c r="Y296" s="22">
        <v>5.5149999999999997</v>
      </c>
      <c r="Z296" s="22">
        <v>5.4909999999999997</v>
      </c>
      <c r="AA296" s="22">
        <v>5.4729999999999999</v>
      </c>
      <c r="AB296" s="22">
        <v>5.3460000000000001</v>
      </c>
      <c r="AC296" s="22">
        <v>5.5629999999999997</v>
      </c>
      <c r="AD296" s="22">
        <v>5.577</v>
      </c>
      <c r="AE296" s="22">
        <v>5.1710000000000003</v>
      </c>
      <c r="AF296" s="22">
        <v>5.3639999999999999</v>
      </c>
      <c r="AG296" s="22">
        <v>5.3609999999999998</v>
      </c>
      <c r="AH296" s="6">
        <f t="shared" si="33"/>
        <v>5.3624999999999998</v>
      </c>
      <c r="AI296" s="7">
        <v>6.46</v>
      </c>
      <c r="AJ296" s="7">
        <v>5.84</v>
      </c>
      <c r="AK296" s="7">
        <v>5.32</v>
      </c>
      <c r="AL296" s="7">
        <v>5.88</v>
      </c>
      <c r="AM296" s="7">
        <v>5.75</v>
      </c>
      <c r="AN296" s="7">
        <v>5.72</v>
      </c>
      <c r="AO296" s="7">
        <v>5.54</v>
      </c>
      <c r="AP296" s="3"/>
      <c r="AQ296" s="8"/>
    </row>
    <row r="297" spans="1:43">
      <c r="A297" s="1">
        <f t="shared" si="36"/>
        <v>295</v>
      </c>
      <c r="B297" s="19"/>
      <c r="C297" s="1">
        <v>4</v>
      </c>
      <c r="D297" s="4">
        <f t="shared" si="35"/>
        <v>35</v>
      </c>
      <c r="E297" s="4" t="s">
        <v>137</v>
      </c>
      <c r="F297" s="4">
        <v>1</v>
      </c>
      <c r="G297" s="4" t="s">
        <v>14</v>
      </c>
      <c r="H297" s="4" t="s">
        <v>16</v>
      </c>
      <c r="I297" s="4"/>
      <c r="J297" s="5">
        <v>91.3</v>
      </c>
      <c r="K297" s="63">
        <v>8.4000000000000005E-2</v>
      </c>
      <c r="L297" s="38">
        <v>5.9400000000000013</v>
      </c>
      <c r="M297" s="127" t="s">
        <v>203</v>
      </c>
      <c r="N297" s="1" t="s">
        <v>13</v>
      </c>
      <c r="O297" s="22">
        <v>5.9680000000000017</v>
      </c>
      <c r="P297" s="1" t="s">
        <v>7</v>
      </c>
      <c r="Q297" s="3" t="s">
        <v>205</v>
      </c>
      <c r="R297" s="22">
        <v>5.9340000000000002</v>
      </c>
      <c r="S297" s="22">
        <v>5.819</v>
      </c>
      <c r="T297" s="22">
        <v>5.9119999999999999</v>
      </c>
      <c r="U297" s="22">
        <v>6.0640000000000001</v>
      </c>
      <c r="V297" s="22">
        <v>6.0309999999999997</v>
      </c>
      <c r="W297" s="22">
        <v>5.9320000000000004</v>
      </c>
      <c r="X297" s="22">
        <v>5.9290000000000003</v>
      </c>
      <c r="Y297" s="22">
        <v>5.9740000000000002</v>
      </c>
      <c r="Z297" s="22">
        <v>5.9260000000000002</v>
      </c>
      <c r="AA297" s="22">
        <v>5.9039999999999999</v>
      </c>
      <c r="AB297" s="22">
        <v>6.1059999999999999</v>
      </c>
      <c r="AC297" s="22">
        <v>6.1589999999999998</v>
      </c>
      <c r="AD297" s="22">
        <v>6.0439999999999996</v>
      </c>
      <c r="AE297" s="22">
        <v>5.9870000000000001</v>
      </c>
      <c r="AF297" s="22">
        <v>5.7690000000000001</v>
      </c>
      <c r="AG297" s="22">
        <v>6.02</v>
      </c>
      <c r="AH297" s="6">
        <f t="shared" si="33"/>
        <v>5.8944999999999999</v>
      </c>
      <c r="AI297" s="7">
        <v>5.27</v>
      </c>
      <c r="AJ297" s="7">
        <v>5.93</v>
      </c>
      <c r="AK297" s="7">
        <v>5.86</v>
      </c>
      <c r="AL297" s="7">
        <v>5.92</v>
      </c>
      <c r="AM297" s="7">
        <v>5.9</v>
      </c>
      <c r="AN297" s="7">
        <v>5.98</v>
      </c>
      <c r="AO297" s="7">
        <v>5.99</v>
      </c>
      <c r="AP297" s="3"/>
      <c r="AQ297" s="8"/>
    </row>
    <row r="298" spans="1:43">
      <c r="A298" s="1">
        <f t="shared" si="36"/>
        <v>296</v>
      </c>
      <c r="B298" s="19"/>
      <c r="C298" s="1">
        <v>4</v>
      </c>
      <c r="D298" s="4">
        <f t="shared" si="35"/>
        <v>35</v>
      </c>
      <c r="E298" s="4" t="s">
        <v>130</v>
      </c>
      <c r="F298" s="4">
        <v>3</v>
      </c>
      <c r="G298" s="4" t="s">
        <v>11</v>
      </c>
      <c r="H298" s="4" t="s">
        <v>12</v>
      </c>
      <c r="I298" s="4"/>
      <c r="J298" s="5">
        <v>97.2</v>
      </c>
      <c r="K298" s="68"/>
      <c r="L298" s="38">
        <v>3.28</v>
      </c>
      <c r="M298" s="127" t="s">
        <v>99</v>
      </c>
      <c r="N298" s="1" t="s">
        <v>13</v>
      </c>
      <c r="O298" s="22">
        <v>3.2879999999999998</v>
      </c>
      <c r="P298" s="1" t="s">
        <v>7</v>
      </c>
      <c r="Q298" s="3" t="s">
        <v>205</v>
      </c>
      <c r="R298" s="22">
        <v>3.3340000000000001</v>
      </c>
      <c r="S298" s="22">
        <v>3.3650000000000002</v>
      </c>
      <c r="T298" s="22">
        <v>3.2280000000000002</v>
      </c>
      <c r="U298" s="22">
        <v>3.2130000000000001</v>
      </c>
      <c r="V298" s="22">
        <v>3.34</v>
      </c>
      <c r="W298" s="46"/>
      <c r="X298" s="46"/>
      <c r="Y298" s="46"/>
      <c r="Z298" s="22">
        <v>3.3039999999999998</v>
      </c>
      <c r="AA298" s="46"/>
      <c r="AB298" s="6">
        <v>3.3879999999999999</v>
      </c>
      <c r="AC298" s="6">
        <v>3.4980000000000002</v>
      </c>
      <c r="AD298" s="6">
        <v>3.4540000000000002</v>
      </c>
      <c r="AE298" s="22">
        <v>3.2269999999999999</v>
      </c>
      <c r="AF298" s="22">
        <v>3.23</v>
      </c>
      <c r="AG298" s="22">
        <v>3.2959999999999998</v>
      </c>
      <c r="AH298" s="6">
        <f t="shared" si="33"/>
        <v>3.2629999999999999</v>
      </c>
      <c r="AI298" s="7">
        <v>3.26</v>
      </c>
      <c r="AJ298" s="7">
        <v>3.28</v>
      </c>
      <c r="AK298" s="7">
        <v>3</v>
      </c>
      <c r="AL298" s="7">
        <v>3.33</v>
      </c>
      <c r="AM298" s="7">
        <v>3.28</v>
      </c>
      <c r="AN298" s="7">
        <v>3.4</v>
      </c>
      <c r="AO298" s="7">
        <v>3.38</v>
      </c>
      <c r="AP298" s="3"/>
      <c r="AQ298" s="8"/>
    </row>
    <row r="299" spans="1:43">
      <c r="A299" s="1">
        <f t="shared" si="36"/>
        <v>297</v>
      </c>
      <c r="B299" s="19"/>
      <c r="C299" s="1">
        <v>4</v>
      </c>
      <c r="D299" s="4">
        <f t="shared" si="35"/>
        <v>35</v>
      </c>
      <c r="E299" s="4" t="s">
        <v>129</v>
      </c>
      <c r="F299" s="4">
        <v>3</v>
      </c>
      <c r="G299" s="4" t="s">
        <v>11</v>
      </c>
      <c r="H299" s="4" t="s">
        <v>12</v>
      </c>
      <c r="I299" s="4"/>
      <c r="J299" s="5">
        <v>94.5</v>
      </c>
      <c r="K299" s="68"/>
      <c r="L299" s="38">
        <v>3.3220000000000001</v>
      </c>
      <c r="M299" s="127" t="s">
        <v>99</v>
      </c>
      <c r="N299" s="1" t="s">
        <v>13</v>
      </c>
      <c r="O299" s="22">
        <v>3.3469999999999995</v>
      </c>
      <c r="P299" s="1" t="s">
        <v>7</v>
      </c>
      <c r="Q299" s="3" t="s">
        <v>205</v>
      </c>
      <c r="R299" s="22">
        <v>3.5489999999999999</v>
      </c>
      <c r="S299" s="22">
        <v>3.38</v>
      </c>
      <c r="T299" s="22">
        <v>3.5</v>
      </c>
      <c r="U299" s="22">
        <v>3.55</v>
      </c>
      <c r="V299" s="22">
        <v>3.6970000000000001</v>
      </c>
      <c r="W299" s="46"/>
      <c r="X299" s="46"/>
      <c r="Y299" s="46"/>
      <c r="Z299" s="22">
        <v>3.3140000000000001</v>
      </c>
      <c r="AA299" s="46"/>
      <c r="AB299" s="6">
        <v>3.835</v>
      </c>
      <c r="AC299" s="6">
        <v>3.9670000000000001</v>
      </c>
      <c r="AD299" s="6">
        <v>3.7730000000000001</v>
      </c>
      <c r="AE299" s="22">
        <v>3.641</v>
      </c>
      <c r="AF299" s="22">
        <v>3.2629999999999999</v>
      </c>
      <c r="AG299" s="22">
        <v>3.6549999999999998</v>
      </c>
      <c r="AH299" s="6">
        <f t="shared" si="33"/>
        <v>3.4589999999999996</v>
      </c>
      <c r="AI299" s="7">
        <v>3.51</v>
      </c>
      <c r="AJ299" s="7">
        <v>3.35</v>
      </c>
      <c r="AK299" s="7">
        <v>3.07</v>
      </c>
      <c r="AL299" s="7">
        <v>3.42</v>
      </c>
      <c r="AM299" s="7">
        <v>3.36</v>
      </c>
      <c r="AN299" s="7">
        <v>3.41</v>
      </c>
      <c r="AO299" s="7">
        <v>3.4</v>
      </c>
      <c r="AP299" s="3"/>
      <c r="AQ299" s="8"/>
    </row>
    <row r="300" spans="1:43">
      <c r="A300" s="1">
        <f t="shared" si="36"/>
        <v>298</v>
      </c>
      <c r="B300" s="19"/>
      <c r="C300" s="1">
        <v>4</v>
      </c>
      <c r="D300" s="4">
        <f t="shared" si="35"/>
        <v>35</v>
      </c>
      <c r="E300" s="4" t="s">
        <v>142</v>
      </c>
      <c r="F300" s="4">
        <v>3</v>
      </c>
      <c r="G300" s="4" t="s">
        <v>11</v>
      </c>
      <c r="H300" s="4" t="s">
        <v>17</v>
      </c>
      <c r="I300" s="4"/>
      <c r="J300" s="5">
        <v>96.5</v>
      </c>
      <c r="K300" s="68"/>
      <c r="L300" s="38">
        <v>4.01</v>
      </c>
      <c r="M300" s="127" t="s">
        <v>99</v>
      </c>
      <c r="N300" s="1" t="s">
        <v>13</v>
      </c>
      <c r="O300" s="22">
        <v>4.0330000000000013</v>
      </c>
      <c r="P300" s="1" t="s">
        <v>7</v>
      </c>
      <c r="Q300" s="3" t="s">
        <v>205</v>
      </c>
      <c r="R300" s="22">
        <v>4.6210000000000004</v>
      </c>
      <c r="S300" s="22">
        <v>4.2359999999999998</v>
      </c>
      <c r="T300" s="22">
        <v>4.1360000000000001</v>
      </c>
      <c r="U300" s="22">
        <v>4.0410000000000004</v>
      </c>
      <c r="V300" s="22">
        <v>4.16</v>
      </c>
      <c r="W300" s="46"/>
      <c r="X300" s="46"/>
      <c r="Y300" s="46"/>
      <c r="Z300" s="22">
        <v>4.0199999999999996</v>
      </c>
      <c r="AA300" s="46"/>
      <c r="AB300" s="6">
        <v>4.3570000000000002</v>
      </c>
      <c r="AC300" s="6">
        <v>4.4370000000000003</v>
      </c>
      <c r="AD300" s="6">
        <v>4.3730000000000002</v>
      </c>
      <c r="AE300" s="22">
        <v>4.2050000000000001</v>
      </c>
      <c r="AF300" s="22">
        <v>4.1269999999999998</v>
      </c>
      <c r="AG300" s="22">
        <v>3.9590000000000001</v>
      </c>
      <c r="AH300" s="6">
        <f t="shared" si="33"/>
        <v>4.0430000000000001</v>
      </c>
      <c r="AI300" s="7">
        <v>3.8</v>
      </c>
      <c r="AJ300" s="7">
        <v>3.97</v>
      </c>
      <c r="AK300" s="7">
        <v>3.75</v>
      </c>
      <c r="AL300" s="7">
        <v>3.99</v>
      </c>
      <c r="AM300" s="7">
        <v>3.95</v>
      </c>
      <c r="AN300" s="7">
        <v>4.17</v>
      </c>
      <c r="AO300" s="7">
        <v>4.17</v>
      </c>
      <c r="AP300" s="3"/>
      <c r="AQ300" s="8"/>
    </row>
    <row r="301" spans="1:43">
      <c r="A301" s="1">
        <f t="shared" si="36"/>
        <v>299</v>
      </c>
      <c r="B301" s="19"/>
      <c r="C301" s="1">
        <v>4</v>
      </c>
      <c r="D301" s="4">
        <f t="shared" si="35"/>
        <v>35</v>
      </c>
      <c r="E301" s="4" t="s">
        <v>143</v>
      </c>
      <c r="F301" s="4">
        <v>3</v>
      </c>
      <c r="G301" s="4" t="s">
        <v>11</v>
      </c>
      <c r="H301" s="4" t="s">
        <v>17</v>
      </c>
      <c r="I301" s="4"/>
      <c r="J301" s="5">
        <v>98.2</v>
      </c>
      <c r="K301" s="68"/>
      <c r="L301" s="38">
        <v>4.0060000000000002</v>
      </c>
      <c r="M301" s="127" t="s">
        <v>99</v>
      </c>
      <c r="N301" s="1" t="s">
        <v>13</v>
      </c>
      <c r="O301" s="22">
        <v>4.0150000000000006</v>
      </c>
      <c r="P301" s="1" t="s">
        <v>7</v>
      </c>
      <c r="Q301" s="3" t="s">
        <v>205</v>
      </c>
      <c r="R301" s="22">
        <v>4.1189999999999998</v>
      </c>
      <c r="S301" s="22">
        <v>4.1559999999999997</v>
      </c>
      <c r="T301" s="22">
        <v>3.968</v>
      </c>
      <c r="U301" s="22">
        <v>3.8410000000000002</v>
      </c>
      <c r="V301" s="22">
        <v>3.9729999999999999</v>
      </c>
      <c r="W301" s="46"/>
      <c r="X301" s="46"/>
      <c r="Y301" s="46"/>
      <c r="Z301" s="22">
        <v>4.0289999999999999</v>
      </c>
      <c r="AA301" s="46"/>
      <c r="AB301" s="6">
        <v>4.1020000000000003</v>
      </c>
      <c r="AC301" s="6">
        <v>4.1840000000000002</v>
      </c>
      <c r="AD301" s="6">
        <v>4.1749999999999998</v>
      </c>
      <c r="AE301" s="22">
        <v>3.9740000000000002</v>
      </c>
      <c r="AF301" s="22">
        <v>4.0410000000000004</v>
      </c>
      <c r="AG301" s="22">
        <v>3.83</v>
      </c>
      <c r="AH301" s="6">
        <f t="shared" si="33"/>
        <v>3.9355000000000002</v>
      </c>
      <c r="AI301" s="7">
        <v>3.83</v>
      </c>
      <c r="AJ301" s="7">
        <v>4.01</v>
      </c>
      <c r="AK301" s="7">
        <v>3.77</v>
      </c>
      <c r="AL301" s="7">
        <v>4</v>
      </c>
      <c r="AM301" s="7">
        <v>3.95</v>
      </c>
      <c r="AN301" s="7">
        <v>4.1399999999999997</v>
      </c>
      <c r="AO301" s="7">
        <v>4.13</v>
      </c>
      <c r="AP301" s="3"/>
      <c r="AQ301" s="8"/>
    </row>
    <row r="302" spans="1:43">
      <c r="A302" s="1">
        <f t="shared" si="36"/>
        <v>300</v>
      </c>
      <c r="B302" s="31" t="s">
        <v>31</v>
      </c>
      <c r="C302" s="1">
        <v>4</v>
      </c>
      <c r="D302" s="4">
        <f t="shared" si="35"/>
        <v>35</v>
      </c>
      <c r="E302" s="4" t="s">
        <v>128</v>
      </c>
      <c r="F302" s="4">
        <v>1</v>
      </c>
      <c r="G302" s="4" t="s">
        <v>11</v>
      </c>
      <c r="H302" s="4" t="s">
        <v>12</v>
      </c>
      <c r="I302" s="4"/>
      <c r="J302" s="5">
        <v>87.7</v>
      </c>
      <c r="K302" s="63">
        <v>0</v>
      </c>
      <c r="L302" s="38">
        <v>4.274</v>
      </c>
      <c r="M302" s="127" t="s">
        <v>203</v>
      </c>
      <c r="N302" s="1" t="s">
        <v>13</v>
      </c>
      <c r="O302" s="22">
        <v>4.2889999999999997</v>
      </c>
      <c r="P302" s="1" t="s">
        <v>7</v>
      </c>
      <c r="Q302" s="3" t="s">
        <v>205</v>
      </c>
      <c r="R302" s="22">
        <v>4.367</v>
      </c>
      <c r="S302" s="22">
        <v>4.0049999999999999</v>
      </c>
      <c r="T302" s="22">
        <v>4.49</v>
      </c>
      <c r="U302" s="22">
        <v>4.327</v>
      </c>
      <c r="V302" s="22">
        <v>4.5289999999999999</v>
      </c>
      <c r="W302" s="22">
        <v>4.2850000000000001</v>
      </c>
      <c r="X302" s="22">
        <v>4.2830000000000004</v>
      </c>
      <c r="Y302" s="22">
        <v>4.306</v>
      </c>
      <c r="Z302" s="22">
        <v>4.2140000000000004</v>
      </c>
      <c r="AA302" s="22">
        <v>4.2370000000000001</v>
      </c>
      <c r="AB302" s="22">
        <v>4.452</v>
      </c>
      <c r="AC302" s="22">
        <v>4.5629999999999997</v>
      </c>
      <c r="AD302" s="22">
        <v>4.38</v>
      </c>
      <c r="AE302" s="22">
        <v>4.2130000000000001</v>
      </c>
      <c r="AF302" s="22">
        <v>3.8809999999999998</v>
      </c>
      <c r="AG302" s="22">
        <v>4.6639999999999997</v>
      </c>
      <c r="AH302" s="6">
        <f t="shared" si="33"/>
        <v>4.2725</v>
      </c>
      <c r="AI302" s="28">
        <v>4.92</v>
      </c>
      <c r="AJ302" s="7">
        <v>4.12</v>
      </c>
      <c r="AK302" s="7">
        <v>3.75</v>
      </c>
      <c r="AL302" s="8">
        <v>4.4000000000000004</v>
      </c>
      <c r="AM302" s="8">
        <v>4.38</v>
      </c>
      <c r="AN302" s="28">
        <v>4.08</v>
      </c>
      <c r="AO302" s="28">
        <v>4.04</v>
      </c>
      <c r="AP302" s="3"/>
      <c r="AQ302" s="8"/>
    </row>
    <row r="303" spans="1:43">
      <c r="A303" s="1">
        <f t="shared" si="36"/>
        <v>301</v>
      </c>
      <c r="B303" s="31"/>
      <c r="C303" s="1">
        <v>4</v>
      </c>
      <c r="D303" s="4">
        <f t="shared" si="35"/>
        <v>35</v>
      </c>
      <c r="E303" s="4" t="s">
        <v>131</v>
      </c>
      <c r="F303" s="4">
        <v>1</v>
      </c>
      <c r="G303" s="4" t="s">
        <v>11</v>
      </c>
      <c r="H303" s="4" t="s">
        <v>12</v>
      </c>
      <c r="I303" s="4"/>
      <c r="J303" s="5">
        <v>91</v>
      </c>
      <c r="K303" s="68"/>
      <c r="L303" s="38">
        <v>5.5520000000000005</v>
      </c>
      <c r="M303" s="127" t="s">
        <v>203</v>
      </c>
      <c r="N303" s="1" t="s">
        <v>13</v>
      </c>
      <c r="O303" s="22">
        <v>5.5600000000000005</v>
      </c>
      <c r="P303" s="1" t="s">
        <v>7</v>
      </c>
      <c r="Q303" s="3" t="s">
        <v>205</v>
      </c>
      <c r="R303" s="22">
        <v>5.65</v>
      </c>
      <c r="S303" s="22">
        <v>5.6529999999999996</v>
      </c>
      <c r="T303" s="22">
        <v>5.7089999999999996</v>
      </c>
      <c r="U303" s="22">
        <v>5.452</v>
      </c>
      <c r="V303" s="22">
        <v>5.633</v>
      </c>
      <c r="W303" s="22">
        <v>5.59</v>
      </c>
      <c r="X303" s="22">
        <v>5.5919999999999996</v>
      </c>
      <c r="Y303" s="22">
        <v>5.5940000000000003</v>
      </c>
      <c r="Z303" s="22">
        <v>5.5730000000000004</v>
      </c>
      <c r="AA303" s="22">
        <v>5.5460000000000003</v>
      </c>
      <c r="AB303" s="22">
        <v>5.64</v>
      </c>
      <c r="AC303" s="22">
        <v>5.7889999999999997</v>
      </c>
      <c r="AD303" s="22">
        <v>5.7450000000000001</v>
      </c>
      <c r="AE303" s="22">
        <v>5.4249999999999998</v>
      </c>
      <c r="AF303" s="22">
        <v>5.4740000000000002</v>
      </c>
      <c r="AG303" s="22">
        <v>5.6079999999999997</v>
      </c>
      <c r="AH303" s="6">
        <f t="shared" si="33"/>
        <v>5.5410000000000004</v>
      </c>
      <c r="AI303" s="28">
        <v>5.64</v>
      </c>
      <c r="AJ303" s="7">
        <v>5.62</v>
      </c>
      <c r="AK303" s="7">
        <v>5.31</v>
      </c>
      <c r="AL303" s="8">
        <v>5.67</v>
      </c>
      <c r="AM303" s="8">
        <v>5.64</v>
      </c>
      <c r="AN303" s="28">
        <v>5.86</v>
      </c>
      <c r="AO303" s="28">
        <v>5.85</v>
      </c>
      <c r="AP303" s="3"/>
      <c r="AQ303" s="8"/>
    </row>
    <row r="304" spans="1:43">
      <c r="A304" s="1">
        <f t="shared" si="36"/>
        <v>302</v>
      </c>
      <c r="B304" s="31"/>
      <c r="C304" s="1">
        <v>4</v>
      </c>
      <c r="D304" s="4">
        <f t="shared" si="35"/>
        <v>35</v>
      </c>
      <c r="E304" s="4" t="s">
        <v>137</v>
      </c>
      <c r="F304" s="4">
        <v>1</v>
      </c>
      <c r="G304" s="4" t="s">
        <v>14</v>
      </c>
      <c r="H304" s="4" t="s">
        <v>15</v>
      </c>
      <c r="I304" s="4"/>
      <c r="J304" s="5">
        <v>90.8</v>
      </c>
      <c r="K304" s="63">
        <v>3.0000000000000001E-3</v>
      </c>
      <c r="L304" s="38">
        <v>6.3699999999999992</v>
      </c>
      <c r="M304" s="127" t="s">
        <v>203</v>
      </c>
      <c r="N304" s="1" t="s">
        <v>13</v>
      </c>
      <c r="O304" s="22">
        <v>6.4139999999999997</v>
      </c>
      <c r="P304" s="1" t="s">
        <v>7</v>
      </c>
      <c r="Q304" s="3" t="s">
        <v>205</v>
      </c>
      <c r="R304" s="22">
        <v>6.3230000000000004</v>
      </c>
      <c r="S304" s="22">
        <v>5.843</v>
      </c>
      <c r="T304" s="22">
        <v>6.5039999999999996</v>
      </c>
      <c r="U304" s="22">
        <v>6.4790000000000001</v>
      </c>
      <c r="V304" s="22">
        <v>6.4409999999999998</v>
      </c>
      <c r="W304" s="22">
        <v>6.351</v>
      </c>
      <c r="X304" s="22">
        <v>6.35</v>
      </c>
      <c r="Y304" s="22">
        <v>6.3789999999999996</v>
      </c>
      <c r="Z304" s="22">
        <v>6.3239999999999998</v>
      </c>
      <c r="AA304" s="22">
        <v>6.3109999999999999</v>
      </c>
      <c r="AB304" s="22">
        <v>6.3559999999999999</v>
      </c>
      <c r="AC304" s="22">
        <v>6.4039999999999999</v>
      </c>
      <c r="AD304" s="22">
        <v>6.2190000000000003</v>
      </c>
      <c r="AE304" s="22">
        <v>6.17</v>
      </c>
      <c r="AF304" s="22">
        <v>5.7850000000000001</v>
      </c>
      <c r="AG304" s="22">
        <v>6.6429999999999998</v>
      </c>
      <c r="AH304" s="6">
        <f t="shared" si="33"/>
        <v>6.2140000000000004</v>
      </c>
      <c r="AI304" s="28">
        <v>5.68</v>
      </c>
      <c r="AJ304" s="7">
        <v>6.28</v>
      </c>
      <c r="AK304" s="7">
        <v>6.21</v>
      </c>
      <c r="AL304" s="8">
        <v>6.41</v>
      </c>
      <c r="AM304" s="8">
        <v>6.44</v>
      </c>
      <c r="AN304" s="28">
        <v>6.47</v>
      </c>
      <c r="AO304" s="28">
        <v>6.51</v>
      </c>
      <c r="AP304" s="3"/>
      <c r="AQ304" s="8"/>
    </row>
    <row r="305" spans="1:43">
      <c r="A305" s="1">
        <f t="shared" si="36"/>
        <v>303</v>
      </c>
      <c r="B305" s="31"/>
      <c r="C305" s="1">
        <v>4</v>
      </c>
      <c r="D305" s="4">
        <f t="shared" si="35"/>
        <v>35</v>
      </c>
      <c r="E305" s="4" t="s">
        <v>137</v>
      </c>
      <c r="F305" s="4">
        <v>1</v>
      </c>
      <c r="G305" s="4" t="s">
        <v>11</v>
      </c>
      <c r="H305" s="4" t="s">
        <v>17</v>
      </c>
      <c r="I305" s="4"/>
      <c r="J305" s="5">
        <v>86.5</v>
      </c>
      <c r="K305" s="63">
        <v>4.7E-2</v>
      </c>
      <c r="L305" s="38">
        <v>6.5410000000000004</v>
      </c>
      <c r="M305" s="127" t="s">
        <v>203</v>
      </c>
      <c r="N305" s="1" t="s">
        <v>13</v>
      </c>
      <c r="O305" s="22">
        <v>6.5579999999999998</v>
      </c>
      <c r="P305" s="1" t="s">
        <v>7</v>
      </c>
      <c r="Q305" s="3" t="s">
        <v>205</v>
      </c>
      <c r="R305" s="22">
        <v>6.6040000000000001</v>
      </c>
      <c r="S305" s="22">
        <v>6.5629999999999997</v>
      </c>
      <c r="T305" s="22">
        <v>6.8</v>
      </c>
      <c r="U305" s="22">
        <v>6.657</v>
      </c>
      <c r="V305" s="22">
        <v>6.8230000000000004</v>
      </c>
      <c r="W305" s="22">
        <v>6.609</v>
      </c>
      <c r="X305" s="22">
        <v>6.5860000000000003</v>
      </c>
      <c r="Y305" s="22">
        <v>6.6150000000000002</v>
      </c>
      <c r="Z305" s="22">
        <v>6.5410000000000004</v>
      </c>
      <c r="AA305" s="22">
        <v>6.53</v>
      </c>
      <c r="AB305" s="22">
        <v>6.694</v>
      </c>
      <c r="AC305" s="22">
        <v>6.8630000000000004</v>
      </c>
      <c r="AD305" s="22">
        <v>6.7480000000000002</v>
      </c>
      <c r="AE305" s="22">
        <v>6.4710000000000001</v>
      </c>
      <c r="AF305" s="22">
        <v>6.3280000000000003</v>
      </c>
      <c r="AG305" s="22">
        <v>6.8310000000000004</v>
      </c>
      <c r="AH305" s="6">
        <f t="shared" si="33"/>
        <v>6.5795000000000003</v>
      </c>
      <c r="AI305" s="28">
        <v>6.4</v>
      </c>
      <c r="AJ305" s="7">
        <v>6.54</v>
      </c>
      <c r="AK305" s="7">
        <v>6.2</v>
      </c>
      <c r="AL305" s="8">
        <v>6.63</v>
      </c>
      <c r="AM305" s="8">
        <v>6.62</v>
      </c>
      <c r="AN305" s="28">
        <v>6.82</v>
      </c>
      <c r="AO305" s="28">
        <v>6.82</v>
      </c>
      <c r="AP305" s="3"/>
      <c r="AQ305" s="8"/>
    </row>
    <row r="306" spans="1:43">
      <c r="A306" s="1">
        <f t="shared" si="36"/>
        <v>304</v>
      </c>
      <c r="B306" s="31"/>
      <c r="C306" s="1">
        <v>4</v>
      </c>
      <c r="D306" s="4">
        <f t="shared" si="35"/>
        <v>35</v>
      </c>
      <c r="E306" s="4" t="s">
        <v>137</v>
      </c>
      <c r="F306" s="4">
        <v>1</v>
      </c>
      <c r="G306" s="4" t="s">
        <v>14</v>
      </c>
      <c r="H306" s="4" t="s">
        <v>16</v>
      </c>
      <c r="I306" s="4"/>
      <c r="J306" s="5">
        <v>91.1</v>
      </c>
      <c r="K306" s="63">
        <v>1.7999999999999999E-2</v>
      </c>
      <c r="L306" s="38">
        <v>7.0050000000000008</v>
      </c>
      <c r="M306" s="127" t="s">
        <v>203</v>
      </c>
      <c r="N306" s="1" t="s">
        <v>13</v>
      </c>
      <c r="O306" s="22">
        <v>7.0359999999999996</v>
      </c>
      <c r="P306" s="1" t="s">
        <v>7</v>
      </c>
      <c r="Q306" s="3" t="s">
        <v>205</v>
      </c>
      <c r="R306" s="22">
        <v>6.4749999999999996</v>
      </c>
      <c r="S306" s="22">
        <v>6.4630000000000001</v>
      </c>
      <c r="T306" s="22">
        <v>7.1470000000000002</v>
      </c>
      <c r="U306" s="22">
        <v>7.1120000000000001</v>
      </c>
      <c r="V306" s="22">
        <v>7.0919999999999996</v>
      </c>
      <c r="W306" s="22">
        <v>6.9539999999999997</v>
      </c>
      <c r="X306" s="22">
        <v>6.9770000000000003</v>
      </c>
      <c r="Y306" s="22">
        <v>7.0149999999999997</v>
      </c>
      <c r="Z306" s="22">
        <v>6.9610000000000003</v>
      </c>
      <c r="AA306" s="22">
        <v>6.9470000000000001</v>
      </c>
      <c r="AB306" s="22">
        <v>6.992</v>
      </c>
      <c r="AC306" s="22">
        <v>7.048</v>
      </c>
      <c r="AD306" s="22">
        <v>6.8680000000000003</v>
      </c>
      <c r="AE306" s="22">
        <v>6.8019999999999996</v>
      </c>
      <c r="AF306" s="22">
        <v>6.43</v>
      </c>
      <c r="AG306" s="22">
        <v>7.335</v>
      </c>
      <c r="AH306" s="6">
        <f t="shared" si="33"/>
        <v>6.8825000000000003</v>
      </c>
      <c r="AI306" s="28">
        <v>6.35</v>
      </c>
      <c r="AJ306" s="7">
        <v>6.84</v>
      </c>
      <c r="AK306" s="7">
        <v>6.7</v>
      </c>
      <c r="AL306" s="8">
        <v>6.99</v>
      </c>
      <c r="AM306" s="8">
        <v>7.01</v>
      </c>
      <c r="AN306" s="28">
        <v>7.05</v>
      </c>
      <c r="AO306" s="28">
        <v>7.07</v>
      </c>
      <c r="AP306" s="3"/>
      <c r="AQ306" s="8"/>
    </row>
    <row r="307" spans="1:43">
      <c r="A307" s="1">
        <f t="shared" si="36"/>
        <v>305</v>
      </c>
      <c r="B307" s="31"/>
      <c r="C307" s="1">
        <v>4</v>
      </c>
      <c r="D307" s="4">
        <f t="shared" si="35"/>
        <v>35</v>
      </c>
      <c r="E307" s="4" t="s">
        <v>118</v>
      </c>
      <c r="F307" s="4">
        <v>1</v>
      </c>
      <c r="G307" s="4" t="s">
        <v>14</v>
      </c>
      <c r="H307" s="4" t="s">
        <v>16</v>
      </c>
      <c r="I307" s="4"/>
      <c r="J307" s="5">
        <v>91.2</v>
      </c>
      <c r="K307" s="63">
        <v>3.0000000000000001E-3</v>
      </c>
      <c r="L307" s="38">
        <v>7.052999999999999</v>
      </c>
      <c r="M307" s="127" t="s">
        <v>203</v>
      </c>
      <c r="N307" s="1" t="s">
        <v>13</v>
      </c>
      <c r="O307" s="22">
        <v>7.0989999999999993</v>
      </c>
      <c r="P307" s="1" t="s">
        <v>7</v>
      </c>
      <c r="Q307" s="3" t="s">
        <v>205</v>
      </c>
      <c r="R307" s="22">
        <v>6.5430000000000001</v>
      </c>
      <c r="S307" s="22">
        <v>6.468</v>
      </c>
      <c r="T307" s="22">
        <v>7.1870000000000003</v>
      </c>
      <c r="U307" s="22">
        <v>7.165</v>
      </c>
      <c r="V307" s="22">
        <v>7.1230000000000002</v>
      </c>
      <c r="W307" s="22">
        <v>7.0209999999999999</v>
      </c>
      <c r="X307" s="22">
        <v>7.024</v>
      </c>
      <c r="Y307" s="22">
        <v>7.0570000000000004</v>
      </c>
      <c r="Z307" s="22">
        <v>6.9989999999999997</v>
      </c>
      <c r="AA307" s="22">
        <v>6.9889999999999999</v>
      </c>
      <c r="AB307" s="22">
        <v>7.0129999999999999</v>
      </c>
      <c r="AC307" s="22">
        <v>7.0590000000000002</v>
      </c>
      <c r="AD307" s="22">
        <v>6.8609999999999998</v>
      </c>
      <c r="AE307" s="22">
        <v>6.827</v>
      </c>
      <c r="AF307" s="22">
        <v>6.4109999999999996</v>
      </c>
      <c r="AG307" s="22">
        <v>7.3570000000000002</v>
      </c>
      <c r="AH307" s="6">
        <f t="shared" si="33"/>
        <v>6.8840000000000003</v>
      </c>
      <c r="AI307" s="28">
        <v>6.84</v>
      </c>
      <c r="AJ307" s="7">
        <v>7.27</v>
      </c>
      <c r="AK307" s="7">
        <v>7.03</v>
      </c>
      <c r="AL307" s="8">
        <v>7.26</v>
      </c>
      <c r="AM307" s="8">
        <v>7.24</v>
      </c>
      <c r="AN307" s="28">
        <v>7.29</v>
      </c>
      <c r="AO307" s="28">
        <v>7.28</v>
      </c>
      <c r="AP307" s="3"/>
      <c r="AQ307" s="8"/>
    </row>
    <row r="308" spans="1:43">
      <c r="A308" s="1">
        <f t="shared" si="36"/>
        <v>306</v>
      </c>
      <c r="B308" s="31"/>
      <c r="C308" s="1">
        <v>4</v>
      </c>
      <c r="D308" s="4">
        <f t="shared" si="35"/>
        <v>35</v>
      </c>
      <c r="E308" s="4" t="s">
        <v>131</v>
      </c>
      <c r="F308" s="4">
        <v>1</v>
      </c>
      <c r="G308" s="4" t="s">
        <v>14</v>
      </c>
      <c r="H308" s="4" t="s">
        <v>16</v>
      </c>
      <c r="I308" s="4"/>
      <c r="J308" s="5">
        <v>91.4</v>
      </c>
      <c r="K308" s="68"/>
      <c r="L308" s="38">
        <v>7.5790000000000015</v>
      </c>
      <c r="M308" s="127" t="s">
        <v>203</v>
      </c>
      <c r="N308" s="1" t="s">
        <v>13</v>
      </c>
      <c r="O308" s="22">
        <v>7.5300000000000011</v>
      </c>
      <c r="P308" s="1" t="s">
        <v>7</v>
      </c>
      <c r="Q308" s="3"/>
      <c r="R308" s="22">
        <v>7.1029999999999998</v>
      </c>
      <c r="S308" s="22">
        <v>7.0830000000000002</v>
      </c>
      <c r="T308" s="22">
        <v>7.7110000000000003</v>
      </c>
      <c r="U308" s="22">
        <v>7.617</v>
      </c>
      <c r="V308" s="22">
        <v>7.6310000000000002</v>
      </c>
      <c r="W308" s="22">
        <v>7.5540000000000003</v>
      </c>
      <c r="X308" s="22">
        <v>7.5579999999999998</v>
      </c>
      <c r="Y308" s="22">
        <v>7.5880000000000001</v>
      </c>
      <c r="Z308" s="22">
        <v>7.5410000000000004</v>
      </c>
      <c r="AA308" s="22">
        <v>7.5220000000000002</v>
      </c>
      <c r="AB308" s="22">
        <v>7.5510000000000002</v>
      </c>
      <c r="AC308" s="22">
        <v>7.5990000000000002</v>
      </c>
      <c r="AD308" s="22">
        <v>7.4240000000000004</v>
      </c>
      <c r="AE308" s="22">
        <v>7.3680000000000003</v>
      </c>
      <c r="AF308" s="22">
        <v>7.02</v>
      </c>
      <c r="AG308" s="22">
        <v>7.8739999999999997</v>
      </c>
      <c r="AH308" s="6">
        <f t="shared" si="33"/>
        <v>7.4469999999999992</v>
      </c>
      <c r="AI308" s="11"/>
      <c r="AJ308" s="11"/>
      <c r="AK308" s="11"/>
      <c r="AL308" s="11"/>
      <c r="AM308" s="11"/>
      <c r="AN308" s="11"/>
      <c r="AO308" s="11"/>
      <c r="AP308" s="3"/>
      <c r="AQ308" s="8"/>
    </row>
    <row r="309" spans="1:43">
      <c r="A309" s="1">
        <f t="shared" si="36"/>
        <v>307</v>
      </c>
      <c r="B309" s="31"/>
      <c r="C309" s="1">
        <v>4</v>
      </c>
      <c r="D309" s="4">
        <f t="shared" si="35"/>
        <v>35</v>
      </c>
      <c r="E309" s="4" t="s">
        <v>131</v>
      </c>
      <c r="F309" s="4">
        <v>1</v>
      </c>
      <c r="G309" s="4" t="s">
        <v>11</v>
      </c>
      <c r="H309" s="4" t="s">
        <v>12</v>
      </c>
      <c r="I309" s="4"/>
      <c r="J309" s="5">
        <v>92.8</v>
      </c>
      <c r="K309" s="68"/>
      <c r="L309" s="38">
        <v>7.827</v>
      </c>
      <c r="M309" s="127" t="s">
        <v>203</v>
      </c>
      <c r="N309" s="1" t="s">
        <v>13</v>
      </c>
      <c r="O309" s="22">
        <v>7.8319999999999999</v>
      </c>
      <c r="P309" s="1" t="s">
        <v>7</v>
      </c>
      <c r="Q309" s="3"/>
      <c r="R309" s="22">
        <v>8.0419999999999998</v>
      </c>
      <c r="S309" s="22">
        <v>7.8410000000000002</v>
      </c>
      <c r="T309" s="22">
        <v>7.9359999999999999</v>
      </c>
      <c r="U309" s="46"/>
      <c r="V309" s="22">
        <v>7.9489999999999998</v>
      </c>
      <c r="W309" s="22">
        <v>7.843</v>
      </c>
      <c r="X309" s="22">
        <v>7.843</v>
      </c>
      <c r="Y309" s="22">
        <v>7.8449999999999998</v>
      </c>
      <c r="Z309" s="22">
        <v>7.8120000000000003</v>
      </c>
      <c r="AA309" s="22">
        <v>7.8179999999999996</v>
      </c>
      <c r="AB309" s="22">
        <v>8.1120000000000001</v>
      </c>
      <c r="AC309" s="22">
        <v>8.1140000000000008</v>
      </c>
      <c r="AD309" s="22">
        <v>8.0299999999999994</v>
      </c>
      <c r="AE309" s="22">
        <v>7.9480000000000004</v>
      </c>
      <c r="AF309" s="22">
        <v>7.8220000000000001</v>
      </c>
      <c r="AG309" s="22">
        <v>7.7549999999999999</v>
      </c>
      <c r="AH309" s="6">
        <f t="shared" si="33"/>
        <v>7.7885</v>
      </c>
      <c r="AI309" s="11"/>
      <c r="AJ309" s="11"/>
      <c r="AK309" s="11"/>
      <c r="AL309" s="11"/>
      <c r="AM309" s="11"/>
      <c r="AN309" s="11"/>
      <c r="AO309" s="11"/>
      <c r="AP309" s="3"/>
      <c r="AQ309" s="8"/>
    </row>
    <row r="310" spans="1:43">
      <c r="A310" s="1">
        <f t="shared" si="36"/>
        <v>308</v>
      </c>
      <c r="B310" s="31"/>
      <c r="C310" s="1">
        <v>4</v>
      </c>
      <c r="D310" s="4">
        <f t="shared" si="35"/>
        <v>35</v>
      </c>
      <c r="E310" s="4" t="s">
        <v>128</v>
      </c>
      <c r="F310" s="4">
        <v>1</v>
      </c>
      <c r="G310" s="4" t="s">
        <v>14</v>
      </c>
      <c r="H310" s="4" t="s">
        <v>22</v>
      </c>
      <c r="I310" s="4"/>
      <c r="J310" s="5">
        <v>92.1</v>
      </c>
      <c r="K310" s="63">
        <v>1.2E-2</v>
      </c>
      <c r="L310" s="38">
        <v>7.9579999999999984</v>
      </c>
      <c r="M310" s="127" t="s">
        <v>203</v>
      </c>
      <c r="N310" s="1" t="s">
        <v>13</v>
      </c>
      <c r="O310" s="22">
        <v>7.9979999999999984</v>
      </c>
      <c r="P310" s="1" t="s">
        <v>7</v>
      </c>
      <c r="Q310" s="3"/>
      <c r="R310" s="22">
        <v>7.9160000000000004</v>
      </c>
      <c r="S310" s="22">
        <v>7.7889999999999997</v>
      </c>
      <c r="T310" s="22">
        <v>8.1120000000000001</v>
      </c>
      <c r="U310" s="22">
        <v>8.0670000000000002</v>
      </c>
      <c r="V310" s="22">
        <v>8.0079999999999991</v>
      </c>
      <c r="W310" s="22">
        <v>7.9420000000000002</v>
      </c>
      <c r="X310" s="22">
        <v>7.9470000000000001</v>
      </c>
      <c r="Y310" s="22">
        <v>7.9660000000000002</v>
      </c>
      <c r="Z310" s="22">
        <v>7.9379999999999997</v>
      </c>
      <c r="AA310" s="22">
        <v>7.93</v>
      </c>
      <c r="AB310" s="22">
        <v>7.9829999999999997</v>
      </c>
      <c r="AC310" s="22">
        <v>8.0519999999999996</v>
      </c>
      <c r="AD310" s="22">
        <v>7.9660000000000002</v>
      </c>
      <c r="AE310" s="22">
        <v>7.8319999999999999</v>
      </c>
      <c r="AF310" s="22">
        <v>7.6929999999999996</v>
      </c>
      <c r="AG310" s="22">
        <v>7.9429999999999996</v>
      </c>
      <c r="AH310" s="6">
        <f t="shared" si="33"/>
        <v>7.8179999999999996</v>
      </c>
      <c r="AI310" s="11"/>
      <c r="AJ310" s="11"/>
      <c r="AK310" s="11"/>
      <c r="AL310" s="11"/>
      <c r="AM310" s="11"/>
      <c r="AN310" s="11"/>
      <c r="AO310" s="11"/>
      <c r="AP310" s="3"/>
      <c r="AQ310" s="8"/>
    </row>
    <row r="311" spans="1:43">
      <c r="A311" s="1">
        <f t="shared" si="36"/>
        <v>309</v>
      </c>
      <c r="B311" s="31"/>
      <c r="C311" s="1">
        <v>4</v>
      </c>
      <c r="D311" s="4">
        <f t="shared" si="35"/>
        <v>35</v>
      </c>
      <c r="E311" s="4" t="s">
        <v>118</v>
      </c>
      <c r="F311" s="4">
        <v>1</v>
      </c>
      <c r="G311" s="4" t="s">
        <v>14</v>
      </c>
      <c r="H311" s="4" t="s">
        <v>16</v>
      </c>
      <c r="I311" s="4"/>
      <c r="J311" s="5">
        <v>91</v>
      </c>
      <c r="K311" s="63">
        <v>0</v>
      </c>
      <c r="L311" s="38">
        <v>8.1309999999999985</v>
      </c>
      <c r="M311" s="127" t="s">
        <v>203</v>
      </c>
      <c r="N311" s="1" t="s">
        <v>13</v>
      </c>
      <c r="O311" s="22">
        <v>8.1249999999999982</v>
      </c>
      <c r="P311" s="1" t="s">
        <v>7</v>
      </c>
      <c r="Q311" s="3"/>
      <c r="R311" s="22">
        <v>7.5759999999999996</v>
      </c>
      <c r="S311" s="22">
        <v>7.6050000000000004</v>
      </c>
      <c r="T311" s="22">
        <v>8.2669999999999995</v>
      </c>
      <c r="U311" s="22">
        <v>8.25</v>
      </c>
      <c r="V311" s="22">
        <v>8.1999999999999993</v>
      </c>
      <c r="W311" s="22">
        <v>8.1310000000000002</v>
      </c>
      <c r="X311" s="22">
        <v>8.1180000000000003</v>
      </c>
      <c r="Y311" s="22">
        <v>8.1430000000000007</v>
      </c>
      <c r="Z311" s="22">
        <v>8.0980000000000008</v>
      </c>
      <c r="AA311" s="22">
        <v>8.0839999999999996</v>
      </c>
      <c r="AB311" s="22">
        <v>8.08</v>
      </c>
      <c r="AC311" s="22">
        <v>8.1329999999999991</v>
      </c>
      <c r="AD311" s="22">
        <v>7.9560000000000004</v>
      </c>
      <c r="AE311" s="22">
        <v>7.8929999999999998</v>
      </c>
      <c r="AF311" s="22">
        <v>7.5449999999999999</v>
      </c>
      <c r="AG311" s="22">
        <v>8.5210000000000008</v>
      </c>
      <c r="AH311" s="6">
        <f t="shared" si="33"/>
        <v>8.0330000000000013</v>
      </c>
      <c r="AI311" s="11"/>
      <c r="AJ311" s="11"/>
      <c r="AK311" s="11"/>
      <c r="AL311" s="11"/>
      <c r="AM311" s="11"/>
      <c r="AN311" s="11"/>
      <c r="AO311" s="11"/>
      <c r="AP311" s="3"/>
      <c r="AQ311" s="8"/>
    </row>
    <row r="312" spans="1:43">
      <c r="A312" s="1">
        <f t="shared" si="36"/>
        <v>310</v>
      </c>
      <c r="B312" s="31"/>
      <c r="C312" s="1">
        <v>4</v>
      </c>
      <c r="D312" s="4">
        <f t="shared" si="35"/>
        <v>35</v>
      </c>
      <c r="E312" s="4" t="s">
        <v>118</v>
      </c>
      <c r="F312" s="4">
        <v>1</v>
      </c>
      <c r="G312" s="4" t="s">
        <v>11</v>
      </c>
      <c r="H312" s="4" t="s">
        <v>17</v>
      </c>
      <c r="I312" s="4"/>
      <c r="J312" s="5">
        <v>90.8</v>
      </c>
      <c r="K312" s="63">
        <v>0.32</v>
      </c>
      <c r="L312" s="38">
        <v>8.2759999999999998</v>
      </c>
      <c r="M312" s="127" t="s">
        <v>203</v>
      </c>
      <c r="N312" s="1" t="s">
        <v>13</v>
      </c>
      <c r="O312" s="22">
        <v>8.2679999999999989</v>
      </c>
      <c r="P312" s="1" t="s">
        <v>7</v>
      </c>
      <c r="Q312" s="3"/>
      <c r="R312" s="22">
        <v>8.2230000000000008</v>
      </c>
      <c r="S312" s="22">
        <v>8.2799999999999994</v>
      </c>
      <c r="T312" s="22">
        <v>8.4209999999999994</v>
      </c>
      <c r="U312" s="22">
        <v>8.0969999999999995</v>
      </c>
      <c r="V312" s="22">
        <v>8.3520000000000003</v>
      </c>
      <c r="W312" s="22">
        <v>8.2870000000000008</v>
      </c>
      <c r="X312" s="22">
        <v>8.2929999999999993</v>
      </c>
      <c r="Y312" s="22">
        <v>8.3119999999999994</v>
      </c>
      <c r="Z312" s="22">
        <v>8.2840000000000007</v>
      </c>
      <c r="AA312" s="22">
        <v>8.2620000000000005</v>
      </c>
      <c r="AB312" s="22">
        <v>8.2040000000000006</v>
      </c>
      <c r="AC312" s="22">
        <v>8.3650000000000002</v>
      </c>
      <c r="AD312" s="22">
        <v>8.34</v>
      </c>
      <c r="AE312" s="22">
        <v>8.0079999999999991</v>
      </c>
      <c r="AF312" s="22">
        <v>8.1</v>
      </c>
      <c r="AG312" s="22">
        <v>8.1679999999999993</v>
      </c>
      <c r="AH312" s="6">
        <f t="shared" si="33"/>
        <v>8.1340000000000003</v>
      </c>
      <c r="AI312" s="28">
        <v>10.42</v>
      </c>
      <c r="AJ312" s="7">
        <v>8.9600000000000009</v>
      </c>
      <c r="AK312" s="7">
        <v>8.11</v>
      </c>
      <c r="AL312" s="8">
        <v>9.2100000000000009</v>
      </c>
      <c r="AM312" s="8">
        <v>9.07</v>
      </c>
      <c r="AN312" s="28">
        <v>8.81</v>
      </c>
      <c r="AO312" s="28">
        <v>8.19</v>
      </c>
      <c r="AP312" s="3"/>
      <c r="AQ312" s="8"/>
    </row>
    <row r="313" spans="1:43">
      <c r="A313" s="1">
        <f t="shared" si="36"/>
        <v>311</v>
      </c>
      <c r="B313" s="31"/>
      <c r="C313" s="1">
        <v>4</v>
      </c>
      <c r="D313" s="4">
        <f t="shared" si="35"/>
        <v>35</v>
      </c>
      <c r="E313" s="4" t="s">
        <v>129</v>
      </c>
      <c r="F313" s="4">
        <v>3</v>
      </c>
      <c r="G313" s="4" t="s">
        <v>11</v>
      </c>
      <c r="H313" s="4" t="s">
        <v>12</v>
      </c>
      <c r="I313" s="4"/>
      <c r="J313" s="5">
        <v>96</v>
      </c>
      <c r="K313" s="68"/>
      <c r="L313" s="38">
        <v>3.9319999999999999</v>
      </c>
      <c r="M313" s="127" t="s">
        <v>99</v>
      </c>
      <c r="N313" s="1" t="s">
        <v>13</v>
      </c>
      <c r="O313" s="22">
        <v>3.95</v>
      </c>
      <c r="P313" s="1" t="s">
        <v>7</v>
      </c>
      <c r="Q313" s="3"/>
      <c r="R313" s="22">
        <v>4.1509999999999998</v>
      </c>
      <c r="S313" s="22">
        <v>3.7320000000000002</v>
      </c>
      <c r="T313" s="22">
        <v>4.1609999999999996</v>
      </c>
      <c r="U313" s="22">
        <v>4.1420000000000003</v>
      </c>
      <c r="V313" s="22">
        <v>4.1849999999999996</v>
      </c>
      <c r="W313" s="46"/>
      <c r="X313" s="46"/>
      <c r="Y313" s="46"/>
      <c r="Z313" s="22">
        <v>3.9119999999999999</v>
      </c>
      <c r="AA313" s="46"/>
      <c r="AB313" s="22">
        <v>4.2140000000000004</v>
      </c>
      <c r="AC313" s="22">
        <v>4.3120000000000003</v>
      </c>
      <c r="AD313" s="22">
        <v>4.1210000000000004</v>
      </c>
      <c r="AE313" s="22">
        <v>3.9910000000000001</v>
      </c>
      <c r="AF313" s="22">
        <v>3.6259999999999999</v>
      </c>
      <c r="AG313" s="22">
        <v>4.2759999999999998</v>
      </c>
      <c r="AH313" s="6">
        <f t="shared" si="33"/>
        <v>3.9509999999999996</v>
      </c>
      <c r="AI313" s="7">
        <v>4.72</v>
      </c>
      <c r="AJ313" s="7">
        <v>3.65</v>
      </c>
      <c r="AK313" s="7">
        <v>3.28</v>
      </c>
      <c r="AL313" s="7">
        <v>4</v>
      </c>
      <c r="AM313" s="7">
        <v>3.98</v>
      </c>
      <c r="AN313" s="7">
        <v>3.55</v>
      </c>
      <c r="AO313" s="7">
        <v>3.51</v>
      </c>
      <c r="AP313" s="3"/>
      <c r="AQ313" s="8"/>
    </row>
    <row r="314" spans="1:43">
      <c r="A314" s="1">
        <f t="shared" si="36"/>
        <v>312</v>
      </c>
      <c r="B314" s="31"/>
      <c r="C314" s="1">
        <v>4</v>
      </c>
      <c r="D314" s="4">
        <f t="shared" si="35"/>
        <v>35</v>
      </c>
      <c r="E314" s="4" t="s">
        <v>142</v>
      </c>
      <c r="F314" s="4">
        <v>3</v>
      </c>
      <c r="G314" s="4" t="s">
        <v>11</v>
      </c>
      <c r="H314" s="4" t="s">
        <v>17</v>
      </c>
      <c r="I314" s="4"/>
      <c r="J314" s="5">
        <v>97.9</v>
      </c>
      <c r="K314" s="68"/>
      <c r="L314" s="38">
        <v>4.8840000000000003</v>
      </c>
      <c r="M314" s="127" t="s">
        <v>99</v>
      </c>
      <c r="N314" s="1" t="s">
        <v>13</v>
      </c>
      <c r="O314" s="22">
        <v>4.9010000000000007</v>
      </c>
      <c r="P314" s="1" t="s">
        <v>7</v>
      </c>
      <c r="Q314" s="3"/>
      <c r="R314" s="22">
        <v>5.2590000000000003</v>
      </c>
      <c r="S314" s="22">
        <v>4.9950000000000001</v>
      </c>
      <c r="T314" s="22">
        <v>5.0209999999999999</v>
      </c>
      <c r="U314" s="22">
        <v>4.8730000000000002</v>
      </c>
      <c r="V314" s="22">
        <v>4.9139999999999997</v>
      </c>
      <c r="W314" s="46"/>
      <c r="X314" s="46"/>
      <c r="Y314" s="46"/>
      <c r="Z314" s="22">
        <v>4.8929999999999998</v>
      </c>
      <c r="AA314" s="46"/>
      <c r="AB314" s="22">
        <v>5.0179999999999998</v>
      </c>
      <c r="AC314" s="22">
        <v>5.0730000000000004</v>
      </c>
      <c r="AD314" s="22">
        <v>5.0519999999999996</v>
      </c>
      <c r="AE314" s="22">
        <v>4.8769999999999998</v>
      </c>
      <c r="AF314" s="22">
        <v>4.9009999999999998</v>
      </c>
      <c r="AG314" s="22">
        <v>4.8019999999999996</v>
      </c>
      <c r="AH314" s="6">
        <f>IF((AF314&lt;&gt;0)*AND(AG314&lt;&gt;0),AVERAGE(AF314:AG314),"")</f>
        <v>4.8514999999999997</v>
      </c>
      <c r="AI314" s="7">
        <v>4.3899999999999997</v>
      </c>
      <c r="AJ314" s="7">
        <v>4.76</v>
      </c>
      <c r="AK314" s="7">
        <v>4.5999999999999996</v>
      </c>
      <c r="AL314" s="7">
        <v>4.76</v>
      </c>
      <c r="AM314" s="7">
        <v>4.74</v>
      </c>
      <c r="AN314" s="7">
        <v>5.07</v>
      </c>
      <c r="AO314" s="7">
        <v>5.0999999999999996</v>
      </c>
      <c r="AP314" s="3"/>
      <c r="AQ314" s="8"/>
    </row>
    <row r="315" spans="1:43">
      <c r="A315" s="1">
        <f t="shared" si="36"/>
        <v>313</v>
      </c>
      <c r="B315" s="31"/>
      <c r="C315" s="1">
        <v>4</v>
      </c>
      <c r="D315" s="4">
        <f t="shared" si="35"/>
        <v>35</v>
      </c>
      <c r="E315" s="4" t="s">
        <v>130</v>
      </c>
      <c r="F315" s="4">
        <v>3</v>
      </c>
      <c r="G315" s="4" t="s">
        <v>11</v>
      </c>
      <c r="H315" s="4" t="s">
        <v>12</v>
      </c>
      <c r="I315" s="4"/>
      <c r="J315" s="5">
        <v>97.5</v>
      </c>
      <c r="K315" s="68"/>
      <c r="L315" s="38">
        <v>5.3470000000000004</v>
      </c>
      <c r="M315" s="127" t="s">
        <v>99</v>
      </c>
      <c r="N315" s="1" t="s">
        <v>13</v>
      </c>
      <c r="O315" s="22">
        <v>5.3580000000000005</v>
      </c>
      <c r="P315" s="1" t="s">
        <v>7</v>
      </c>
      <c r="Q315" s="3"/>
      <c r="R315" s="22">
        <v>5.4550000000000001</v>
      </c>
      <c r="S315" s="22">
        <v>5.4459999999999997</v>
      </c>
      <c r="T315" s="22">
        <v>5.4939999999999998</v>
      </c>
      <c r="U315" s="22">
        <v>5.28</v>
      </c>
      <c r="V315" s="22">
        <v>5.4020000000000001</v>
      </c>
      <c r="W315" s="46"/>
      <c r="X315" s="46"/>
      <c r="Y315" s="46"/>
      <c r="Z315" s="22">
        <v>5.375</v>
      </c>
      <c r="AA315" s="46"/>
      <c r="AB315" s="22">
        <v>5.5179999999999998</v>
      </c>
      <c r="AC315" s="22">
        <v>5.6539999999999999</v>
      </c>
      <c r="AD315" s="22">
        <v>5.585</v>
      </c>
      <c r="AE315" s="22">
        <v>5.32</v>
      </c>
      <c r="AF315" s="22">
        <v>5.28</v>
      </c>
      <c r="AG315" s="22">
        <v>5.3630000000000004</v>
      </c>
      <c r="AH315" s="6">
        <f>IF((AF315&lt;&gt;0)*AND(AG315&lt;&gt;0),AVERAGE(AF315:AG315),"")</f>
        <v>5.3215000000000003</v>
      </c>
      <c r="AI315" s="7">
        <v>5.4</v>
      </c>
      <c r="AJ315" s="7">
        <v>5.36</v>
      </c>
      <c r="AK315" s="7">
        <v>5.0599999999999996</v>
      </c>
      <c r="AL315" s="7">
        <v>5.44</v>
      </c>
      <c r="AM315" s="7">
        <v>5.42</v>
      </c>
      <c r="AN315" s="7">
        <v>5.6</v>
      </c>
      <c r="AO315" s="7">
        <v>5.6</v>
      </c>
      <c r="AP315" s="3"/>
      <c r="AQ315" s="8"/>
    </row>
    <row r="316" spans="1:43">
      <c r="A316" s="1">
        <f t="shared" si="36"/>
        <v>314</v>
      </c>
      <c r="B316" s="31"/>
      <c r="C316" s="1">
        <v>4</v>
      </c>
      <c r="D316" s="4">
        <f t="shared" si="35"/>
        <v>35</v>
      </c>
      <c r="E316" s="4" t="s">
        <v>142</v>
      </c>
      <c r="F316" s="4">
        <v>3</v>
      </c>
      <c r="G316" s="4" t="s">
        <v>14</v>
      </c>
      <c r="H316" s="4" t="s">
        <v>15</v>
      </c>
      <c r="I316" s="4"/>
      <c r="J316" s="5">
        <v>96.7</v>
      </c>
      <c r="K316" s="68"/>
      <c r="L316" s="38">
        <v>6.2649999999999997</v>
      </c>
      <c r="M316" s="127" t="s">
        <v>99</v>
      </c>
      <c r="N316" s="1" t="s">
        <v>13</v>
      </c>
      <c r="O316" s="22">
        <v>6.3149999999999995</v>
      </c>
      <c r="P316" s="1" t="s">
        <v>7</v>
      </c>
      <c r="Q316" s="3"/>
      <c r="R316" s="22">
        <v>5.9119999999999999</v>
      </c>
      <c r="S316" s="22">
        <v>5.8010000000000002</v>
      </c>
      <c r="T316" s="22">
        <v>6.4429999999999996</v>
      </c>
      <c r="U316" s="22">
        <v>6.4459999999999997</v>
      </c>
      <c r="V316" s="22">
        <v>6.3739999999999997</v>
      </c>
      <c r="W316" s="46"/>
      <c r="X316" s="46"/>
      <c r="Y316" s="46"/>
      <c r="Z316" s="22">
        <v>6.282</v>
      </c>
      <c r="AA316" s="46"/>
      <c r="AB316" s="22">
        <v>6.327</v>
      </c>
      <c r="AC316" s="22">
        <v>6.3739999999999997</v>
      </c>
      <c r="AD316" s="22">
        <v>6.1840000000000002</v>
      </c>
      <c r="AE316" s="22">
        <v>6.1459999999999999</v>
      </c>
      <c r="AF316" s="22">
        <v>5.7450000000000001</v>
      </c>
      <c r="AG316" s="22">
        <v>6.6139999999999999</v>
      </c>
      <c r="AH316" s="6">
        <f t="shared" ref="AH316:AH334" si="40">IF((AF316&lt;&gt;0)*AND(AG316&lt;&gt;0),AVERAGE(AF316:AG316),"")</f>
        <v>6.1795</v>
      </c>
      <c r="AI316" s="11"/>
      <c r="AJ316" s="11"/>
      <c r="AK316" s="11"/>
      <c r="AL316" s="11"/>
      <c r="AM316" s="11"/>
      <c r="AN316" s="11"/>
      <c r="AO316" s="11"/>
      <c r="AP316" s="3"/>
      <c r="AQ316" s="8"/>
    </row>
    <row r="317" spans="1:43">
      <c r="A317" s="1">
        <f t="shared" si="36"/>
        <v>315</v>
      </c>
      <c r="B317" s="31"/>
      <c r="C317" s="1">
        <v>4</v>
      </c>
      <c r="D317" s="4">
        <f t="shared" si="35"/>
        <v>35</v>
      </c>
      <c r="E317" s="4" t="s">
        <v>143</v>
      </c>
      <c r="F317" s="4">
        <v>3</v>
      </c>
      <c r="G317" s="4" t="s">
        <v>11</v>
      </c>
      <c r="H317" s="4" t="s">
        <v>17</v>
      </c>
      <c r="I317" s="4"/>
      <c r="J317" s="5">
        <v>98.1</v>
      </c>
      <c r="K317" s="68"/>
      <c r="L317" s="38">
        <v>6.7949999999999999</v>
      </c>
      <c r="M317" s="127" t="s">
        <v>99</v>
      </c>
      <c r="N317" s="1" t="s">
        <v>13</v>
      </c>
      <c r="O317" s="22">
        <v>6.8090000000000002</v>
      </c>
      <c r="P317" s="1" t="s">
        <v>7</v>
      </c>
      <c r="Q317" s="3"/>
      <c r="R317" s="22">
        <v>6.9690000000000003</v>
      </c>
      <c r="S317" s="22">
        <v>7.0170000000000003</v>
      </c>
      <c r="T317" s="22">
        <v>6.9260000000000002</v>
      </c>
      <c r="U317" s="22">
        <v>6.6509999999999998</v>
      </c>
      <c r="V317" s="22">
        <v>6.7649999999999997</v>
      </c>
      <c r="W317" s="46"/>
      <c r="X317" s="46"/>
      <c r="Y317" s="46"/>
      <c r="Z317" s="22">
        <v>6.8259999999999996</v>
      </c>
      <c r="AA317" s="46"/>
      <c r="AB317" s="22">
        <v>6.9039999999999999</v>
      </c>
      <c r="AC317" s="22">
        <v>7.0780000000000003</v>
      </c>
      <c r="AD317" s="22">
        <v>7.0460000000000003</v>
      </c>
      <c r="AE317" s="22">
        <v>6.7450000000000001</v>
      </c>
      <c r="AF317" s="22">
        <v>6.8440000000000003</v>
      </c>
      <c r="AG317" s="22">
        <v>6.6289999999999996</v>
      </c>
      <c r="AH317" s="6">
        <f t="shared" si="40"/>
        <v>6.7364999999999995</v>
      </c>
      <c r="AI317" s="7">
        <v>6.59</v>
      </c>
      <c r="AJ317" s="7">
        <v>6.93</v>
      </c>
      <c r="AK317" s="7">
        <v>6.61</v>
      </c>
      <c r="AL317" s="7">
        <v>6.86</v>
      </c>
      <c r="AM317" s="7">
        <v>6.82</v>
      </c>
      <c r="AN317" s="7">
        <v>7.17</v>
      </c>
      <c r="AO317" s="7">
        <v>7.16</v>
      </c>
      <c r="AP317" s="3"/>
      <c r="AQ317" s="8"/>
    </row>
    <row r="318" spans="1:43">
      <c r="A318" s="1">
        <f t="shared" si="36"/>
        <v>316</v>
      </c>
      <c r="B318" s="31"/>
      <c r="C318" s="1">
        <v>4</v>
      </c>
      <c r="D318" s="4">
        <f t="shared" si="35"/>
        <v>35</v>
      </c>
      <c r="E318" s="4" t="s">
        <v>142</v>
      </c>
      <c r="F318" s="4">
        <v>3</v>
      </c>
      <c r="G318" s="4" t="s">
        <v>14</v>
      </c>
      <c r="H318" s="4" t="s">
        <v>16</v>
      </c>
      <c r="I318" s="4"/>
      <c r="J318" s="5">
        <v>96.7</v>
      </c>
      <c r="K318" s="68"/>
      <c r="L318" s="38">
        <v>6.8070000000000004</v>
      </c>
      <c r="M318" s="127" t="s">
        <v>99</v>
      </c>
      <c r="N318" s="1" t="s">
        <v>13</v>
      </c>
      <c r="O318" s="22">
        <v>6.8419999999999987</v>
      </c>
      <c r="P318" s="1" t="s">
        <v>7</v>
      </c>
      <c r="Q318" s="3"/>
      <c r="R318" s="22">
        <v>6.4489999999999998</v>
      </c>
      <c r="S318" s="22">
        <v>6.3849999999999998</v>
      </c>
      <c r="T318" s="22">
        <v>6.9960000000000004</v>
      </c>
      <c r="U318" s="22">
        <v>6.9980000000000002</v>
      </c>
      <c r="V318" s="22">
        <v>6.9379999999999997</v>
      </c>
      <c r="W318" s="46"/>
      <c r="X318" s="46"/>
      <c r="Y318" s="46"/>
      <c r="Z318" s="22">
        <v>6.8230000000000004</v>
      </c>
      <c r="AA318" s="46"/>
      <c r="AB318" s="22">
        <v>6.907</v>
      </c>
      <c r="AC318" s="22">
        <v>6.9530000000000003</v>
      </c>
      <c r="AD318" s="22">
        <v>6.7590000000000003</v>
      </c>
      <c r="AE318" s="22">
        <v>6.7240000000000002</v>
      </c>
      <c r="AF318" s="22">
        <v>6.327</v>
      </c>
      <c r="AG318" s="22">
        <v>7.16</v>
      </c>
      <c r="AH318" s="6">
        <f t="shared" si="40"/>
        <v>6.7435</v>
      </c>
      <c r="AI318" s="11"/>
      <c r="AJ318" s="11"/>
      <c r="AK318" s="11"/>
      <c r="AL318" s="11"/>
      <c r="AM318" s="11"/>
      <c r="AN318" s="11"/>
      <c r="AO318" s="11"/>
      <c r="AP318" s="3"/>
      <c r="AQ318" s="8"/>
    </row>
    <row r="319" spans="1:43">
      <c r="A319" s="1">
        <f t="shared" si="36"/>
        <v>317</v>
      </c>
      <c r="B319" s="31"/>
      <c r="C319" s="1">
        <v>4</v>
      </c>
      <c r="D319" s="4">
        <f t="shared" si="35"/>
        <v>35</v>
      </c>
      <c r="E319" s="4" t="s">
        <v>143</v>
      </c>
      <c r="F319" s="4">
        <v>3</v>
      </c>
      <c r="G319" s="4" t="s">
        <v>14</v>
      </c>
      <c r="H319" s="4" t="s">
        <v>16</v>
      </c>
      <c r="I319" s="4"/>
      <c r="J319" s="5">
        <v>96.6</v>
      </c>
      <c r="K319" s="68"/>
      <c r="L319" s="38">
        <v>6.9260000000000002</v>
      </c>
      <c r="M319" s="127" t="s">
        <v>99</v>
      </c>
      <c r="N319" s="1" t="s">
        <v>13</v>
      </c>
      <c r="O319" s="22">
        <v>6.9720000000000013</v>
      </c>
      <c r="P319" s="1" t="s">
        <v>7</v>
      </c>
      <c r="Q319" s="3"/>
      <c r="R319" s="22">
        <v>6.4880000000000004</v>
      </c>
      <c r="S319" s="22">
        <v>6.4219999999999997</v>
      </c>
      <c r="T319" s="22">
        <v>7.1120000000000001</v>
      </c>
      <c r="U319" s="22">
        <v>7.1059999999999999</v>
      </c>
      <c r="V319" s="22">
        <v>7.0529999999999999</v>
      </c>
      <c r="W319" s="46"/>
      <c r="X319" s="46"/>
      <c r="Y319" s="46"/>
      <c r="Z319" s="22">
        <v>6.9390000000000001</v>
      </c>
      <c r="AA319" s="46"/>
      <c r="AB319" s="22">
        <v>6.9980000000000002</v>
      </c>
      <c r="AC319" s="22">
        <v>6.9969999999999999</v>
      </c>
      <c r="AD319" s="22">
        <v>6.8179999999999996</v>
      </c>
      <c r="AE319" s="22">
        <v>6.82</v>
      </c>
      <c r="AF319" s="22">
        <v>6.3689999999999998</v>
      </c>
      <c r="AG319" s="22">
        <v>7.2729999999999997</v>
      </c>
      <c r="AH319" s="6">
        <f t="shared" si="40"/>
        <v>6.8209999999999997</v>
      </c>
      <c r="AI319" s="11"/>
      <c r="AJ319" s="11"/>
      <c r="AK319" s="11"/>
      <c r="AL319" s="11"/>
      <c r="AM319" s="11"/>
      <c r="AN319" s="11"/>
      <c r="AO319" s="11"/>
      <c r="AP319" s="3"/>
      <c r="AQ319" s="8"/>
    </row>
    <row r="320" spans="1:43">
      <c r="A320" s="1">
        <f t="shared" si="36"/>
        <v>318</v>
      </c>
      <c r="B320" s="2" t="s">
        <v>33</v>
      </c>
      <c r="C320" s="1">
        <v>4</v>
      </c>
      <c r="D320" s="4">
        <f t="shared" si="35"/>
        <v>35</v>
      </c>
      <c r="E320" s="4" t="s">
        <v>86</v>
      </c>
      <c r="F320" s="4">
        <v>1</v>
      </c>
      <c r="G320" s="4" t="s">
        <v>11</v>
      </c>
      <c r="H320" s="4" t="s">
        <v>17</v>
      </c>
      <c r="I320" s="4"/>
      <c r="J320" s="5">
        <v>94.4</v>
      </c>
      <c r="K320" s="68"/>
      <c r="L320" s="38">
        <v>5.3280000000000003</v>
      </c>
      <c r="M320" s="127" t="s">
        <v>216</v>
      </c>
      <c r="N320" s="1" t="s">
        <v>13</v>
      </c>
      <c r="O320" s="22">
        <v>5.3230000000000004</v>
      </c>
      <c r="P320" s="1" t="s">
        <v>7</v>
      </c>
      <c r="Q320" s="3" t="s">
        <v>205</v>
      </c>
      <c r="R320" s="22">
        <v>5.6180000000000003</v>
      </c>
      <c r="S320" s="22">
        <v>5.5140000000000002</v>
      </c>
      <c r="T320" s="22">
        <v>5.4989999999999997</v>
      </c>
      <c r="U320" s="22">
        <v>5.4050000000000002</v>
      </c>
      <c r="V320" s="22">
        <v>5.4119999999999999</v>
      </c>
      <c r="W320" s="22">
        <v>5.367</v>
      </c>
      <c r="X320" s="22">
        <v>5.3680000000000003</v>
      </c>
      <c r="Y320" s="22">
        <v>5.35</v>
      </c>
      <c r="Z320" s="22">
        <v>5.34</v>
      </c>
      <c r="AA320" s="22">
        <v>5.3470000000000004</v>
      </c>
      <c r="AB320" s="22">
        <v>5.6630000000000003</v>
      </c>
      <c r="AC320" s="22">
        <v>5.7</v>
      </c>
      <c r="AD320" s="22">
        <v>5.6379999999999999</v>
      </c>
      <c r="AE320" s="22">
        <v>5.5270000000000001</v>
      </c>
      <c r="AF320" s="22">
        <v>5.4870000000000001</v>
      </c>
      <c r="AG320" s="22">
        <v>4.95</v>
      </c>
      <c r="AH320" s="7">
        <f t="shared" si="40"/>
        <v>5.2185000000000006</v>
      </c>
      <c r="AI320" s="28">
        <v>6.13</v>
      </c>
      <c r="AJ320" s="28">
        <v>5.42</v>
      </c>
      <c r="AK320" s="28">
        <v>5.01</v>
      </c>
      <c r="AL320" s="28">
        <v>5.45</v>
      </c>
      <c r="AM320" s="28">
        <v>5.36</v>
      </c>
      <c r="AN320" s="7">
        <v>5.39</v>
      </c>
      <c r="AO320" s="7">
        <v>5.33</v>
      </c>
      <c r="AP320" s="3"/>
      <c r="AQ320" s="8"/>
    </row>
    <row r="321" spans="1:43">
      <c r="A321" s="1">
        <f t="shared" si="36"/>
        <v>319</v>
      </c>
      <c r="B321" s="19"/>
      <c r="C321" s="1">
        <v>4</v>
      </c>
      <c r="D321" s="4">
        <f t="shared" si="35"/>
        <v>35</v>
      </c>
      <c r="E321" s="4" t="s">
        <v>226</v>
      </c>
      <c r="F321" s="4">
        <v>1</v>
      </c>
      <c r="G321" s="4" t="s">
        <v>11</v>
      </c>
      <c r="H321" s="4" t="s">
        <v>17</v>
      </c>
      <c r="I321" s="4"/>
      <c r="J321" s="5">
        <v>94.1</v>
      </c>
      <c r="K321" s="68"/>
      <c r="L321" s="38">
        <v>5.6059999999999999</v>
      </c>
      <c r="M321" s="127" t="s">
        <v>216</v>
      </c>
      <c r="N321" s="1" t="s">
        <v>13</v>
      </c>
      <c r="O321" s="22">
        <v>5.5960000000000001</v>
      </c>
      <c r="P321" s="1" t="s">
        <v>7</v>
      </c>
      <c r="Q321" s="3" t="s">
        <v>205</v>
      </c>
      <c r="R321" s="22">
        <v>5.8630000000000004</v>
      </c>
      <c r="S321" s="22">
        <v>5.7549999999999999</v>
      </c>
      <c r="T321" s="22">
        <v>5.7510000000000003</v>
      </c>
      <c r="U321" s="22">
        <v>5.6829999999999998</v>
      </c>
      <c r="V321" s="22">
        <v>5.67</v>
      </c>
      <c r="W321" s="22">
        <v>5.633</v>
      </c>
      <c r="X321" s="22">
        <v>5.6349999999999998</v>
      </c>
      <c r="Y321" s="22">
        <v>5.617</v>
      </c>
      <c r="Z321" s="22">
        <v>5.6070000000000002</v>
      </c>
      <c r="AA321" s="22">
        <v>5.62</v>
      </c>
      <c r="AB321" s="22">
        <v>5.827</v>
      </c>
      <c r="AC321" s="22">
        <v>5.8689999999999998</v>
      </c>
      <c r="AD321" s="22">
        <v>5.8319999999999999</v>
      </c>
      <c r="AE321" s="22">
        <v>5.6870000000000003</v>
      </c>
      <c r="AF321" s="22">
        <v>5.7210000000000001</v>
      </c>
      <c r="AG321" s="22">
        <v>5.2210000000000001</v>
      </c>
      <c r="AH321" s="7">
        <f t="shared" si="40"/>
        <v>5.4710000000000001</v>
      </c>
      <c r="AI321" s="28">
        <v>6.39</v>
      </c>
      <c r="AJ321" s="28">
        <v>5.68</v>
      </c>
      <c r="AK321" s="28">
        <v>5.3</v>
      </c>
      <c r="AL321" s="28">
        <v>5.72</v>
      </c>
      <c r="AM321" s="28">
        <v>5.63</v>
      </c>
      <c r="AN321" s="7">
        <v>5.67</v>
      </c>
      <c r="AO321" s="7">
        <v>5.61</v>
      </c>
      <c r="AP321" s="3"/>
      <c r="AQ321" s="8"/>
    </row>
    <row r="322" spans="1:43">
      <c r="A322" s="1">
        <f t="shared" si="36"/>
        <v>320</v>
      </c>
      <c r="B322" s="19"/>
      <c r="C322" s="1">
        <v>4</v>
      </c>
      <c r="D322" s="4">
        <f t="shared" si="35"/>
        <v>35</v>
      </c>
      <c r="E322" s="4" t="s">
        <v>85</v>
      </c>
      <c r="F322" s="4">
        <v>3</v>
      </c>
      <c r="G322" s="4" t="s">
        <v>11</v>
      </c>
      <c r="H322" s="4" t="s">
        <v>17</v>
      </c>
      <c r="I322" s="4"/>
      <c r="J322" s="5">
        <v>98.5</v>
      </c>
      <c r="K322" s="68"/>
      <c r="L322" s="38">
        <v>4.0970000000000004</v>
      </c>
      <c r="M322" s="127" t="s">
        <v>114</v>
      </c>
      <c r="N322" s="1" t="s">
        <v>13</v>
      </c>
      <c r="O322" s="22">
        <v>4.1159999999999997</v>
      </c>
      <c r="P322" s="1" t="s">
        <v>7</v>
      </c>
      <c r="Q322" s="3" t="s">
        <v>205</v>
      </c>
      <c r="R322" s="22">
        <v>4.4770000000000003</v>
      </c>
      <c r="S322" s="22">
        <v>4.3879999999999999</v>
      </c>
      <c r="T322" s="22">
        <v>4.3410000000000002</v>
      </c>
      <c r="U322" s="22">
        <v>3.972</v>
      </c>
      <c r="V322" s="22">
        <v>4.0119999999999996</v>
      </c>
      <c r="W322" s="11"/>
      <c r="X322" s="11"/>
      <c r="Y322" s="11"/>
      <c r="Z322" s="22">
        <v>4.0789999999999997</v>
      </c>
      <c r="AA322" s="11"/>
      <c r="AB322" s="22">
        <v>4.2009999999999996</v>
      </c>
      <c r="AC322" s="22">
        <v>4.2119999999999997</v>
      </c>
      <c r="AD322" s="22">
        <v>4.2729999999999997</v>
      </c>
      <c r="AE322" s="22">
        <v>4.1070000000000002</v>
      </c>
      <c r="AF322" s="22">
        <v>4.3710000000000004</v>
      </c>
      <c r="AG322" s="22">
        <v>3.7869999999999999</v>
      </c>
      <c r="AH322" s="7">
        <f t="shared" si="40"/>
        <v>4.0790000000000006</v>
      </c>
      <c r="AI322" s="28">
        <v>4.54</v>
      </c>
      <c r="AJ322" s="28">
        <v>4.1100000000000003</v>
      </c>
      <c r="AK322" s="28">
        <v>3.67</v>
      </c>
      <c r="AL322" s="28">
        <v>4.17</v>
      </c>
      <c r="AM322" s="28">
        <v>4.09</v>
      </c>
      <c r="AN322" s="7">
        <v>4.13</v>
      </c>
      <c r="AO322" s="7">
        <v>4.08</v>
      </c>
      <c r="AP322" s="3"/>
      <c r="AQ322" s="8"/>
    </row>
    <row r="323" spans="1:43">
      <c r="A323" s="1">
        <f t="shared" si="36"/>
        <v>321</v>
      </c>
      <c r="B323" s="19"/>
      <c r="C323" s="1">
        <v>4</v>
      </c>
      <c r="D323" s="4">
        <f t="shared" si="35"/>
        <v>35</v>
      </c>
      <c r="E323" s="4" t="s">
        <v>227</v>
      </c>
      <c r="F323" s="4">
        <v>3</v>
      </c>
      <c r="G323" s="4" t="s">
        <v>11</v>
      </c>
      <c r="H323" s="4" t="s">
        <v>17</v>
      </c>
      <c r="I323" s="4"/>
      <c r="J323" s="5">
        <v>98.2</v>
      </c>
      <c r="K323" s="68"/>
      <c r="L323" s="38">
        <v>4.782</v>
      </c>
      <c r="M323" s="127" t="s">
        <v>109</v>
      </c>
      <c r="N323" s="1" t="s">
        <v>13</v>
      </c>
      <c r="O323" s="22">
        <v>4.7839999999999998</v>
      </c>
      <c r="P323" s="1" t="s">
        <v>7</v>
      </c>
      <c r="Q323" s="3" t="s">
        <v>205</v>
      </c>
      <c r="R323" s="22">
        <v>5.1349999999999998</v>
      </c>
      <c r="S323" s="22">
        <v>5.032</v>
      </c>
      <c r="T323" s="22">
        <v>4.9870000000000001</v>
      </c>
      <c r="U323" s="22">
        <v>4.7919999999999998</v>
      </c>
      <c r="V323" s="22">
        <v>4.82</v>
      </c>
      <c r="W323" s="11"/>
      <c r="X323" s="11"/>
      <c r="Y323" s="11"/>
      <c r="Z323" s="22">
        <v>4.8</v>
      </c>
      <c r="AA323" s="22">
        <v>4.7919999999999998</v>
      </c>
      <c r="AB323" s="22">
        <v>5.2190000000000003</v>
      </c>
      <c r="AC323" s="22">
        <v>5.2519999999999998</v>
      </c>
      <c r="AD323" s="22">
        <v>5.1790000000000003</v>
      </c>
      <c r="AE323" s="22">
        <v>5.0990000000000002</v>
      </c>
      <c r="AF323" s="22">
        <v>5.01</v>
      </c>
      <c r="AG323" s="22">
        <v>4.43</v>
      </c>
      <c r="AH323" s="7">
        <f t="shared" si="40"/>
        <v>4.72</v>
      </c>
      <c r="AI323" s="28">
        <v>5.28</v>
      </c>
      <c r="AJ323" s="28">
        <v>4.82</v>
      </c>
      <c r="AK323" s="28">
        <v>4.45</v>
      </c>
      <c r="AL323" s="28">
        <v>4.8600000000000003</v>
      </c>
      <c r="AM323" s="28">
        <v>4.78</v>
      </c>
      <c r="AN323" s="7">
        <v>4.82</v>
      </c>
      <c r="AO323" s="7">
        <v>4.78</v>
      </c>
      <c r="AP323" s="3"/>
      <c r="AQ323" s="8"/>
    </row>
    <row r="324" spans="1:43" ht="15">
      <c r="A324" s="1">
        <f t="shared" si="36"/>
        <v>322</v>
      </c>
      <c r="B324" s="2" t="s">
        <v>335</v>
      </c>
      <c r="C324" s="1">
        <v>4</v>
      </c>
      <c r="D324" s="4">
        <f t="shared" ref="D324:D387" si="41">_xlfn.SWITCH(C324,1,12,2,12,3,35,4,35,5,35,6,69,7,69,8,69,9,69,1016)</f>
        <v>35</v>
      </c>
      <c r="E324" s="4" t="s">
        <v>150</v>
      </c>
      <c r="F324" s="4">
        <v>1</v>
      </c>
      <c r="G324" s="4" t="s">
        <v>11</v>
      </c>
      <c r="H324" s="4" t="s">
        <v>12</v>
      </c>
      <c r="I324" s="4"/>
      <c r="J324" s="5">
        <v>87.2</v>
      </c>
      <c r="K324" s="63">
        <v>3.0000000000000001E-3</v>
      </c>
      <c r="L324" s="38">
        <v>2.827999999999999</v>
      </c>
      <c r="M324" s="127" t="s">
        <v>334</v>
      </c>
      <c r="N324" s="1" t="s">
        <v>13</v>
      </c>
      <c r="O324" s="22">
        <v>2.8329999999999989</v>
      </c>
      <c r="P324" s="1" t="s">
        <v>7</v>
      </c>
      <c r="Q324" s="3"/>
      <c r="R324" s="90">
        <v>2.7869999999999999</v>
      </c>
      <c r="S324" s="91">
        <v>2.7679999999999998</v>
      </c>
      <c r="T324" s="90">
        <v>2.919</v>
      </c>
      <c r="U324" s="90">
        <v>2.7450000000000001</v>
      </c>
      <c r="V324" s="90">
        <v>2.9940000000000002</v>
      </c>
      <c r="W324" s="90">
        <v>2.8570000000000002</v>
      </c>
      <c r="X324" s="90">
        <v>2.8530000000000002</v>
      </c>
      <c r="Y324" s="90">
        <v>2.8769999999999998</v>
      </c>
      <c r="Z324" s="90">
        <v>2.831</v>
      </c>
      <c r="AA324" s="90">
        <v>2.827</v>
      </c>
      <c r="AB324" s="90">
        <v>3.0150000000000001</v>
      </c>
      <c r="AC324" s="90">
        <v>3.153</v>
      </c>
      <c r="AD324" s="90">
        <v>3.0259999999999998</v>
      </c>
      <c r="AE324" s="90">
        <v>2.7970000000000002</v>
      </c>
      <c r="AF324" s="90">
        <v>2.6360000000000001</v>
      </c>
      <c r="AG324" s="90">
        <v>2.7690000000000001</v>
      </c>
      <c r="AH324" s="92">
        <f t="shared" si="40"/>
        <v>2.7025000000000001</v>
      </c>
      <c r="AI324" s="11"/>
      <c r="AJ324" s="11"/>
      <c r="AK324" s="11"/>
      <c r="AL324" s="11"/>
      <c r="AM324" s="11"/>
      <c r="AN324" s="11"/>
      <c r="AO324" s="11"/>
      <c r="AP324" s="3"/>
      <c r="AQ324" s="8"/>
    </row>
    <row r="325" spans="1:43" ht="15">
      <c r="A325" s="1">
        <f t="shared" si="36"/>
        <v>323</v>
      </c>
      <c r="B325" s="19"/>
      <c r="C325" s="1">
        <v>4</v>
      </c>
      <c r="D325" s="4">
        <f t="shared" si="41"/>
        <v>35</v>
      </c>
      <c r="E325" s="4" t="s">
        <v>120</v>
      </c>
      <c r="F325" s="4">
        <v>1</v>
      </c>
      <c r="G325" s="4" t="s">
        <v>11</v>
      </c>
      <c r="H325" s="4" t="s">
        <v>17</v>
      </c>
      <c r="I325" s="4"/>
      <c r="J325" s="5">
        <v>86.7</v>
      </c>
      <c r="K325" s="68"/>
      <c r="L325" s="38">
        <v>3.4679999999999995</v>
      </c>
      <c r="M325" s="127" t="s">
        <v>334</v>
      </c>
      <c r="N325" s="1" t="s">
        <v>13</v>
      </c>
      <c r="O325" s="22">
        <v>3.4649999999999999</v>
      </c>
      <c r="P325" s="1" t="s">
        <v>7</v>
      </c>
      <c r="Q325" s="3"/>
      <c r="R325" s="90">
        <v>3.4750000000000001</v>
      </c>
      <c r="S325" s="91">
        <v>3.6640000000000001</v>
      </c>
      <c r="T325" s="90">
        <v>3.504</v>
      </c>
      <c r="U325" s="90">
        <v>3.3860000000000001</v>
      </c>
      <c r="V325" s="90">
        <v>3.7109999999999999</v>
      </c>
      <c r="W325" s="90">
        <v>3.5649999999999999</v>
      </c>
      <c r="X325" s="90">
        <v>3.5379999999999998</v>
      </c>
      <c r="Y325" s="90">
        <v>3.5489999999999999</v>
      </c>
      <c r="Z325" s="90">
        <v>3.5129999999999999</v>
      </c>
      <c r="AA325" s="90">
        <v>3.5019999999999998</v>
      </c>
      <c r="AB325" s="90">
        <v>3.6360000000000001</v>
      </c>
      <c r="AC325" s="90">
        <v>3.9660000000000002</v>
      </c>
      <c r="AD325" s="90">
        <v>3.867</v>
      </c>
      <c r="AE325" s="90">
        <v>3.4449999999999998</v>
      </c>
      <c r="AF325" s="90">
        <v>3.3650000000000002</v>
      </c>
      <c r="AG325" s="90">
        <v>2.8410000000000002</v>
      </c>
      <c r="AH325" s="92">
        <f t="shared" si="40"/>
        <v>3.1030000000000002</v>
      </c>
      <c r="AI325" s="11"/>
      <c r="AJ325" s="11"/>
      <c r="AK325" s="11"/>
      <c r="AL325" s="11"/>
      <c r="AM325" s="11"/>
      <c r="AN325" s="11"/>
      <c r="AO325" s="11"/>
      <c r="AP325" s="3"/>
      <c r="AQ325" s="8"/>
    </row>
    <row r="326" spans="1:43" ht="15">
      <c r="A326" s="1">
        <f t="shared" si="36"/>
        <v>324</v>
      </c>
      <c r="B326" s="19"/>
      <c r="C326" s="1">
        <v>4</v>
      </c>
      <c r="D326" s="4">
        <f t="shared" si="41"/>
        <v>35</v>
      </c>
      <c r="E326" s="4" t="s">
        <v>150</v>
      </c>
      <c r="F326" s="4">
        <v>1</v>
      </c>
      <c r="G326" s="4" t="s">
        <v>11</v>
      </c>
      <c r="H326" s="4" t="s">
        <v>215</v>
      </c>
      <c r="I326" s="4"/>
      <c r="J326" s="5">
        <v>90.2</v>
      </c>
      <c r="K326" s="63">
        <v>0</v>
      </c>
      <c r="L326" s="38">
        <v>6.3579999999999988</v>
      </c>
      <c r="M326" s="127" t="s">
        <v>334</v>
      </c>
      <c r="N326" s="1" t="s">
        <v>13</v>
      </c>
      <c r="O326" s="22">
        <v>6.3549999999999995</v>
      </c>
      <c r="P326" s="1" t="s">
        <v>7</v>
      </c>
      <c r="Q326" s="3"/>
      <c r="R326" s="90">
        <v>6.5519999999999996</v>
      </c>
      <c r="S326" s="91">
        <v>6.4109999999999996</v>
      </c>
      <c r="T326" s="90">
        <v>6.5129999999999999</v>
      </c>
      <c r="U326" s="90">
        <v>6.3419999999999996</v>
      </c>
      <c r="V326" s="90">
        <v>6.5640000000000001</v>
      </c>
      <c r="W326" s="90">
        <v>6.43</v>
      </c>
      <c r="X326" s="90">
        <v>6.4279999999999999</v>
      </c>
      <c r="Y326" s="90">
        <v>6.4489999999999998</v>
      </c>
      <c r="Z326" s="90">
        <v>6.4029999999999996</v>
      </c>
      <c r="AA326" s="90">
        <v>6.4059999999999997</v>
      </c>
      <c r="AB326" s="90">
        <v>6.7839999999999998</v>
      </c>
      <c r="AC326" s="90">
        <v>6.8380000000000001</v>
      </c>
      <c r="AD326" s="90">
        <v>6.6980000000000004</v>
      </c>
      <c r="AE326" s="90">
        <v>6.5970000000000004</v>
      </c>
      <c r="AF326" s="90">
        <v>6.3719999999999999</v>
      </c>
      <c r="AG326" s="90">
        <v>6.282</v>
      </c>
      <c r="AH326" s="92">
        <f t="shared" si="40"/>
        <v>6.327</v>
      </c>
      <c r="AI326" s="11"/>
      <c r="AJ326" s="11"/>
      <c r="AK326" s="11"/>
      <c r="AL326" s="11"/>
      <c r="AM326" s="11"/>
      <c r="AN326" s="11"/>
      <c r="AO326" s="11"/>
      <c r="AP326" s="3"/>
      <c r="AQ326" s="8"/>
    </row>
    <row r="327" spans="1:43" ht="15">
      <c r="A327" s="1">
        <f t="shared" si="36"/>
        <v>325</v>
      </c>
      <c r="B327" s="19"/>
      <c r="C327" s="1">
        <v>4</v>
      </c>
      <c r="D327" s="4">
        <f t="shared" si="41"/>
        <v>35</v>
      </c>
      <c r="E327" s="4" t="s">
        <v>219</v>
      </c>
      <c r="F327" s="4">
        <v>1</v>
      </c>
      <c r="G327" s="4" t="s">
        <v>11</v>
      </c>
      <c r="H327" s="4" t="s">
        <v>12</v>
      </c>
      <c r="I327" s="4"/>
      <c r="J327" s="5">
        <v>85.5</v>
      </c>
      <c r="K327" s="68"/>
      <c r="L327" s="38">
        <v>6.6660000000000004</v>
      </c>
      <c r="M327" s="127" t="s">
        <v>334</v>
      </c>
      <c r="N327" s="1" t="s">
        <v>13</v>
      </c>
      <c r="O327" s="22">
        <v>6.6619999999999999</v>
      </c>
      <c r="P327" s="1" t="s">
        <v>7</v>
      </c>
      <c r="Q327" s="3"/>
      <c r="R327" s="90">
        <v>6.89</v>
      </c>
      <c r="S327" s="91">
        <v>6.8570000000000002</v>
      </c>
      <c r="T327" s="90">
        <v>6.8410000000000002</v>
      </c>
      <c r="U327" s="90">
        <v>6.5739999999999998</v>
      </c>
      <c r="V327" s="90">
        <v>6.883</v>
      </c>
      <c r="W327" s="90">
        <v>6.7489999999999997</v>
      </c>
      <c r="X327" s="90">
        <v>6.75</v>
      </c>
      <c r="Y327" s="90">
        <v>6.7450000000000001</v>
      </c>
      <c r="Z327" s="90">
        <v>6.7009999999999996</v>
      </c>
      <c r="AA327" s="90">
        <v>6.6820000000000004</v>
      </c>
      <c r="AB327" s="90">
        <v>6.9290000000000003</v>
      </c>
      <c r="AC327" s="90">
        <v>7.0519999999999996</v>
      </c>
      <c r="AD327" s="90">
        <v>6.9930000000000003</v>
      </c>
      <c r="AE327" s="90">
        <v>6.718</v>
      </c>
      <c r="AF327" s="90">
        <v>6.7439999999999998</v>
      </c>
      <c r="AG327" s="90">
        <v>6.5519999999999996</v>
      </c>
      <c r="AH327" s="92">
        <f t="shared" si="40"/>
        <v>6.6479999999999997</v>
      </c>
      <c r="AI327" s="11"/>
      <c r="AJ327" s="11"/>
      <c r="AK327" s="11"/>
      <c r="AL327" s="11"/>
      <c r="AM327" s="11"/>
      <c r="AN327" s="11"/>
      <c r="AO327" s="11"/>
      <c r="AP327" s="3"/>
      <c r="AQ327" s="8"/>
    </row>
    <row r="328" spans="1:43" ht="15">
      <c r="A328" s="1">
        <f t="shared" si="36"/>
        <v>326</v>
      </c>
      <c r="B328" s="19"/>
      <c r="C328" s="1">
        <v>4</v>
      </c>
      <c r="D328" s="4">
        <f t="shared" si="41"/>
        <v>35</v>
      </c>
      <c r="E328" s="4" t="s">
        <v>120</v>
      </c>
      <c r="F328" s="4">
        <v>1</v>
      </c>
      <c r="G328" s="4" t="s">
        <v>14</v>
      </c>
      <c r="H328" s="4" t="s">
        <v>170</v>
      </c>
      <c r="I328" s="4"/>
      <c r="J328" s="5">
        <v>90.5</v>
      </c>
      <c r="K328" s="68"/>
      <c r="L328" s="38">
        <v>7.1039999999999983</v>
      </c>
      <c r="M328" s="127" t="s">
        <v>334</v>
      </c>
      <c r="N328" s="1" t="s">
        <v>13</v>
      </c>
      <c r="O328" s="22">
        <v>7.1239999999999988</v>
      </c>
      <c r="P328" s="1" t="s">
        <v>7</v>
      </c>
      <c r="Q328" s="3"/>
      <c r="R328" s="90">
        <v>6.8250000000000002</v>
      </c>
      <c r="S328" s="91">
        <v>6.7080000000000002</v>
      </c>
      <c r="T328" s="90">
        <v>7.2549999999999999</v>
      </c>
      <c r="U328" s="90">
        <v>7.0490000000000004</v>
      </c>
      <c r="V328" s="90">
        <v>7.2130000000000001</v>
      </c>
      <c r="W328" s="90">
        <v>7.11</v>
      </c>
      <c r="X328" s="90">
        <v>7.1070000000000002</v>
      </c>
      <c r="Y328" s="90">
        <v>7.133</v>
      </c>
      <c r="Z328" s="90">
        <v>7.0839999999999996</v>
      </c>
      <c r="AA328" s="90">
        <v>7.0709999999999997</v>
      </c>
      <c r="AB328" s="90">
        <v>7.2839999999999998</v>
      </c>
      <c r="AC328" s="90">
        <v>7.2990000000000004</v>
      </c>
      <c r="AD328" s="90">
        <v>7.1029999999999998</v>
      </c>
      <c r="AE328" s="90">
        <v>7.093</v>
      </c>
      <c r="AF328" s="90">
        <v>6.7089999999999996</v>
      </c>
      <c r="AG328" s="90">
        <v>7.3</v>
      </c>
      <c r="AH328" s="92">
        <f t="shared" si="40"/>
        <v>7.0045000000000002</v>
      </c>
      <c r="AI328" s="11"/>
      <c r="AJ328" s="11"/>
      <c r="AK328" s="11"/>
      <c r="AL328" s="11"/>
      <c r="AM328" s="11"/>
      <c r="AN328" s="11"/>
      <c r="AO328" s="11"/>
      <c r="AP328" s="3"/>
      <c r="AQ328" s="8"/>
    </row>
    <row r="329" spans="1:43" ht="15">
      <c r="A329" s="1">
        <f t="shared" si="36"/>
        <v>327</v>
      </c>
      <c r="B329" s="19"/>
      <c r="C329" s="1">
        <v>4</v>
      </c>
      <c r="D329" s="4">
        <f t="shared" si="41"/>
        <v>35</v>
      </c>
      <c r="E329" s="4" t="s">
        <v>223</v>
      </c>
      <c r="F329" s="4">
        <v>1</v>
      </c>
      <c r="G329" s="4" t="s">
        <v>14</v>
      </c>
      <c r="H329" s="4" t="s">
        <v>170</v>
      </c>
      <c r="I329" s="4"/>
      <c r="J329" s="5">
        <v>91.2</v>
      </c>
      <c r="K329" s="63">
        <v>4.2999999999999997E-2</v>
      </c>
      <c r="L329" s="38">
        <v>7.1840000000000019</v>
      </c>
      <c r="M329" s="127" t="s">
        <v>334</v>
      </c>
      <c r="N329" s="1" t="s">
        <v>13</v>
      </c>
      <c r="O329" s="22">
        <v>7.2250000000000023</v>
      </c>
      <c r="P329" s="1" t="s">
        <v>7</v>
      </c>
      <c r="Q329" s="3"/>
      <c r="R329" s="90">
        <v>6.7549999999999999</v>
      </c>
      <c r="S329" s="91">
        <v>6.673</v>
      </c>
      <c r="T329" s="90">
        <v>7.3070000000000004</v>
      </c>
      <c r="U329" s="90">
        <v>7.2770000000000001</v>
      </c>
      <c r="V329" s="90">
        <v>7.2229999999999999</v>
      </c>
      <c r="W329" s="90">
        <v>7.1689999999999996</v>
      </c>
      <c r="X329" s="90">
        <v>7.1710000000000003</v>
      </c>
      <c r="Y329" s="90">
        <v>7.2</v>
      </c>
      <c r="Z329" s="90">
        <v>7.1619999999999999</v>
      </c>
      <c r="AA329" s="90">
        <v>7.1440000000000001</v>
      </c>
      <c r="AB329" s="90">
        <v>7.2640000000000002</v>
      </c>
      <c r="AC329" s="90">
        <v>7.2489999999999997</v>
      </c>
      <c r="AD329" s="90">
        <v>7.056</v>
      </c>
      <c r="AE329" s="90">
        <v>7.0970000000000004</v>
      </c>
      <c r="AF329" s="90">
        <v>6.6909999999999998</v>
      </c>
      <c r="AG329" s="90">
        <v>7.3259999999999996</v>
      </c>
      <c r="AH329" s="92">
        <f t="shared" si="40"/>
        <v>7.0084999999999997</v>
      </c>
      <c r="AI329" s="11"/>
      <c r="AJ329" s="11"/>
      <c r="AK329" s="11"/>
      <c r="AL329" s="11"/>
      <c r="AM329" s="11"/>
      <c r="AN329" s="11"/>
      <c r="AO329" s="11"/>
      <c r="AP329" s="3"/>
      <c r="AQ329" s="8"/>
    </row>
    <row r="330" spans="1:43" ht="15">
      <c r="A330" s="1">
        <f t="shared" si="36"/>
        <v>328</v>
      </c>
      <c r="B330" s="19"/>
      <c r="C330" s="1">
        <v>4</v>
      </c>
      <c r="D330" s="4">
        <f t="shared" si="41"/>
        <v>35</v>
      </c>
      <c r="E330" s="4" t="s">
        <v>120</v>
      </c>
      <c r="F330" s="4">
        <v>1</v>
      </c>
      <c r="G330" s="4" t="s">
        <v>11</v>
      </c>
      <c r="H330" s="4" t="s">
        <v>121</v>
      </c>
      <c r="I330" s="4" t="s">
        <v>321</v>
      </c>
      <c r="J330" s="5">
        <v>10.9</v>
      </c>
      <c r="K330" s="68"/>
      <c r="L330" s="38">
        <v>6.6050000000000004</v>
      </c>
      <c r="M330" s="127" t="s">
        <v>569</v>
      </c>
      <c r="N330" s="1" t="s">
        <v>13</v>
      </c>
      <c r="O330" s="60"/>
      <c r="P330" s="9"/>
      <c r="Q330" s="3"/>
      <c r="R330" s="93"/>
      <c r="S330" s="93"/>
      <c r="T330" s="93"/>
      <c r="U330" s="93"/>
      <c r="V330" s="93"/>
      <c r="W330" s="93"/>
      <c r="X330" s="93"/>
      <c r="Y330" s="90">
        <v>7.8879999999999999</v>
      </c>
      <c r="Z330" s="90">
        <v>7.5090000000000003</v>
      </c>
      <c r="AA330" s="90">
        <v>7.1920000000000002</v>
      </c>
      <c r="AB330" s="93"/>
      <c r="AC330" s="93"/>
      <c r="AD330" s="93"/>
      <c r="AE330" s="93"/>
      <c r="AF330" s="93"/>
      <c r="AG330" s="90">
        <v>5.875</v>
      </c>
      <c r="AH330" s="93"/>
      <c r="AI330" s="22">
        <v>7.0810000000000004</v>
      </c>
      <c r="AJ330" s="1">
        <v>6.6989999999999998</v>
      </c>
      <c r="AK330" s="1">
        <v>6.5839999999999996</v>
      </c>
      <c r="AL330" s="1">
        <v>6.6840000000000002</v>
      </c>
      <c r="AM330" s="1">
        <v>6.6719999999999997</v>
      </c>
      <c r="AN330" s="1">
        <v>6.7320000000000002</v>
      </c>
      <c r="AO330" s="1">
        <v>6.649</v>
      </c>
      <c r="AP330" s="3"/>
      <c r="AQ330" s="8"/>
    </row>
    <row r="331" spans="1:43" ht="15">
      <c r="A331" s="1">
        <f t="shared" si="36"/>
        <v>329</v>
      </c>
      <c r="B331" s="19"/>
      <c r="C331" s="1">
        <v>4</v>
      </c>
      <c r="D331" s="4">
        <f t="shared" si="41"/>
        <v>35</v>
      </c>
      <c r="E331" s="4" t="s">
        <v>169</v>
      </c>
      <c r="F331" s="4">
        <v>3</v>
      </c>
      <c r="G331" s="4" t="s">
        <v>11</v>
      </c>
      <c r="H331" s="4" t="s">
        <v>17</v>
      </c>
      <c r="I331" s="4"/>
      <c r="J331" s="5">
        <v>98.3</v>
      </c>
      <c r="K331" s="68"/>
      <c r="L331" s="38">
        <v>2.3039999999999998</v>
      </c>
      <c r="M331" s="127" t="s">
        <v>114</v>
      </c>
      <c r="N331" s="1" t="s">
        <v>13</v>
      </c>
      <c r="O331" s="22">
        <v>2.3149999999999999</v>
      </c>
      <c r="P331" s="1" t="s">
        <v>7</v>
      </c>
      <c r="Q331" s="3"/>
      <c r="R331" s="90">
        <v>2.4039999999999999</v>
      </c>
      <c r="S331" s="91">
        <v>2.351</v>
      </c>
      <c r="T331" s="90">
        <v>2.3420000000000001</v>
      </c>
      <c r="U331" s="90">
        <v>2.1379999999999999</v>
      </c>
      <c r="V331" s="90">
        <v>2.2610000000000001</v>
      </c>
      <c r="W331" s="93"/>
      <c r="X331" s="93"/>
      <c r="Y331" s="93"/>
      <c r="Z331" s="90">
        <v>2.286</v>
      </c>
      <c r="AA331" s="90">
        <v>2.2890000000000001</v>
      </c>
      <c r="AB331" s="90">
        <v>2.496</v>
      </c>
      <c r="AC331" s="90">
        <v>2.58</v>
      </c>
      <c r="AD331" s="90">
        <v>2.5070000000000001</v>
      </c>
      <c r="AE331" s="90">
        <v>2.3530000000000002</v>
      </c>
      <c r="AF331" s="90">
        <v>2.25</v>
      </c>
      <c r="AG331" s="90">
        <v>1.94</v>
      </c>
      <c r="AH331" s="92">
        <f t="shared" si="40"/>
        <v>2.0949999999999998</v>
      </c>
      <c r="AI331" s="11"/>
      <c r="AJ331" s="11"/>
      <c r="AK331" s="11"/>
      <c r="AL331" s="11"/>
      <c r="AM331" s="11"/>
      <c r="AN331" s="11"/>
      <c r="AO331" s="11"/>
      <c r="AP331" s="3"/>
      <c r="AQ331" s="8"/>
    </row>
    <row r="332" spans="1:43" ht="15">
      <c r="A332" s="1">
        <f t="shared" si="36"/>
        <v>330</v>
      </c>
      <c r="B332" s="19"/>
      <c r="C332" s="1">
        <v>4</v>
      </c>
      <c r="D332" s="4">
        <f t="shared" si="41"/>
        <v>35</v>
      </c>
      <c r="E332" s="4" t="s">
        <v>149</v>
      </c>
      <c r="F332" s="4">
        <v>3</v>
      </c>
      <c r="G332" s="4" t="s">
        <v>11</v>
      </c>
      <c r="H332" s="4" t="s">
        <v>12</v>
      </c>
      <c r="I332" s="4"/>
      <c r="J332" s="5">
        <v>96.8</v>
      </c>
      <c r="K332" s="68"/>
      <c r="L332" s="38">
        <v>2.7029999999999998</v>
      </c>
      <c r="M332" s="127" t="s">
        <v>114</v>
      </c>
      <c r="N332" s="1" t="s">
        <v>13</v>
      </c>
      <c r="O332" s="22">
        <v>2.71</v>
      </c>
      <c r="P332" s="1" t="s">
        <v>7</v>
      </c>
      <c r="Q332" s="3"/>
      <c r="R332" s="90">
        <v>2.649</v>
      </c>
      <c r="S332" s="91">
        <v>2.5609999999999999</v>
      </c>
      <c r="T332" s="90">
        <v>2.726</v>
      </c>
      <c r="U332" s="90">
        <v>2.6579999999999999</v>
      </c>
      <c r="V332" s="90">
        <v>2.78</v>
      </c>
      <c r="W332" s="93"/>
      <c r="X332" s="93"/>
      <c r="Y332" s="93"/>
      <c r="Z332" s="90">
        <v>2.6930000000000001</v>
      </c>
      <c r="AA332" s="90">
        <v>2.6949999999999998</v>
      </c>
      <c r="AB332" s="90">
        <v>2.8959999999999999</v>
      </c>
      <c r="AC332" s="90">
        <v>3.01</v>
      </c>
      <c r="AD332" s="90">
        <v>2.8610000000000002</v>
      </c>
      <c r="AE332" s="90">
        <v>2.6960000000000002</v>
      </c>
      <c r="AF332" s="90">
        <v>2.4510000000000001</v>
      </c>
      <c r="AG332" s="90">
        <v>2.6</v>
      </c>
      <c r="AH332" s="92">
        <f t="shared" si="40"/>
        <v>2.5255000000000001</v>
      </c>
      <c r="AI332" s="11"/>
      <c r="AJ332" s="11"/>
      <c r="AK332" s="11"/>
      <c r="AL332" s="11"/>
      <c r="AM332" s="11"/>
      <c r="AN332" s="11"/>
      <c r="AO332" s="11"/>
      <c r="AP332" s="3"/>
      <c r="AQ332" s="8"/>
    </row>
    <row r="333" spans="1:43" ht="15">
      <c r="A333" s="1">
        <f t="shared" si="36"/>
        <v>331</v>
      </c>
      <c r="B333" s="19"/>
      <c r="C333" s="1">
        <v>4</v>
      </c>
      <c r="D333" s="4">
        <f t="shared" si="41"/>
        <v>35</v>
      </c>
      <c r="E333" s="4" t="s">
        <v>177</v>
      </c>
      <c r="F333" s="4">
        <v>3</v>
      </c>
      <c r="G333" s="4" t="s">
        <v>11</v>
      </c>
      <c r="H333" s="4" t="s">
        <v>17</v>
      </c>
      <c r="I333" s="4"/>
      <c r="J333" s="5">
        <v>98.9</v>
      </c>
      <c r="K333" s="68"/>
      <c r="L333" s="38">
        <v>5.3540000000000001</v>
      </c>
      <c r="M333" s="127" t="s">
        <v>114</v>
      </c>
      <c r="N333" s="1" t="s">
        <v>13</v>
      </c>
      <c r="O333" s="22">
        <v>5.367</v>
      </c>
      <c r="P333" s="1" t="s">
        <v>7</v>
      </c>
      <c r="Q333" s="3"/>
      <c r="R333" s="90">
        <v>5.617</v>
      </c>
      <c r="S333" s="91">
        <v>5.5789999999999997</v>
      </c>
      <c r="T333" s="90">
        <v>5.4610000000000003</v>
      </c>
      <c r="U333" s="90">
        <v>5.0910000000000002</v>
      </c>
      <c r="V333" s="90">
        <v>5.28</v>
      </c>
      <c r="W333" s="93"/>
      <c r="X333" s="93"/>
      <c r="Y333" s="93"/>
      <c r="Z333" s="90">
        <v>5.3529999999999998</v>
      </c>
      <c r="AA333" s="90">
        <v>5.3479999999999999</v>
      </c>
      <c r="AB333" s="90">
        <v>5.3630000000000004</v>
      </c>
      <c r="AC333" s="90">
        <v>5.3630000000000004</v>
      </c>
      <c r="AD333" s="90">
        <v>5.4379999999999997</v>
      </c>
      <c r="AE333" s="90">
        <v>5.26</v>
      </c>
      <c r="AF333" s="90">
        <v>5.5419999999999998</v>
      </c>
      <c r="AG333" s="90">
        <v>4.9210000000000003</v>
      </c>
      <c r="AH333" s="92">
        <f t="shared" si="40"/>
        <v>5.2315000000000005</v>
      </c>
      <c r="AI333" s="11"/>
      <c r="AJ333" s="11"/>
      <c r="AK333" s="11"/>
      <c r="AL333" s="11"/>
      <c r="AM333" s="11"/>
      <c r="AN333" s="11"/>
      <c r="AO333" s="11"/>
      <c r="AP333" s="3"/>
      <c r="AQ333" s="8"/>
    </row>
    <row r="334" spans="1:43" ht="15">
      <c r="A334" s="1">
        <f t="shared" si="36"/>
        <v>332</v>
      </c>
      <c r="B334" s="19"/>
      <c r="C334" s="1">
        <v>4</v>
      </c>
      <c r="D334" s="4">
        <f t="shared" si="41"/>
        <v>35</v>
      </c>
      <c r="E334" s="4" t="s">
        <v>221</v>
      </c>
      <c r="F334" s="4">
        <v>3</v>
      </c>
      <c r="G334" s="4" t="s">
        <v>11</v>
      </c>
      <c r="H334" s="4" t="s">
        <v>12</v>
      </c>
      <c r="I334" s="4"/>
      <c r="J334" s="5">
        <v>97.3</v>
      </c>
      <c r="K334" s="68"/>
      <c r="L334" s="38">
        <v>6.0339999999999998</v>
      </c>
      <c r="M334" s="127" t="s">
        <v>114</v>
      </c>
      <c r="N334" s="1" t="s">
        <v>13</v>
      </c>
      <c r="O334" s="22">
        <v>6.0389999999999997</v>
      </c>
      <c r="P334" s="1" t="s">
        <v>7</v>
      </c>
      <c r="Q334" s="3"/>
      <c r="R334" s="90">
        <v>6.2389999999999999</v>
      </c>
      <c r="S334" s="91">
        <v>6.1539999999999999</v>
      </c>
      <c r="T334" s="90">
        <v>6.1340000000000003</v>
      </c>
      <c r="U334" s="90">
        <v>5.9870000000000001</v>
      </c>
      <c r="V334" s="90">
        <v>6.1360000000000001</v>
      </c>
      <c r="W334" s="93"/>
      <c r="X334" s="93"/>
      <c r="Y334" s="93"/>
      <c r="Z334" s="90">
        <v>6.048</v>
      </c>
      <c r="AA334" s="90">
        <v>6.0430000000000001</v>
      </c>
      <c r="AB334" s="90">
        <v>6.3559999999999999</v>
      </c>
      <c r="AC334" s="90">
        <v>6.4279999999999999</v>
      </c>
      <c r="AD334" s="90">
        <v>6.3369999999999997</v>
      </c>
      <c r="AE334" s="90">
        <v>6.18</v>
      </c>
      <c r="AF334" s="90">
        <v>6.077</v>
      </c>
      <c r="AG334" s="90">
        <v>5.8630000000000004</v>
      </c>
      <c r="AH334" s="92">
        <f t="shared" si="40"/>
        <v>5.9700000000000006</v>
      </c>
      <c r="AI334" s="11"/>
      <c r="AJ334" s="11"/>
      <c r="AK334" s="11"/>
      <c r="AL334" s="11"/>
      <c r="AM334" s="11"/>
      <c r="AN334" s="11"/>
      <c r="AO334" s="11"/>
      <c r="AP334" s="3"/>
      <c r="AQ334" s="8"/>
    </row>
    <row r="335" spans="1:43">
      <c r="A335" s="1">
        <f t="shared" si="36"/>
        <v>333</v>
      </c>
      <c r="B335" s="2" t="s">
        <v>171</v>
      </c>
      <c r="C335" s="1">
        <v>3</v>
      </c>
      <c r="D335" s="4">
        <f t="shared" si="41"/>
        <v>35</v>
      </c>
      <c r="E335" s="4" t="s">
        <v>128</v>
      </c>
      <c r="F335" s="4">
        <v>1</v>
      </c>
      <c r="G335" s="4" t="s">
        <v>11</v>
      </c>
      <c r="H335" s="4" t="s">
        <v>12</v>
      </c>
      <c r="I335" s="4"/>
      <c r="J335" s="5">
        <v>92.5</v>
      </c>
      <c r="K335" s="63">
        <v>2E-3</v>
      </c>
      <c r="L335" s="38">
        <v>4.0929999999999991</v>
      </c>
      <c r="M335" s="127" t="s">
        <v>216</v>
      </c>
      <c r="N335" s="1" t="s">
        <v>13</v>
      </c>
      <c r="O335" s="22">
        <v>4.0840000000000005</v>
      </c>
      <c r="P335" s="4" t="s">
        <v>7</v>
      </c>
      <c r="Q335" s="3" t="s">
        <v>205</v>
      </c>
      <c r="R335" s="22">
        <v>4.2779999999999996</v>
      </c>
      <c r="S335" s="22">
        <v>4.2039999999999997</v>
      </c>
      <c r="T335" s="22">
        <v>4.2750000000000004</v>
      </c>
      <c r="U335" s="22">
        <v>4.0330000000000004</v>
      </c>
      <c r="V335" s="22">
        <v>4.1840000000000002</v>
      </c>
      <c r="W335" s="22">
        <v>4.117</v>
      </c>
      <c r="X335" s="22">
        <v>4.1230000000000002</v>
      </c>
      <c r="Y335" s="22">
        <v>4.1219999999999999</v>
      </c>
      <c r="Z335" s="22">
        <v>4.1139999999999999</v>
      </c>
      <c r="AA335" s="22">
        <v>4.1050000000000004</v>
      </c>
      <c r="AB335" s="22">
        <v>4.3330000000000002</v>
      </c>
      <c r="AC335" s="22">
        <v>4.3289999999999997</v>
      </c>
      <c r="AD335" s="22">
        <v>4.2869999999999999</v>
      </c>
      <c r="AE335" s="22">
        <v>4.1429999999999998</v>
      </c>
      <c r="AF335" s="22">
        <v>4.2089999999999996</v>
      </c>
      <c r="AG335" s="22">
        <v>3.8210000000000002</v>
      </c>
      <c r="AH335" s="6">
        <f t="shared" si="33"/>
        <v>4.0149999999999997</v>
      </c>
      <c r="AI335" s="11"/>
      <c r="AJ335" s="11"/>
      <c r="AK335" s="11"/>
      <c r="AL335" s="11"/>
      <c r="AM335" s="11"/>
      <c r="AN335" s="11"/>
      <c r="AO335" s="11"/>
      <c r="AP335" s="3"/>
      <c r="AQ335" s="8"/>
    </row>
    <row r="336" spans="1:43">
      <c r="A336" s="1">
        <f t="shared" si="36"/>
        <v>334</v>
      </c>
      <c r="B336" s="19"/>
      <c r="C336" s="1">
        <v>3</v>
      </c>
      <c r="D336" s="4">
        <f t="shared" si="41"/>
        <v>35</v>
      </c>
      <c r="E336" s="4" t="s">
        <v>131</v>
      </c>
      <c r="F336" s="4">
        <v>1</v>
      </c>
      <c r="G336" s="4" t="s">
        <v>11</v>
      </c>
      <c r="H336" s="4" t="s">
        <v>140</v>
      </c>
      <c r="I336" s="4"/>
      <c r="J336" s="5">
        <v>90.9</v>
      </c>
      <c r="K336" s="68"/>
      <c r="L336" s="38">
        <v>7.2709999999999999</v>
      </c>
      <c r="M336" s="127" t="s">
        <v>216</v>
      </c>
      <c r="N336" s="1" t="s">
        <v>13</v>
      </c>
      <c r="O336" s="22">
        <v>7.2569999999999997</v>
      </c>
      <c r="P336" s="4" t="s">
        <v>7</v>
      </c>
      <c r="Q336" s="3" t="s">
        <v>205</v>
      </c>
      <c r="R336" s="22">
        <v>7.7359999999999998</v>
      </c>
      <c r="S336" s="22">
        <v>7.4539999999999997</v>
      </c>
      <c r="T336" s="22">
        <v>7.5229999999999997</v>
      </c>
      <c r="U336" s="22">
        <v>7.0129999999999999</v>
      </c>
      <c r="V336" s="22">
        <v>7.391</v>
      </c>
      <c r="W336" s="22">
        <v>7.3310000000000004</v>
      </c>
      <c r="X336" s="22">
        <v>7.3319999999999999</v>
      </c>
      <c r="Y336" s="22">
        <v>7.3170000000000002</v>
      </c>
      <c r="Z336" s="22">
        <v>7.3070000000000004</v>
      </c>
      <c r="AA336" s="22">
        <v>7.2830000000000004</v>
      </c>
      <c r="AB336" s="22">
        <v>7.5789999999999997</v>
      </c>
      <c r="AC336" s="22">
        <v>7.56</v>
      </c>
      <c r="AD336" s="22">
        <v>7.5250000000000004</v>
      </c>
      <c r="AE336" s="22">
        <v>7.3869999999999996</v>
      </c>
      <c r="AF336" s="22">
        <v>7.4660000000000002</v>
      </c>
      <c r="AG336" s="22">
        <v>6.9989999999999997</v>
      </c>
      <c r="AH336" s="6">
        <f t="shared" si="33"/>
        <v>7.2324999999999999</v>
      </c>
      <c r="AI336" s="11"/>
      <c r="AJ336" s="11"/>
      <c r="AK336" s="11"/>
      <c r="AL336" s="11"/>
      <c r="AM336" s="11"/>
      <c r="AN336" s="11"/>
      <c r="AO336" s="11"/>
      <c r="AP336" s="3"/>
      <c r="AQ336" s="8"/>
    </row>
    <row r="337" spans="1:43">
      <c r="A337" s="1">
        <f t="shared" si="36"/>
        <v>335</v>
      </c>
      <c r="B337" s="19"/>
      <c r="C337" s="1">
        <v>3</v>
      </c>
      <c r="D337" s="4">
        <f t="shared" si="41"/>
        <v>35</v>
      </c>
      <c r="E337" s="4" t="s">
        <v>137</v>
      </c>
      <c r="F337" s="4">
        <v>1</v>
      </c>
      <c r="G337" s="4" t="s">
        <v>14</v>
      </c>
      <c r="H337" s="4" t="s">
        <v>15</v>
      </c>
      <c r="I337" s="4"/>
      <c r="J337" s="5">
        <v>93.5</v>
      </c>
      <c r="K337" s="63">
        <v>0</v>
      </c>
      <c r="L337" s="38">
        <v>7.4379999999999988</v>
      </c>
      <c r="M337" s="127" t="s">
        <v>216</v>
      </c>
      <c r="N337" s="1" t="s">
        <v>13</v>
      </c>
      <c r="O337" s="22">
        <v>7.4689999999999985</v>
      </c>
      <c r="P337" s="4" t="s">
        <v>7</v>
      </c>
      <c r="Q337" s="3" t="s">
        <v>205</v>
      </c>
      <c r="R337" s="22">
        <v>8</v>
      </c>
      <c r="S337" s="22">
        <v>7.2569999999999997</v>
      </c>
      <c r="T337" s="22">
        <v>7.6660000000000004</v>
      </c>
      <c r="U337" s="22">
        <v>7.48</v>
      </c>
      <c r="V337" s="22">
        <v>7.5540000000000003</v>
      </c>
      <c r="W337" s="22">
        <v>7.47</v>
      </c>
      <c r="X337" s="22">
        <v>7.4710000000000001</v>
      </c>
      <c r="Y337" s="22">
        <v>7.4710000000000001</v>
      </c>
      <c r="Z337" s="22">
        <v>7.45</v>
      </c>
      <c r="AA337" s="22">
        <v>7.4480000000000004</v>
      </c>
      <c r="AB337" s="22">
        <v>7.72</v>
      </c>
      <c r="AC337" s="22">
        <v>7.6340000000000003</v>
      </c>
      <c r="AD337" s="22">
        <v>7.5069999999999997</v>
      </c>
      <c r="AE337" s="22">
        <v>7.5789999999999997</v>
      </c>
      <c r="AF337" s="22">
        <v>7.33</v>
      </c>
      <c r="AG337" s="22">
        <v>7.3390000000000004</v>
      </c>
      <c r="AH337" s="6">
        <f t="shared" si="33"/>
        <v>7.3345000000000002</v>
      </c>
      <c r="AI337" s="11"/>
      <c r="AJ337" s="11"/>
      <c r="AK337" s="11"/>
      <c r="AL337" s="11"/>
      <c r="AM337" s="11"/>
      <c r="AN337" s="11"/>
      <c r="AO337" s="11"/>
      <c r="AP337" s="3"/>
      <c r="AQ337" s="8"/>
    </row>
    <row r="338" spans="1:43">
      <c r="A338" s="1">
        <f t="shared" si="36"/>
        <v>336</v>
      </c>
      <c r="B338" s="19"/>
      <c r="C338" s="1">
        <v>3</v>
      </c>
      <c r="D338" s="4">
        <f t="shared" si="41"/>
        <v>35</v>
      </c>
      <c r="E338" s="4" t="s">
        <v>118</v>
      </c>
      <c r="F338" s="4">
        <v>1</v>
      </c>
      <c r="G338" s="4" t="s">
        <v>14</v>
      </c>
      <c r="H338" s="4" t="s">
        <v>16</v>
      </c>
      <c r="I338" s="4"/>
      <c r="J338" s="5">
        <v>93.8</v>
      </c>
      <c r="K338" s="63">
        <v>0.13200000000000001</v>
      </c>
      <c r="L338" s="38">
        <v>8.0180000000000007</v>
      </c>
      <c r="M338" s="127" t="s">
        <v>216</v>
      </c>
      <c r="N338" s="1" t="s">
        <v>13</v>
      </c>
      <c r="O338" s="22">
        <v>8.0310000000000006</v>
      </c>
      <c r="P338" s="4" t="s">
        <v>7</v>
      </c>
      <c r="Q338" s="3" t="s">
        <v>205</v>
      </c>
      <c r="R338" s="22">
        <v>7.91</v>
      </c>
      <c r="S338" s="22">
        <v>7.8079999999999998</v>
      </c>
      <c r="T338" s="22">
        <v>8.2439999999999998</v>
      </c>
      <c r="U338" s="22">
        <v>8.06</v>
      </c>
      <c r="V338" s="22">
        <v>8.1150000000000002</v>
      </c>
      <c r="W338" s="22">
        <v>8.0419999999999998</v>
      </c>
      <c r="X338" s="22">
        <v>8.0470000000000006</v>
      </c>
      <c r="Y338" s="22">
        <v>8.0489999999999995</v>
      </c>
      <c r="Z338" s="22">
        <v>8.0370000000000008</v>
      </c>
      <c r="AA338" s="22">
        <v>8.0259999999999998</v>
      </c>
      <c r="AB338" s="22">
        <v>8.2200000000000006</v>
      </c>
      <c r="AC338" s="22">
        <v>8.14</v>
      </c>
      <c r="AD338" s="22">
        <v>8.0289999999999999</v>
      </c>
      <c r="AE338" s="22">
        <v>8.0739999999999998</v>
      </c>
      <c r="AF338" s="22">
        <v>7.8730000000000002</v>
      </c>
      <c r="AG338" s="22">
        <v>7.9669999999999996</v>
      </c>
      <c r="AH338" s="6">
        <f t="shared" si="33"/>
        <v>7.92</v>
      </c>
      <c r="AI338" s="11"/>
      <c r="AJ338" s="11"/>
      <c r="AK338" s="11"/>
      <c r="AL338" s="11"/>
      <c r="AM338" s="11"/>
      <c r="AN338" s="11"/>
      <c r="AO338" s="11"/>
      <c r="AP338" s="3"/>
      <c r="AQ338" s="8"/>
    </row>
    <row r="339" spans="1:43">
      <c r="A339" s="1">
        <f t="shared" si="36"/>
        <v>337</v>
      </c>
      <c r="B339" s="19"/>
      <c r="C339" s="1">
        <v>3</v>
      </c>
      <c r="D339" s="4">
        <f t="shared" si="41"/>
        <v>35</v>
      </c>
      <c r="E339" s="4" t="s">
        <v>129</v>
      </c>
      <c r="F339" s="4">
        <v>3</v>
      </c>
      <c r="G339" s="4" t="s">
        <v>11</v>
      </c>
      <c r="H339" s="4" t="s">
        <v>12</v>
      </c>
      <c r="I339" s="4"/>
      <c r="J339" s="5">
        <v>98.2</v>
      </c>
      <c r="K339" s="68"/>
      <c r="L339" s="38">
        <v>3.49</v>
      </c>
      <c r="M339" s="127" t="s">
        <v>109</v>
      </c>
      <c r="N339" s="1" t="s">
        <v>13</v>
      </c>
      <c r="O339" s="22">
        <v>3.4890000000000003</v>
      </c>
      <c r="P339" s="4" t="s">
        <v>7</v>
      </c>
      <c r="Q339" s="3" t="s">
        <v>205</v>
      </c>
      <c r="R339" s="22">
        <v>3.6269999999999998</v>
      </c>
      <c r="S339" s="22">
        <v>3.5539999999999998</v>
      </c>
      <c r="T339" s="22">
        <v>3.6059999999999999</v>
      </c>
      <c r="U339" s="22">
        <v>3.4580000000000002</v>
      </c>
      <c r="V339" s="22">
        <v>3.5259999999999998</v>
      </c>
      <c r="W339" s="46"/>
      <c r="X339" s="46"/>
      <c r="Y339" s="46"/>
      <c r="Z339" s="22">
        <v>3.5059999999999998</v>
      </c>
      <c r="AA339" s="22">
        <v>3.4990000000000001</v>
      </c>
      <c r="AB339" s="22">
        <v>3.7610000000000001</v>
      </c>
      <c r="AC339" s="22">
        <v>3.7690000000000001</v>
      </c>
      <c r="AD339" s="22">
        <v>3.6970000000000001</v>
      </c>
      <c r="AE339" s="22">
        <v>3.5960000000000001</v>
      </c>
      <c r="AF339" s="22">
        <v>3.5449999999999999</v>
      </c>
      <c r="AG339" s="22">
        <v>3.1970000000000001</v>
      </c>
      <c r="AH339" s="6">
        <f t="shared" si="33"/>
        <v>3.371</v>
      </c>
      <c r="AI339" s="11"/>
      <c r="AJ339" s="11"/>
      <c r="AK339" s="11"/>
      <c r="AL339" s="11"/>
      <c r="AM339" s="11"/>
      <c r="AN339" s="11"/>
      <c r="AO339" s="11"/>
      <c r="AP339" s="3"/>
      <c r="AQ339" s="8"/>
    </row>
    <row r="340" spans="1:43">
      <c r="A340" s="1">
        <f t="shared" si="36"/>
        <v>338</v>
      </c>
      <c r="B340" s="19"/>
      <c r="C340" s="1">
        <v>3</v>
      </c>
      <c r="D340" s="4">
        <f t="shared" si="41"/>
        <v>35</v>
      </c>
      <c r="E340" s="4" t="s">
        <v>142</v>
      </c>
      <c r="F340" s="4">
        <v>3</v>
      </c>
      <c r="G340" s="4" t="s">
        <v>11</v>
      </c>
      <c r="H340" s="4" t="s">
        <v>17</v>
      </c>
      <c r="I340" s="4"/>
      <c r="J340" s="5">
        <v>98.8</v>
      </c>
      <c r="K340" s="68"/>
      <c r="L340" s="38">
        <v>5.0600000000000005</v>
      </c>
      <c r="M340" s="127" t="s">
        <v>109</v>
      </c>
      <c r="N340" s="1" t="s">
        <v>13</v>
      </c>
      <c r="O340" s="22">
        <v>5.0680000000000005</v>
      </c>
      <c r="P340" s="4" t="s">
        <v>7</v>
      </c>
      <c r="Q340" s="3" t="s">
        <v>205</v>
      </c>
      <c r="R340" s="22">
        <v>5.5529999999999999</v>
      </c>
      <c r="S340" s="22">
        <v>5.3330000000000002</v>
      </c>
      <c r="T340" s="22">
        <v>5.29</v>
      </c>
      <c r="U340" s="22">
        <v>4.7990000000000004</v>
      </c>
      <c r="V340" s="22">
        <v>5.032</v>
      </c>
      <c r="W340" s="46"/>
      <c r="X340" s="46"/>
      <c r="Y340" s="46"/>
      <c r="Z340" s="22">
        <v>5.0490000000000004</v>
      </c>
      <c r="AA340" s="22">
        <v>5.0490000000000004</v>
      </c>
      <c r="AB340" s="22">
        <v>5.25</v>
      </c>
      <c r="AC340" s="22">
        <v>5.2510000000000003</v>
      </c>
      <c r="AD340" s="22">
        <v>5.2889999999999997</v>
      </c>
      <c r="AE340" s="22">
        <v>5.1369999999999996</v>
      </c>
      <c r="AF340" s="22">
        <v>5.3250000000000002</v>
      </c>
      <c r="AG340" s="22">
        <v>4.6449999999999996</v>
      </c>
      <c r="AH340" s="6">
        <f t="shared" si="33"/>
        <v>4.9849999999999994</v>
      </c>
      <c r="AI340" s="11"/>
      <c r="AJ340" s="11"/>
      <c r="AK340" s="11"/>
      <c r="AL340" s="11"/>
      <c r="AM340" s="11"/>
      <c r="AN340" s="11"/>
      <c r="AO340" s="11"/>
      <c r="AP340" s="3"/>
      <c r="AQ340" s="8"/>
    </row>
    <row r="341" spans="1:43">
      <c r="A341" s="1">
        <f t="shared" si="36"/>
        <v>339</v>
      </c>
      <c r="B341" s="19"/>
      <c r="C341" s="1">
        <v>3</v>
      </c>
      <c r="D341" s="4">
        <f t="shared" si="41"/>
        <v>35</v>
      </c>
      <c r="E341" s="4" t="s">
        <v>130</v>
      </c>
      <c r="F341" s="4">
        <v>3</v>
      </c>
      <c r="G341" s="4" t="s">
        <v>11</v>
      </c>
      <c r="H341" s="4" t="s">
        <v>140</v>
      </c>
      <c r="I341" s="4"/>
      <c r="J341" s="5">
        <v>98.3</v>
      </c>
      <c r="K341" s="68"/>
      <c r="L341" s="38">
        <v>6.1160000000000005</v>
      </c>
      <c r="M341" s="127" t="s">
        <v>109</v>
      </c>
      <c r="N341" s="1" t="s">
        <v>13</v>
      </c>
      <c r="O341" s="22">
        <v>6.1190000000000015</v>
      </c>
      <c r="P341" s="4" t="s">
        <v>7</v>
      </c>
      <c r="Q341" s="3" t="s">
        <v>205</v>
      </c>
      <c r="R341" s="22">
        <v>6.4359999999999999</v>
      </c>
      <c r="S341" s="22">
        <v>6.2809999999999997</v>
      </c>
      <c r="T341" s="22">
        <v>6.2850000000000001</v>
      </c>
      <c r="U341" s="22">
        <v>5.8849999999999998</v>
      </c>
      <c r="V341" s="22">
        <v>6.1669999999999998</v>
      </c>
      <c r="W341" s="46"/>
      <c r="X341" s="46"/>
      <c r="Y341" s="46"/>
      <c r="Z341" s="22">
        <v>6.1319999999999997</v>
      </c>
      <c r="AA341" s="22">
        <v>6.1210000000000004</v>
      </c>
      <c r="AB341" s="22">
        <v>6.524</v>
      </c>
      <c r="AC341" s="22">
        <v>6.5229999999999997</v>
      </c>
      <c r="AD341" s="22">
        <v>6.4420000000000002</v>
      </c>
      <c r="AE341" s="22">
        <v>6.3739999999999997</v>
      </c>
      <c r="AF341" s="22">
        <v>6.2759999999999998</v>
      </c>
      <c r="AG341" s="22">
        <v>5.8010000000000002</v>
      </c>
      <c r="AH341" s="6">
        <f t="shared" si="33"/>
        <v>6.0385</v>
      </c>
      <c r="AI341" s="11"/>
      <c r="AJ341" s="11"/>
      <c r="AK341" s="11"/>
      <c r="AL341" s="11"/>
      <c r="AM341" s="11"/>
      <c r="AN341" s="11"/>
      <c r="AO341" s="11"/>
      <c r="AP341" s="3"/>
      <c r="AQ341" s="8"/>
    </row>
    <row r="342" spans="1:43">
      <c r="A342" s="1">
        <f t="shared" si="36"/>
        <v>340</v>
      </c>
      <c r="B342" s="19"/>
      <c r="C342" s="1">
        <v>3</v>
      </c>
      <c r="D342" s="4">
        <f t="shared" si="41"/>
        <v>35</v>
      </c>
      <c r="E342" s="4" t="s">
        <v>143</v>
      </c>
      <c r="F342" s="4">
        <v>3</v>
      </c>
      <c r="G342" s="4" t="s">
        <v>14</v>
      </c>
      <c r="H342" s="4" t="s">
        <v>16</v>
      </c>
      <c r="I342" s="4"/>
      <c r="J342" s="5">
        <v>98.4</v>
      </c>
      <c r="K342" s="68"/>
      <c r="L342" s="38">
        <v>6.81</v>
      </c>
      <c r="M342" s="127" t="s">
        <v>109</v>
      </c>
      <c r="N342" s="1" t="s">
        <v>13</v>
      </c>
      <c r="O342" s="22">
        <v>6.8269999999999991</v>
      </c>
      <c r="P342" s="4" t="s">
        <v>7</v>
      </c>
      <c r="Q342" s="3" t="s">
        <v>205</v>
      </c>
      <c r="R342" s="22">
        <v>6.9740000000000002</v>
      </c>
      <c r="S342" s="22">
        <v>6.7460000000000004</v>
      </c>
      <c r="T342" s="22">
        <v>6.9560000000000004</v>
      </c>
      <c r="U342" s="22">
        <v>6.6980000000000004</v>
      </c>
      <c r="V342" s="22">
        <v>6.8090000000000002</v>
      </c>
      <c r="W342" s="46"/>
      <c r="X342" s="46"/>
      <c r="Y342" s="46"/>
      <c r="Z342" s="22">
        <v>6.8280000000000003</v>
      </c>
      <c r="AA342" s="22">
        <v>6.8079999999999998</v>
      </c>
      <c r="AB342" s="22">
        <v>6.9859999999999998</v>
      </c>
      <c r="AC342" s="22">
        <v>6.952</v>
      </c>
      <c r="AD342" s="22">
        <v>6.8860000000000001</v>
      </c>
      <c r="AE342" s="22">
        <v>6.8470000000000004</v>
      </c>
      <c r="AF342" s="22">
        <v>6.774</v>
      </c>
      <c r="AG342" s="22">
        <v>6.6790000000000003</v>
      </c>
      <c r="AH342" s="6">
        <f t="shared" si="33"/>
        <v>6.7264999999999997</v>
      </c>
      <c r="AI342" s="11"/>
      <c r="AJ342" s="11"/>
      <c r="AK342" s="11"/>
      <c r="AL342" s="11"/>
      <c r="AM342" s="11"/>
      <c r="AN342" s="11"/>
      <c r="AO342" s="11"/>
      <c r="AP342" s="3"/>
      <c r="AQ342" s="8"/>
    </row>
    <row r="343" spans="1:43">
      <c r="A343" s="1">
        <f t="shared" si="36"/>
        <v>341</v>
      </c>
      <c r="B343" s="31" t="s">
        <v>73</v>
      </c>
      <c r="C343" s="1">
        <v>3</v>
      </c>
      <c r="D343" s="4">
        <f t="shared" si="41"/>
        <v>35</v>
      </c>
      <c r="E343" s="4" t="s">
        <v>131</v>
      </c>
      <c r="F343" s="4">
        <v>1</v>
      </c>
      <c r="G343" s="4" t="s">
        <v>11</v>
      </c>
      <c r="H343" s="4" t="s">
        <v>17</v>
      </c>
      <c r="I343" s="4"/>
      <c r="J343" s="5">
        <v>90.1</v>
      </c>
      <c r="K343" s="68"/>
      <c r="L343" s="38">
        <v>3.0470000000000006</v>
      </c>
      <c r="M343" s="127" t="s">
        <v>216</v>
      </c>
      <c r="N343" s="4" t="s">
        <v>13</v>
      </c>
      <c r="O343" s="6">
        <v>3.0440000000000009</v>
      </c>
      <c r="P343" s="4" t="s">
        <v>7</v>
      </c>
      <c r="Q343" s="3" t="s">
        <v>205</v>
      </c>
      <c r="R343" s="22">
        <v>3.5539999999999998</v>
      </c>
      <c r="S343" s="22">
        <v>3.367</v>
      </c>
      <c r="T343" s="6">
        <v>3.3740000000000001</v>
      </c>
      <c r="U343" s="22">
        <v>3.1560000000000001</v>
      </c>
      <c r="V343" s="22">
        <v>3.1909999999999998</v>
      </c>
      <c r="W343" s="22">
        <v>3.1139999999999999</v>
      </c>
      <c r="X343" s="22">
        <v>3.1190000000000002</v>
      </c>
      <c r="Y343" s="22">
        <v>3.0979999999999999</v>
      </c>
      <c r="Z343" s="22">
        <v>3.07</v>
      </c>
      <c r="AA343" s="22">
        <v>3.0680000000000001</v>
      </c>
      <c r="AB343" s="6">
        <v>3.363</v>
      </c>
      <c r="AC343" s="6">
        <v>3.3809999999999998</v>
      </c>
      <c r="AD343" s="6">
        <v>3.375</v>
      </c>
      <c r="AE343" s="6">
        <v>3.1720000000000002</v>
      </c>
      <c r="AF343" s="6">
        <v>3.3370000000000002</v>
      </c>
      <c r="AG343" s="6">
        <v>2.7410000000000001</v>
      </c>
      <c r="AH343" s="6">
        <f t="shared" si="33"/>
        <v>3.0390000000000001</v>
      </c>
      <c r="AI343" s="7">
        <v>3.27</v>
      </c>
      <c r="AJ343" s="7">
        <v>3.13</v>
      </c>
      <c r="AK343" s="7">
        <v>2.92</v>
      </c>
      <c r="AL343" s="7">
        <v>3.09</v>
      </c>
      <c r="AM343" s="7">
        <v>3.04</v>
      </c>
      <c r="AN343" s="7">
        <v>3.13</v>
      </c>
      <c r="AO343" s="7">
        <v>3.09</v>
      </c>
      <c r="AP343" s="3"/>
      <c r="AQ343" s="8"/>
    </row>
    <row r="344" spans="1:43">
      <c r="A344" s="1">
        <f t="shared" si="36"/>
        <v>342</v>
      </c>
      <c r="B344" s="31"/>
      <c r="C344" s="1">
        <v>3</v>
      </c>
      <c r="D344" s="4">
        <f t="shared" si="41"/>
        <v>35</v>
      </c>
      <c r="E344" s="4" t="s">
        <v>128</v>
      </c>
      <c r="F344" s="4">
        <v>1</v>
      </c>
      <c r="G344" s="4" t="s">
        <v>14</v>
      </c>
      <c r="H344" s="4" t="s">
        <v>22</v>
      </c>
      <c r="I344" s="4"/>
      <c r="J344" s="5">
        <v>93.8</v>
      </c>
      <c r="K344" s="63">
        <v>1.6E-2</v>
      </c>
      <c r="L344" s="38">
        <v>5.4639999999999995</v>
      </c>
      <c r="M344" s="127" t="s">
        <v>216</v>
      </c>
      <c r="N344" s="4" t="s">
        <v>13</v>
      </c>
      <c r="O344" s="6">
        <v>5.5019999999999998</v>
      </c>
      <c r="P344" s="4" t="s">
        <v>7</v>
      </c>
      <c r="Q344" s="3" t="s">
        <v>205</v>
      </c>
      <c r="R344" s="22">
        <v>5.6470000000000002</v>
      </c>
      <c r="S344" s="6">
        <v>5.5279999999999996</v>
      </c>
      <c r="T344" s="6">
        <v>5.7949999999999999</v>
      </c>
      <c r="U344" s="22">
        <v>5.5679999999999996</v>
      </c>
      <c r="V344" s="6">
        <v>5.57</v>
      </c>
      <c r="W344" s="22">
        <v>5.4740000000000002</v>
      </c>
      <c r="X344" s="22">
        <v>5.4809999999999999</v>
      </c>
      <c r="Y344" s="22">
        <v>5.4720000000000004</v>
      </c>
      <c r="Z344" s="22">
        <v>5.4509999999999996</v>
      </c>
      <c r="AA344" s="22">
        <v>5.4829999999999997</v>
      </c>
      <c r="AB344" s="6">
        <v>5.8129999999999997</v>
      </c>
      <c r="AC344" s="6">
        <v>5.7110000000000003</v>
      </c>
      <c r="AD344" s="6">
        <v>5.649</v>
      </c>
      <c r="AE344" s="6">
        <v>5.6980000000000004</v>
      </c>
      <c r="AF344" s="6">
        <v>5.6269999999999998</v>
      </c>
      <c r="AG344" s="6">
        <v>5.2279999999999998</v>
      </c>
      <c r="AH344" s="6">
        <f t="shared" si="33"/>
        <v>5.4275000000000002</v>
      </c>
      <c r="AI344" s="7">
        <v>4.59</v>
      </c>
      <c r="AJ344" s="7">
        <v>5.5</v>
      </c>
      <c r="AK344" s="7">
        <v>5.3</v>
      </c>
      <c r="AL344" s="7">
        <v>5.48</v>
      </c>
      <c r="AM344" s="7">
        <v>5.45</v>
      </c>
      <c r="AN344" s="7">
        <v>5.57</v>
      </c>
      <c r="AO344" s="7">
        <v>5.63</v>
      </c>
      <c r="AP344" s="3"/>
      <c r="AQ344" s="8"/>
    </row>
    <row r="345" spans="1:43">
      <c r="A345" s="1">
        <f t="shared" si="36"/>
        <v>343</v>
      </c>
      <c r="B345" s="31"/>
      <c r="C345" s="1">
        <v>3</v>
      </c>
      <c r="D345" s="4">
        <f t="shared" si="41"/>
        <v>35</v>
      </c>
      <c r="E345" s="4" t="s">
        <v>118</v>
      </c>
      <c r="F345" s="4">
        <v>1</v>
      </c>
      <c r="G345" s="4" t="s">
        <v>11</v>
      </c>
      <c r="H345" s="4" t="s">
        <v>17</v>
      </c>
      <c r="I345" s="4"/>
      <c r="J345" s="5">
        <v>91.4</v>
      </c>
      <c r="K345" s="63">
        <v>0.23400000000000001</v>
      </c>
      <c r="L345" s="38">
        <v>5.8270000000000008</v>
      </c>
      <c r="M345" s="127" t="s">
        <v>216</v>
      </c>
      <c r="N345" s="4" t="s">
        <v>13</v>
      </c>
      <c r="O345" s="6">
        <v>5.8360000000000003</v>
      </c>
      <c r="P345" s="4" t="s">
        <v>7</v>
      </c>
      <c r="Q345" s="3" t="s">
        <v>205</v>
      </c>
      <c r="R345" s="22">
        <v>6.0289999999999999</v>
      </c>
      <c r="S345" s="6">
        <v>6.0019999999999998</v>
      </c>
      <c r="T345" s="6">
        <v>6.15</v>
      </c>
      <c r="U345" s="22">
        <v>5.7690000000000001</v>
      </c>
      <c r="V345" s="6">
        <v>5.9429999999999996</v>
      </c>
      <c r="W345" s="22">
        <v>5.875</v>
      </c>
      <c r="X345" s="22">
        <v>5.8730000000000002</v>
      </c>
      <c r="Y345" s="22">
        <v>5.8609999999999998</v>
      </c>
      <c r="Z345" s="22">
        <v>5.8360000000000003</v>
      </c>
      <c r="AA345" s="22">
        <v>5.859</v>
      </c>
      <c r="AB345" s="6">
        <v>5.992</v>
      </c>
      <c r="AC345" s="6">
        <v>6.0279999999999996</v>
      </c>
      <c r="AD345" s="6">
        <v>6.02</v>
      </c>
      <c r="AE345" s="6">
        <v>5.819</v>
      </c>
      <c r="AF345" s="6">
        <v>5.9660000000000002</v>
      </c>
      <c r="AG345" s="6">
        <v>5.4820000000000002</v>
      </c>
      <c r="AH345" s="6">
        <f t="shared" si="33"/>
        <v>5.7240000000000002</v>
      </c>
      <c r="AI345" s="7">
        <v>5.65</v>
      </c>
      <c r="AJ345" s="7">
        <v>6.21</v>
      </c>
      <c r="AK345" s="7">
        <v>5.92</v>
      </c>
      <c r="AL345" s="7">
        <v>6.18</v>
      </c>
      <c r="AM345" s="7">
        <v>6.13</v>
      </c>
      <c r="AN345" s="7">
        <v>6.28</v>
      </c>
      <c r="AO345" s="7">
        <v>6.23</v>
      </c>
      <c r="AP345" s="3"/>
      <c r="AQ345" s="8"/>
    </row>
    <row r="346" spans="1:43">
      <c r="A346" s="1">
        <f t="shared" si="36"/>
        <v>344</v>
      </c>
      <c r="B346" s="31"/>
      <c r="C346" s="1">
        <v>3</v>
      </c>
      <c r="D346" s="4">
        <f t="shared" si="41"/>
        <v>35</v>
      </c>
      <c r="E346" s="4" t="s">
        <v>130</v>
      </c>
      <c r="F346" s="4">
        <v>3</v>
      </c>
      <c r="G346" s="4" t="s">
        <v>11</v>
      </c>
      <c r="H346" s="4" t="s">
        <v>17</v>
      </c>
      <c r="I346" s="4"/>
      <c r="J346" s="5">
        <v>97.7</v>
      </c>
      <c r="K346" s="68"/>
      <c r="L346" s="38">
        <v>2.8090000000000002</v>
      </c>
      <c r="M346" s="127" t="s">
        <v>109</v>
      </c>
      <c r="N346" s="4" t="s">
        <v>13</v>
      </c>
      <c r="O346" s="6">
        <v>2.81</v>
      </c>
      <c r="P346" s="4" t="s">
        <v>7</v>
      </c>
      <c r="Q346" s="3" t="s">
        <v>205</v>
      </c>
      <c r="R346" s="22">
        <v>3.2109999999999999</v>
      </c>
      <c r="S346" s="6">
        <v>3.0779999999999998</v>
      </c>
      <c r="T346" s="6">
        <v>3.0310000000000001</v>
      </c>
      <c r="U346" s="22">
        <v>2.8220000000000001</v>
      </c>
      <c r="V346" s="6">
        <v>2.8879999999999999</v>
      </c>
      <c r="W346" s="46"/>
      <c r="X346" s="46"/>
      <c r="Y346" s="46"/>
      <c r="Z346" s="22">
        <v>2.8279999999999998</v>
      </c>
      <c r="AA346" s="22">
        <v>2.8220000000000001</v>
      </c>
      <c r="AB346" s="6">
        <v>3.11</v>
      </c>
      <c r="AC346" s="6">
        <v>3.1669999999999998</v>
      </c>
      <c r="AD346" s="6">
        <v>3.1360000000000001</v>
      </c>
      <c r="AE346" s="6">
        <v>2.9390000000000001</v>
      </c>
      <c r="AF346" s="6">
        <v>3.0019999999999998</v>
      </c>
      <c r="AG346" s="6">
        <v>2.4420000000000002</v>
      </c>
      <c r="AH346" s="6">
        <f t="shared" si="33"/>
        <v>2.722</v>
      </c>
      <c r="AI346" s="7">
        <v>3.02</v>
      </c>
      <c r="AJ346" s="7">
        <v>2.87</v>
      </c>
      <c r="AK346" s="7">
        <v>2.67</v>
      </c>
      <c r="AL346" s="7">
        <v>2.84</v>
      </c>
      <c r="AM346" s="7">
        <v>2.79</v>
      </c>
      <c r="AN346" s="7">
        <v>2.88</v>
      </c>
      <c r="AO346" s="7">
        <v>2.83</v>
      </c>
      <c r="AP346" s="3"/>
      <c r="AQ346" s="8"/>
    </row>
    <row r="347" spans="1:43">
      <c r="A347" s="1">
        <f t="shared" ref="A347:A402" si="42">A346+1</f>
        <v>345</v>
      </c>
      <c r="B347" s="31"/>
      <c r="C347" s="1">
        <v>3</v>
      </c>
      <c r="D347" s="4">
        <f t="shared" si="41"/>
        <v>35</v>
      </c>
      <c r="E347" s="4" t="s">
        <v>143</v>
      </c>
      <c r="F347" s="4">
        <v>3</v>
      </c>
      <c r="G347" s="4" t="s">
        <v>11</v>
      </c>
      <c r="H347" s="4" t="s">
        <v>17</v>
      </c>
      <c r="I347" s="4"/>
      <c r="J347" s="5">
        <v>98.6</v>
      </c>
      <c r="K347" s="68"/>
      <c r="L347" s="38">
        <v>4.0219999999999994</v>
      </c>
      <c r="M347" s="127" t="s">
        <v>109</v>
      </c>
      <c r="N347" s="4" t="s">
        <v>13</v>
      </c>
      <c r="O347" s="6">
        <v>4.0270000000000001</v>
      </c>
      <c r="P347" s="4" t="s">
        <v>7</v>
      </c>
      <c r="Q347" s="3" t="s">
        <v>205</v>
      </c>
      <c r="R347" s="22">
        <v>4.2809999999999997</v>
      </c>
      <c r="S347" s="6">
        <v>4.2480000000000002</v>
      </c>
      <c r="T347" s="6">
        <v>4.2329999999999997</v>
      </c>
      <c r="U347" s="22">
        <v>3.9510000000000001</v>
      </c>
      <c r="V347" s="6">
        <v>3.9449999999999998</v>
      </c>
      <c r="W347" s="46"/>
      <c r="X347" s="46"/>
      <c r="Y347" s="46"/>
      <c r="Z347" s="22">
        <v>4.0309999999999997</v>
      </c>
      <c r="AA347" s="22">
        <v>4.0170000000000003</v>
      </c>
      <c r="AB347" s="6">
        <v>4.1399999999999997</v>
      </c>
      <c r="AC347" s="6">
        <v>4.149</v>
      </c>
      <c r="AD347" s="6">
        <v>4.1879999999999997</v>
      </c>
      <c r="AE347" s="6">
        <v>4.0039999999999996</v>
      </c>
      <c r="AF347" s="6">
        <v>4.1970000000000001</v>
      </c>
      <c r="AG347" s="6">
        <v>3.6419999999999999</v>
      </c>
      <c r="AH347" s="6">
        <f t="shared" si="33"/>
        <v>3.9195000000000002</v>
      </c>
      <c r="AI347" s="7">
        <v>4.2699999999999996</v>
      </c>
      <c r="AJ347" s="7">
        <v>4.0999999999999996</v>
      </c>
      <c r="AK347" s="7">
        <v>3.88</v>
      </c>
      <c r="AL347" s="7">
        <v>4.0599999999999996</v>
      </c>
      <c r="AM347" s="7">
        <v>4.01</v>
      </c>
      <c r="AN347" s="7">
        <v>4.12</v>
      </c>
      <c r="AO347" s="7">
        <v>4.07</v>
      </c>
      <c r="AP347" s="3"/>
      <c r="AQ347" s="8"/>
    </row>
    <row r="348" spans="1:43">
      <c r="A348" s="1">
        <f t="shared" si="42"/>
        <v>346</v>
      </c>
      <c r="B348" s="31"/>
      <c r="C348" s="1">
        <v>3</v>
      </c>
      <c r="D348" s="4">
        <f t="shared" si="41"/>
        <v>35</v>
      </c>
      <c r="E348" s="4" t="s">
        <v>129</v>
      </c>
      <c r="F348" s="4">
        <v>3</v>
      </c>
      <c r="G348" s="4" t="s">
        <v>14</v>
      </c>
      <c r="H348" s="4" t="s">
        <v>91</v>
      </c>
      <c r="I348" s="4"/>
      <c r="J348" s="5">
        <v>98</v>
      </c>
      <c r="K348" s="68"/>
      <c r="L348" s="38">
        <v>5.3200000000000021</v>
      </c>
      <c r="M348" s="127" t="s">
        <v>109</v>
      </c>
      <c r="N348" s="4" t="s">
        <v>13</v>
      </c>
      <c r="O348" s="6">
        <v>5.3610000000000024</v>
      </c>
      <c r="P348" s="4" t="s">
        <v>7</v>
      </c>
      <c r="Q348" s="3" t="s">
        <v>205</v>
      </c>
      <c r="R348" s="22">
        <v>5.5270000000000001</v>
      </c>
      <c r="S348" s="6">
        <v>5.3959999999999999</v>
      </c>
      <c r="T348" s="6">
        <v>5.641</v>
      </c>
      <c r="U348" s="22">
        <v>5.3929999999999998</v>
      </c>
      <c r="V348" s="6">
        <v>5.4160000000000004</v>
      </c>
      <c r="W348" s="46"/>
      <c r="X348" s="46"/>
      <c r="Y348" s="46"/>
      <c r="Z348" s="22">
        <v>5.3079999999999998</v>
      </c>
      <c r="AA348" s="22">
        <v>5.3390000000000004</v>
      </c>
      <c r="AB348" s="6">
        <v>5.7130000000000001</v>
      </c>
      <c r="AC348" s="6">
        <v>5.61</v>
      </c>
      <c r="AD348" s="6">
        <v>5.5369999999999999</v>
      </c>
      <c r="AE348" s="6">
        <v>5.6029999999999998</v>
      </c>
      <c r="AF348" s="6">
        <v>5.4969999999999999</v>
      </c>
      <c r="AG348" s="6">
        <v>5.0839999999999996</v>
      </c>
      <c r="AH348" s="6">
        <f t="shared" si="33"/>
        <v>5.2904999999999998</v>
      </c>
      <c r="AI348" s="7">
        <v>4.45</v>
      </c>
      <c r="AJ348" s="7">
        <v>5.34</v>
      </c>
      <c r="AK348" s="7">
        <v>5.15</v>
      </c>
      <c r="AL348" s="7">
        <v>5.33</v>
      </c>
      <c r="AM348" s="7">
        <v>5.3</v>
      </c>
      <c r="AN348" s="7">
        <v>5.42</v>
      </c>
      <c r="AO348" s="7">
        <v>5.48</v>
      </c>
      <c r="AP348" s="3"/>
      <c r="AQ348" s="8"/>
    </row>
    <row r="349" spans="1:43">
      <c r="A349" s="1">
        <f t="shared" si="42"/>
        <v>347</v>
      </c>
      <c r="B349" s="31"/>
      <c r="C349" s="1">
        <v>3</v>
      </c>
      <c r="D349" s="4">
        <f t="shared" si="41"/>
        <v>35</v>
      </c>
      <c r="E349" s="4" t="s">
        <v>143</v>
      </c>
      <c r="F349" s="4">
        <v>3</v>
      </c>
      <c r="G349" s="4" t="s">
        <v>11</v>
      </c>
      <c r="H349" s="4" t="s">
        <v>17</v>
      </c>
      <c r="I349" s="4"/>
      <c r="J349" s="5">
        <v>98.5</v>
      </c>
      <c r="K349" s="68"/>
      <c r="L349" s="38">
        <v>6.8070000000000013</v>
      </c>
      <c r="M349" s="127" t="s">
        <v>109</v>
      </c>
      <c r="N349" s="4" t="s">
        <v>13</v>
      </c>
      <c r="O349" s="6">
        <v>6.8120000000000012</v>
      </c>
      <c r="P349" s="4" t="s">
        <v>7</v>
      </c>
      <c r="Q349" s="3" t="s">
        <v>205</v>
      </c>
      <c r="R349" s="22">
        <v>7.3659999999999997</v>
      </c>
      <c r="S349" s="6">
        <v>7.157</v>
      </c>
      <c r="T349" s="6">
        <v>7.1429999999999998</v>
      </c>
      <c r="U349" s="22">
        <v>6.6550000000000002</v>
      </c>
      <c r="V349" s="6">
        <v>6.85</v>
      </c>
      <c r="W349" s="46"/>
      <c r="X349" s="46"/>
      <c r="Y349" s="46"/>
      <c r="Z349" s="22">
        <v>6.8040000000000003</v>
      </c>
      <c r="AA349" s="22">
        <v>6.8070000000000004</v>
      </c>
      <c r="AB349" s="6">
        <v>7.0250000000000004</v>
      </c>
      <c r="AC349" s="6">
        <v>7.008</v>
      </c>
      <c r="AD349" s="6">
        <v>7.04</v>
      </c>
      <c r="AE349" s="6">
        <v>6.9059999999999997</v>
      </c>
      <c r="AF349" s="6">
        <v>7.0869999999999997</v>
      </c>
      <c r="AG349" s="6">
        <v>6.3620000000000001</v>
      </c>
      <c r="AH349" s="6">
        <f t="shared" si="33"/>
        <v>6.7244999999999999</v>
      </c>
      <c r="AI349" s="46"/>
      <c r="AJ349" s="46"/>
      <c r="AK349" s="46"/>
      <c r="AL349" s="46"/>
      <c r="AM349" s="46"/>
      <c r="AN349" s="46"/>
      <c r="AO349" s="46"/>
      <c r="AP349" s="3"/>
      <c r="AQ349" s="8"/>
    </row>
    <row r="350" spans="1:43">
      <c r="A350" s="1">
        <f t="shared" si="42"/>
        <v>348</v>
      </c>
      <c r="B350" s="31"/>
      <c r="C350" s="1">
        <v>3</v>
      </c>
      <c r="D350" s="4">
        <f t="shared" si="41"/>
        <v>35</v>
      </c>
      <c r="E350" s="4" t="s">
        <v>143</v>
      </c>
      <c r="F350" s="4">
        <v>3</v>
      </c>
      <c r="G350" s="4" t="s">
        <v>14</v>
      </c>
      <c r="H350" s="4" t="s">
        <v>23</v>
      </c>
      <c r="I350" s="4"/>
      <c r="J350" s="5">
        <v>98.2</v>
      </c>
      <c r="K350" s="68"/>
      <c r="L350" s="38">
        <v>6.9969999999999999</v>
      </c>
      <c r="M350" s="127" t="s">
        <v>109</v>
      </c>
      <c r="N350" s="4" t="s">
        <v>13</v>
      </c>
      <c r="O350" s="6">
        <v>6.9289999999999994</v>
      </c>
      <c r="P350" s="4" t="s">
        <v>7</v>
      </c>
      <c r="Q350" s="3"/>
      <c r="R350" s="22">
        <v>7.1630000000000003</v>
      </c>
      <c r="S350" s="6">
        <v>7.0369999999999999</v>
      </c>
      <c r="T350" s="6">
        <v>7.306</v>
      </c>
      <c r="U350" s="22">
        <v>7.07</v>
      </c>
      <c r="V350" s="6">
        <v>7.0640000000000001</v>
      </c>
      <c r="W350" s="46"/>
      <c r="X350" s="46"/>
      <c r="Y350" s="46"/>
      <c r="Z350" s="22">
        <v>6.9829999999999997</v>
      </c>
      <c r="AA350" s="22">
        <v>7.0129999999999999</v>
      </c>
      <c r="AB350" s="6">
        <v>7.3310000000000004</v>
      </c>
      <c r="AC350" s="6">
        <v>7.2549999999999999</v>
      </c>
      <c r="AD350" s="6">
        <v>7.2080000000000002</v>
      </c>
      <c r="AE350" s="6">
        <v>7.2249999999999996</v>
      </c>
      <c r="AF350" s="6">
        <v>7.1509999999999998</v>
      </c>
      <c r="AG350" s="6">
        <v>6.7329999999999997</v>
      </c>
      <c r="AH350" s="6">
        <f t="shared" si="33"/>
        <v>6.9420000000000002</v>
      </c>
      <c r="AI350" s="7">
        <v>6.34</v>
      </c>
      <c r="AJ350" s="7">
        <v>7</v>
      </c>
      <c r="AK350" s="7">
        <v>6.76</v>
      </c>
      <c r="AL350" s="7">
        <v>6.96</v>
      </c>
      <c r="AM350" s="7">
        <v>6.91</v>
      </c>
      <c r="AN350" s="7">
        <v>7.02</v>
      </c>
      <c r="AO350" s="7">
        <v>7.01</v>
      </c>
      <c r="AP350" s="3"/>
      <c r="AQ350" s="8"/>
    </row>
    <row r="351" spans="1:43">
      <c r="A351" s="1">
        <f t="shared" si="42"/>
        <v>349</v>
      </c>
      <c r="B351" s="31"/>
      <c r="C351" s="1">
        <v>3</v>
      </c>
      <c r="D351" s="4">
        <f t="shared" si="41"/>
        <v>35</v>
      </c>
      <c r="E351" s="4" t="s">
        <v>115</v>
      </c>
      <c r="F351" s="4">
        <v>1</v>
      </c>
      <c r="G351" s="4" t="s">
        <v>11</v>
      </c>
      <c r="H351" s="4" t="s">
        <v>17</v>
      </c>
      <c r="I351" s="4" t="s">
        <v>251</v>
      </c>
      <c r="J351" s="5">
        <v>87.4</v>
      </c>
      <c r="K351" s="63">
        <v>0</v>
      </c>
      <c r="L351" s="38">
        <v>0.64700000000000002</v>
      </c>
      <c r="M351" s="127" t="s">
        <v>216</v>
      </c>
      <c r="N351" s="4" t="s">
        <v>13</v>
      </c>
      <c r="O351" s="6">
        <v>0.64499999999999991</v>
      </c>
      <c r="P351" s="4" t="s">
        <v>7</v>
      </c>
      <c r="Q351" s="3" t="s">
        <v>205</v>
      </c>
      <c r="R351" s="6">
        <v>1.0620000000000001</v>
      </c>
      <c r="S351" s="6">
        <v>0.90300000000000002</v>
      </c>
      <c r="T351" s="6">
        <v>0.84699999999999998</v>
      </c>
      <c r="U351" s="6">
        <v>0.76200000000000001</v>
      </c>
      <c r="V351" s="6">
        <v>0.80900000000000005</v>
      </c>
      <c r="W351" s="6">
        <v>0.73799999999999999</v>
      </c>
      <c r="X351" s="6">
        <v>0.73299999999999998</v>
      </c>
      <c r="Y351" s="6">
        <v>0.70399999999999996</v>
      </c>
      <c r="Z351" s="22">
        <v>0.67800000000000005</v>
      </c>
      <c r="AA351" s="22">
        <v>0.66800000000000004</v>
      </c>
      <c r="AB351" s="6">
        <v>0.93100000000000005</v>
      </c>
      <c r="AC351" s="6">
        <v>1.0149999999999999</v>
      </c>
      <c r="AD351" s="6">
        <v>0.97699999999999998</v>
      </c>
      <c r="AE351" s="6">
        <v>0.74399999999999999</v>
      </c>
      <c r="AF351" s="6">
        <v>0.80400000000000005</v>
      </c>
      <c r="AG351" s="6">
        <v>0.23699999999999999</v>
      </c>
      <c r="AH351" s="6">
        <f t="shared" si="33"/>
        <v>0.52049999999999996</v>
      </c>
      <c r="AI351" s="7">
        <v>0.72</v>
      </c>
      <c r="AJ351" s="7">
        <v>0.69</v>
      </c>
      <c r="AK351" s="7">
        <v>0.52</v>
      </c>
      <c r="AL351" s="7">
        <v>0.66</v>
      </c>
      <c r="AM351" s="7">
        <v>0.62</v>
      </c>
      <c r="AN351" s="7">
        <v>0.68</v>
      </c>
      <c r="AO351" s="7">
        <v>0.66</v>
      </c>
      <c r="AP351" s="3"/>
      <c r="AQ351" s="8"/>
    </row>
    <row r="352" spans="1:43">
      <c r="A352" s="1">
        <f t="shared" si="42"/>
        <v>350</v>
      </c>
      <c r="B352" s="31" t="s">
        <v>175</v>
      </c>
      <c r="C352" s="1">
        <v>5</v>
      </c>
      <c r="D352" s="4">
        <f t="shared" si="41"/>
        <v>35</v>
      </c>
      <c r="E352" s="4" t="s">
        <v>128</v>
      </c>
      <c r="F352" s="4">
        <v>1</v>
      </c>
      <c r="G352" s="4" t="s">
        <v>11</v>
      </c>
      <c r="H352" s="4" t="s">
        <v>12</v>
      </c>
      <c r="I352" s="4"/>
      <c r="J352" s="12">
        <v>93.1</v>
      </c>
      <c r="K352" s="63">
        <v>2E-3</v>
      </c>
      <c r="L352" s="38">
        <v>3.7340000000000004</v>
      </c>
      <c r="M352" s="127" t="s">
        <v>203</v>
      </c>
      <c r="N352" s="4" t="s">
        <v>13</v>
      </c>
      <c r="O352" s="6">
        <v>3.7309999999999999</v>
      </c>
      <c r="P352" s="4" t="s">
        <v>7</v>
      </c>
      <c r="Q352" s="3" t="s">
        <v>205</v>
      </c>
      <c r="R352" s="22">
        <v>3.89</v>
      </c>
      <c r="S352" s="6">
        <v>3.7429999999999999</v>
      </c>
      <c r="T352" s="22">
        <v>3.9390000000000001</v>
      </c>
      <c r="U352" s="22">
        <v>3.5819999999999999</v>
      </c>
      <c r="V352" s="22">
        <v>3.83</v>
      </c>
      <c r="W352" s="22">
        <v>3.7509999999999999</v>
      </c>
      <c r="X352" s="22">
        <v>3.7570000000000001</v>
      </c>
      <c r="Y352" s="22">
        <v>3.7530000000000001</v>
      </c>
      <c r="Z352" s="22">
        <v>3.7370000000000001</v>
      </c>
      <c r="AA352" s="22">
        <v>3.74</v>
      </c>
      <c r="AB352" s="6">
        <v>3.972</v>
      </c>
      <c r="AC352" s="6">
        <v>3.9750000000000001</v>
      </c>
      <c r="AD352" s="6">
        <v>3.899</v>
      </c>
      <c r="AE352" s="6">
        <v>3.766</v>
      </c>
      <c r="AF352" s="6">
        <v>3.7360000000000002</v>
      </c>
      <c r="AG352" s="6">
        <v>3.5169999999999999</v>
      </c>
      <c r="AH352" s="6">
        <f t="shared" si="33"/>
        <v>3.6265000000000001</v>
      </c>
      <c r="AI352" s="11"/>
      <c r="AJ352" s="11"/>
      <c r="AK352" s="11"/>
      <c r="AL352" s="11"/>
      <c r="AM352" s="11"/>
      <c r="AN352" s="11"/>
      <c r="AO352" s="11"/>
      <c r="AP352" s="3"/>
      <c r="AQ352" s="8"/>
    </row>
    <row r="353" spans="1:43">
      <c r="A353" s="1">
        <f t="shared" si="42"/>
        <v>351</v>
      </c>
      <c r="B353" s="31"/>
      <c r="C353" s="1">
        <v>5</v>
      </c>
      <c r="D353" s="4">
        <f t="shared" si="41"/>
        <v>35</v>
      </c>
      <c r="E353" s="4" t="s">
        <v>131</v>
      </c>
      <c r="F353" s="4">
        <v>1</v>
      </c>
      <c r="G353" s="4" t="s">
        <v>11</v>
      </c>
      <c r="H353" s="4" t="s">
        <v>17</v>
      </c>
      <c r="I353" s="4"/>
      <c r="J353" s="12">
        <v>91.4</v>
      </c>
      <c r="K353" s="68"/>
      <c r="L353" s="38">
        <v>6.9879999999999995</v>
      </c>
      <c r="M353" s="127" t="s">
        <v>203</v>
      </c>
      <c r="N353" s="4" t="s">
        <v>13</v>
      </c>
      <c r="O353" s="6">
        <v>6.9729999999999981</v>
      </c>
      <c r="P353" s="4" t="s">
        <v>7</v>
      </c>
      <c r="Q353" s="3" t="s">
        <v>205</v>
      </c>
      <c r="R353" s="22">
        <v>7.4580000000000002</v>
      </c>
      <c r="S353" s="6">
        <v>7.19</v>
      </c>
      <c r="T353" s="22">
        <v>7.24</v>
      </c>
      <c r="U353" s="22">
        <v>6.7149999999999999</v>
      </c>
      <c r="V353" s="22">
        <v>7.0979999999999999</v>
      </c>
      <c r="W353" s="22">
        <v>7.0449999999999999</v>
      </c>
      <c r="X353" s="22">
        <v>7.0460000000000003</v>
      </c>
      <c r="Y353" s="22">
        <v>7.024</v>
      </c>
      <c r="Z353" s="22">
        <v>7.0170000000000003</v>
      </c>
      <c r="AA353" s="22">
        <v>6.9960000000000004</v>
      </c>
      <c r="AB353" s="6">
        <v>7.29</v>
      </c>
      <c r="AC353" s="6">
        <v>7.2789999999999999</v>
      </c>
      <c r="AD353" s="6">
        <v>7.25</v>
      </c>
      <c r="AE353" s="6">
        <v>7.0970000000000004</v>
      </c>
      <c r="AF353" s="6">
        <v>7.1890000000000001</v>
      </c>
      <c r="AG353" s="6">
        <v>6.6989999999999998</v>
      </c>
      <c r="AH353" s="6">
        <f t="shared" si="33"/>
        <v>6.944</v>
      </c>
      <c r="AI353" s="11"/>
      <c r="AJ353" s="11"/>
      <c r="AK353" s="11"/>
      <c r="AL353" s="11"/>
      <c r="AM353" s="11"/>
      <c r="AN353" s="11"/>
      <c r="AO353" s="11"/>
      <c r="AP353" s="3"/>
      <c r="AQ353" s="8"/>
    </row>
    <row r="354" spans="1:43">
      <c r="A354" s="1">
        <f t="shared" si="42"/>
        <v>352</v>
      </c>
      <c r="B354" s="31"/>
      <c r="C354" s="1">
        <v>5</v>
      </c>
      <c r="D354" s="4">
        <f t="shared" si="41"/>
        <v>35</v>
      </c>
      <c r="E354" s="4" t="s">
        <v>137</v>
      </c>
      <c r="F354" s="4">
        <v>1</v>
      </c>
      <c r="G354" s="4" t="s">
        <v>14</v>
      </c>
      <c r="H354" s="4" t="s">
        <v>170</v>
      </c>
      <c r="I354" s="4"/>
      <c r="J354" s="12">
        <v>93.3</v>
      </c>
      <c r="K354" s="63">
        <v>2.5999999999999999E-2</v>
      </c>
      <c r="L354" s="38">
        <v>8.5039999999999996</v>
      </c>
      <c r="M354" s="127" t="s">
        <v>203</v>
      </c>
      <c r="N354" s="4" t="s">
        <v>13</v>
      </c>
      <c r="O354" s="6">
        <v>8.5220000000000002</v>
      </c>
      <c r="P354" s="4" t="s">
        <v>7</v>
      </c>
      <c r="Q354" s="3" t="s">
        <v>205</v>
      </c>
      <c r="R354" s="22">
        <v>8.5329999999999995</v>
      </c>
      <c r="S354" s="6">
        <v>8.2919999999999998</v>
      </c>
      <c r="T354" s="22">
        <v>8.9030000000000005</v>
      </c>
      <c r="U354" s="22">
        <v>8.7420000000000009</v>
      </c>
      <c r="V354" s="22">
        <v>8.6929999999999996</v>
      </c>
      <c r="W354" s="22">
        <v>8.5489999999999995</v>
      </c>
      <c r="X354" s="22">
        <v>8.5519999999999996</v>
      </c>
      <c r="Y354" s="22">
        <v>8.5530000000000008</v>
      </c>
      <c r="Z354" s="22">
        <v>8.4979999999999993</v>
      </c>
      <c r="AA354" s="22">
        <v>8.5180000000000007</v>
      </c>
      <c r="AB354" s="6">
        <v>8.9480000000000004</v>
      </c>
      <c r="AC354" s="6">
        <v>8.8230000000000004</v>
      </c>
      <c r="AD354" s="6">
        <v>8.6470000000000002</v>
      </c>
      <c r="AE354" s="6">
        <v>8.7739999999999991</v>
      </c>
      <c r="AF354" s="6">
        <v>8.4190000000000005</v>
      </c>
      <c r="AG354" s="6">
        <v>8.5030000000000001</v>
      </c>
      <c r="AH354" s="6">
        <f t="shared" si="33"/>
        <v>8.4610000000000003</v>
      </c>
      <c r="AI354" s="11"/>
      <c r="AJ354" s="11"/>
      <c r="AK354" s="11"/>
      <c r="AL354" s="11"/>
      <c r="AM354" s="11"/>
      <c r="AN354" s="11"/>
      <c r="AO354" s="11"/>
      <c r="AP354" s="3"/>
      <c r="AQ354" s="8"/>
    </row>
    <row r="355" spans="1:43">
      <c r="A355" s="1">
        <f t="shared" si="42"/>
        <v>353</v>
      </c>
      <c r="B355" s="31"/>
      <c r="C355" s="1">
        <v>5</v>
      </c>
      <c r="D355" s="4">
        <f t="shared" si="41"/>
        <v>35</v>
      </c>
      <c r="E355" s="4" t="s">
        <v>129</v>
      </c>
      <c r="F355" s="4">
        <v>3</v>
      </c>
      <c r="G355" s="4" t="s">
        <v>11</v>
      </c>
      <c r="H355" s="4" t="s">
        <v>12</v>
      </c>
      <c r="I355" s="4"/>
      <c r="J355" s="12">
        <v>98.2</v>
      </c>
      <c r="K355" s="68"/>
      <c r="L355" s="38">
        <v>3.0260000000000002</v>
      </c>
      <c r="M355" s="129" t="s">
        <v>110</v>
      </c>
      <c r="N355" s="4" t="s">
        <v>13</v>
      </c>
      <c r="O355" s="6">
        <v>3.0320000000000005</v>
      </c>
      <c r="P355" s="4" t="s">
        <v>7</v>
      </c>
      <c r="Q355" s="3" t="s">
        <v>205</v>
      </c>
      <c r="R355" s="22">
        <v>3.1680000000000001</v>
      </c>
      <c r="S355" s="6">
        <v>3.0270000000000001</v>
      </c>
      <c r="T355" s="22">
        <v>3.1739999999999999</v>
      </c>
      <c r="U355" s="22">
        <v>2.9369999999999998</v>
      </c>
      <c r="V355" s="22">
        <v>3.0710000000000002</v>
      </c>
      <c r="W355" s="46"/>
      <c r="X355" s="46"/>
      <c r="Y355" s="46"/>
      <c r="Z355" s="22">
        <v>3.028</v>
      </c>
      <c r="AA355" s="46"/>
      <c r="AB355" s="6">
        <v>3.32</v>
      </c>
      <c r="AC355" s="6">
        <v>3.331</v>
      </c>
      <c r="AD355" s="6">
        <v>3.23</v>
      </c>
      <c r="AE355" s="6">
        <v>3.1419999999999999</v>
      </c>
      <c r="AF355" s="6">
        <v>3.012</v>
      </c>
      <c r="AG355" s="6">
        <v>2.7719999999999998</v>
      </c>
      <c r="AH355" s="6">
        <f t="shared" si="33"/>
        <v>2.8919999999999999</v>
      </c>
      <c r="AI355" s="11"/>
      <c r="AJ355" s="11"/>
      <c r="AK355" s="11"/>
      <c r="AL355" s="11"/>
      <c r="AM355" s="11"/>
      <c r="AN355" s="11"/>
      <c r="AO355" s="11"/>
      <c r="AP355" s="3"/>
      <c r="AQ355" s="8"/>
    </row>
    <row r="356" spans="1:43">
      <c r="A356" s="1">
        <f t="shared" si="42"/>
        <v>354</v>
      </c>
      <c r="B356" s="31"/>
      <c r="C356" s="1">
        <v>5</v>
      </c>
      <c r="D356" s="4">
        <f t="shared" si="41"/>
        <v>35</v>
      </c>
      <c r="E356" s="4" t="s">
        <v>142</v>
      </c>
      <c r="F356" s="4">
        <v>3</v>
      </c>
      <c r="G356" s="4" t="s">
        <v>11</v>
      </c>
      <c r="H356" s="4" t="s">
        <v>17</v>
      </c>
      <c r="I356" s="4"/>
      <c r="J356" s="12">
        <v>98.9</v>
      </c>
      <c r="K356" s="68"/>
      <c r="L356" s="38">
        <v>5.4509999999999996</v>
      </c>
      <c r="M356" s="129" t="s">
        <v>110</v>
      </c>
      <c r="N356" s="4" t="s">
        <v>13</v>
      </c>
      <c r="O356" s="6">
        <v>5.4639999999999995</v>
      </c>
      <c r="P356" s="4" t="s">
        <v>7</v>
      </c>
      <c r="Q356" s="3" t="s">
        <v>205</v>
      </c>
      <c r="R356" s="22">
        <v>5.8949999999999996</v>
      </c>
      <c r="S356" s="6">
        <v>5.7670000000000003</v>
      </c>
      <c r="T356" s="22">
        <v>5.968</v>
      </c>
      <c r="U356" s="22">
        <v>5.1529999999999996</v>
      </c>
      <c r="V356" s="22">
        <v>5.4050000000000002</v>
      </c>
      <c r="W356" s="46"/>
      <c r="X356" s="46"/>
      <c r="Y356" s="46"/>
      <c r="Z356" s="22">
        <v>5.4530000000000003</v>
      </c>
      <c r="AA356" s="46"/>
      <c r="AB356" s="6">
        <v>5.532</v>
      </c>
      <c r="AC356" s="6">
        <v>5.5529999999999999</v>
      </c>
      <c r="AD356" s="6">
        <v>5.6319999999999997</v>
      </c>
      <c r="AE356" s="6">
        <v>5.4130000000000003</v>
      </c>
      <c r="AF356" s="6">
        <v>5.7190000000000003</v>
      </c>
      <c r="AG356" s="6">
        <v>5.0380000000000003</v>
      </c>
      <c r="AH356" s="6">
        <f t="shared" si="33"/>
        <v>5.3785000000000007</v>
      </c>
      <c r="AI356" s="11"/>
      <c r="AJ356" s="11"/>
      <c r="AK356" s="11"/>
      <c r="AL356" s="11"/>
      <c r="AM356" s="11"/>
      <c r="AN356" s="11"/>
      <c r="AO356" s="11"/>
      <c r="AP356" s="3"/>
      <c r="AQ356" s="8"/>
    </row>
    <row r="357" spans="1:43">
      <c r="A357" s="1">
        <f t="shared" si="42"/>
        <v>355</v>
      </c>
      <c r="B357" s="31"/>
      <c r="C357" s="1">
        <v>5</v>
      </c>
      <c r="D357" s="4">
        <f t="shared" si="41"/>
        <v>35</v>
      </c>
      <c r="E357" s="4" t="s">
        <v>130</v>
      </c>
      <c r="F357" s="4">
        <v>3</v>
      </c>
      <c r="G357" s="4" t="s">
        <v>11</v>
      </c>
      <c r="H357" s="4" t="s">
        <v>17</v>
      </c>
      <c r="I357" s="4"/>
      <c r="J357" s="12">
        <v>98.4</v>
      </c>
      <c r="K357" s="68"/>
      <c r="L357" s="38">
        <v>5.7990000000000013</v>
      </c>
      <c r="M357" s="129" t="s">
        <v>110</v>
      </c>
      <c r="N357" s="4" t="s">
        <v>13</v>
      </c>
      <c r="O357" s="6">
        <v>5.8020000000000005</v>
      </c>
      <c r="P357" s="4" t="s">
        <v>7</v>
      </c>
      <c r="Q357" s="3" t="s">
        <v>205</v>
      </c>
      <c r="R357" s="22">
        <v>6.1289999999999996</v>
      </c>
      <c r="S357" s="6">
        <v>5.9850000000000003</v>
      </c>
      <c r="T357" s="22">
        <v>5.7130000000000001</v>
      </c>
      <c r="U357" s="22">
        <v>5.6479999999999997</v>
      </c>
      <c r="V357" s="22">
        <v>5.8380000000000001</v>
      </c>
      <c r="W357" s="46"/>
      <c r="X357" s="46"/>
      <c r="Y357" s="46"/>
      <c r="Z357" s="22">
        <v>5.8120000000000003</v>
      </c>
      <c r="AA357" s="46"/>
      <c r="AB357" s="6">
        <v>6.1989999999999998</v>
      </c>
      <c r="AC357" s="6">
        <v>6.2060000000000004</v>
      </c>
      <c r="AD357" s="6">
        <v>6.1319999999999997</v>
      </c>
      <c r="AE357" s="6">
        <v>6.048</v>
      </c>
      <c r="AF357" s="6">
        <v>5.968</v>
      </c>
      <c r="AG357" s="6">
        <v>5.47</v>
      </c>
      <c r="AH357" s="6">
        <f t="shared" si="33"/>
        <v>5.7189999999999994</v>
      </c>
      <c r="AI357" s="11"/>
      <c r="AJ357" s="11"/>
      <c r="AK357" s="11"/>
      <c r="AL357" s="11"/>
      <c r="AM357" s="11"/>
      <c r="AN357" s="11"/>
      <c r="AO357" s="11"/>
      <c r="AP357" s="3"/>
      <c r="AQ357" s="8"/>
    </row>
    <row r="358" spans="1:43">
      <c r="A358" s="1">
        <f t="shared" si="42"/>
        <v>356</v>
      </c>
      <c r="B358" s="31" t="s">
        <v>285</v>
      </c>
      <c r="C358" s="1">
        <v>11</v>
      </c>
      <c r="D358" s="4">
        <f t="shared" si="41"/>
        <v>1016</v>
      </c>
      <c r="E358" s="4" t="s">
        <v>137</v>
      </c>
      <c r="F358" s="4">
        <v>1</v>
      </c>
      <c r="G358" s="4" t="s">
        <v>11</v>
      </c>
      <c r="H358" s="4" t="s">
        <v>17</v>
      </c>
      <c r="I358" s="4"/>
      <c r="J358" s="12"/>
      <c r="K358" s="63" t="s">
        <v>170</v>
      </c>
      <c r="L358" s="38">
        <v>4.3360000000000003</v>
      </c>
      <c r="M358" s="129" t="s">
        <v>113</v>
      </c>
      <c r="N358" s="4" t="s">
        <v>13</v>
      </c>
      <c r="O358" s="60"/>
      <c r="P358" s="9"/>
      <c r="Q358" s="3"/>
      <c r="R358" s="22">
        <v>4.524</v>
      </c>
      <c r="S358" s="22">
        <v>4.3559999999999999</v>
      </c>
      <c r="T358" s="22">
        <v>4.827</v>
      </c>
      <c r="U358" s="11"/>
      <c r="V358" s="40">
        <v>4.5339999999999998</v>
      </c>
      <c r="W358" s="40">
        <v>4.4160000000000004</v>
      </c>
      <c r="X358" s="40">
        <v>4.4210000000000003</v>
      </c>
      <c r="Y358" s="40">
        <v>4.4000000000000004</v>
      </c>
      <c r="Z358" s="22">
        <v>4.34</v>
      </c>
      <c r="AA358" s="11"/>
      <c r="AB358" s="22">
        <v>4.3970000000000002</v>
      </c>
      <c r="AC358" s="22">
        <v>4.4059999999999997</v>
      </c>
      <c r="AD358" s="22">
        <v>4.4000000000000004</v>
      </c>
      <c r="AE358" s="22">
        <v>4.1660000000000004</v>
      </c>
      <c r="AF358" s="22">
        <v>4.327</v>
      </c>
      <c r="AG358" s="22">
        <v>4.3609999999999998</v>
      </c>
      <c r="AH358" s="22">
        <f t="shared" ref="AH358:AH363" si="43">SUM(AF358:AG358)/2</f>
        <v>4.3439999999999994</v>
      </c>
      <c r="AI358" s="11"/>
      <c r="AJ358" s="11"/>
      <c r="AK358" s="11"/>
      <c r="AL358" s="11"/>
      <c r="AM358" s="11"/>
      <c r="AN358" s="11"/>
      <c r="AO358" s="11"/>
      <c r="AP358" s="3"/>
      <c r="AQ358" s="8"/>
    </row>
    <row r="359" spans="1:43">
      <c r="A359" s="1">
        <f t="shared" si="42"/>
        <v>357</v>
      </c>
      <c r="B359" s="31"/>
      <c r="C359" s="1">
        <v>11</v>
      </c>
      <c r="D359" s="4">
        <f t="shared" si="41"/>
        <v>1016</v>
      </c>
      <c r="E359" s="4" t="s">
        <v>128</v>
      </c>
      <c r="F359" s="4">
        <v>1</v>
      </c>
      <c r="G359" s="4" t="s">
        <v>14</v>
      </c>
      <c r="H359" s="4" t="s">
        <v>170</v>
      </c>
      <c r="I359" s="4"/>
      <c r="J359" s="12"/>
      <c r="K359" s="63" t="s">
        <v>170</v>
      </c>
      <c r="L359" s="38">
        <v>4.8159999999999998</v>
      </c>
      <c r="M359" s="129" t="s">
        <v>113</v>
      </c>
      <c r="N359" s="4" t="s">
        <v>13</v>
      </c>
      <c r="O359" s="60"/>
      <c r="P359" s="9"/>
      <c r="Q359" s="3"/>
      <c r="R359" s="22">
        <v>4.8899999999999997</v>
      </c>
      <c r="S359" s="22">
        <v>4.6509999999999998</v>
      </c>
      <c r="T359" s="22">
        <v>5.2039999999999997</v>
      </c>
      <c r="U359" s="11"/>
      <c r="V359" s="40">
        <v>4.915</v>
      </c>
      <c r="W359" s="40">
        <v>4.8550000000000004</v>
      </c>
      <c r="X359" s="40">
        <v>4.8620000000000001</v>
      </c>
      <c r="Y359" s="40">
        <v>4.8540000000000001</v>
      </c>
      <c r="Z359" s="22">
        <v>4.8070000000000004</v>
      </c>
      <c r="AA359" s="11"/>
      <c r="AB359" s="22">
        <v>5.0949999999999998</v>
      </c>
      <c r="AC359" s="22">
        <v>5.0069999999999997</v>
      </c>
      <c r="AD359" s="22">
        <v>4.8890000000000002</v>
      </c>
      <c r="AE359" s="22">
        <v>4.944</v>
      </c>
      <c r="AF359" s="22">
        <v>4.7220000000000004</v>
      </c>
      <c r="AG359" s="22">
        <v>4.8099999999999996</v>
      </c>
      <c r="AH359" s="22">
        <f t="shared" si="43"/>
        <v>4.766</v>
      </c>
      <c r="AI359" s="11"/>
      <c r="AJ359" s="11"/>
      <c r="AK359" s="11"/>
      <c r="AL359" s="11"/>
      <c r="AM359" s="11"/>
      <c r="AN359" s="11"/>
      <c r="AO359" s="11"/>
      <c r="AP359" s="3"/>
      <c r="AQ359" s="8"/>
    </row>
    <row r="360" spans="1:43">
      <c r="A360" s="1">
        <f t="shared" si="42"/>
        <v>358</v>
      </c>
      <c r="B360" s="31"/>
      <c r="C360" s="1">
        <v>11</v>
      </c>
      <c r="D360" s="4">
        <f t="shared" si="41"/>
        <v>1016</v>
      </c>
      <c r="E360" s="4" t="s">
        <v>118</v>
      </c>
      <c r="F360" s="4">
        <v>1</v>
      </c>
      <c r="G360" s="4" t="s">
        <v>11</v>
      </c>
      <c r="H360" s="4" t="s">
        <v>17</v>
      </c>
      <c r="I360" s="4" t="s">
        <v>274</v>
      </c>
      <c r="J360" s="12"/>
      <c r="K360" s="63" t="s">
        <v>170</v>
      </c>
      <c r="L360" s="38">
        <v>4.8659999999999997</v>
      </c>
      <c r="M360" s="129" t="s">
        <v>276</v>
      </c>
      <c r="N360" s="4" t="s">
        <v>13</v>
      </c>
      <c r="O360" s="60"/>
      <c r="P360" s="9"/>
      <c r="Q360" s="3"/>
      <c r="R360" s="40">
        <v>5.165</v>
      </c>
      <c r="S360" s="22">
        <v>4.7789999999999999</v>
      </c>
      <c r="T360" s="22">
        <v>5.2690000000000001</v>
      </c>
      <c r="U360" s="11"/>
      <c r="V360" s="40">
        <v>5.0229999999999997</v>
      </c>
      <c r="W360" s="40">
        <v>4.9219999999999997</v>
      </c>
      <c r="X360" s="40">
        <v>4.915</v>
      </c>
      <c r="Y360" s="40">
        <v>4.91</v>
      </c>
      <c r="Z360" s="22">
        <v>4.8499999999999996</v>
      </c>
      <c r="AA360" s="11"/>
      <c r="AB360" s="22">
        <v>4.8170000000000002</v>
      </c>
      <c r="AC360" s="22">
        <v>4.8970000000000002</v>
      </c>
      <c r="AD360" s="22">
        <v>4.8609999999999998</v>
      </c>
      <c r="AE360" s="22">
        <v>4.5880000000000001</v>
      </c>
      <c r="AF360" s="22">
        <v>4.6589999999999998</v>
      </c>
      <c r="AG360" s="22">
        <v>4.7919999999999998</v>
      </c>
      <c r="AH360" s="22">
        <f t="shared" si="43"/>
        <v>4.7255000000000003</v>
      </c>
      <c r="AI360" s="11"/>
      <c r="AJ360" s="11"/>
      <c r="AK360" s="11"/>
      <c r="AL360" s="11"/>
      <c r="AM360" s="11"/>
      <c r="AN360" s="11"/>
      <c r="AO360" s="11"/>
      <c r="AP360" s="3"/>
      <c r="AQ360" s="8"/>
    </row>
    <row r="361" spans="1:43">
      <c r="A361" s="1">
        <f t="shared" si="42"/>
        <v>359</v>
      </c>
      <c r="B361" s="31"/>
      <c r="C361" s="1">
        <v>11</v>
      </c>
      <c r="D361" s="4">
        <f t="shared" si="41"/>
        <v>1016</v>
      </c>
      <c r="E361" s="4" t="s">
        <v>131</v>
      </c>
      <c r="F361" s="4">
        <v>1</v>
      </c>
      <c r="G361" s="4" t="s">
        <v>14</v>
      </c>
      <c r="H361" s="4" t="s">
        <v>170</v>
      </c>
      <c r="I361" s="4"/>
      <c r="J361" s="12"/>
      <c r="K361" s="68"/>
      <c r="L361" s="38">
        <v>5.4569999999999999</v>
      </c>
      <c r="M361" s="129" t="s">
        <v>113</v>
      </c>
      <c r="N361" s="4" t="s">
        <v>13</v>
      </c>
      <c r="O361" s="60"/>
      <c r="P361" s="9"/>
      <c r="Q361" s="3"/>
      <c r="R361" s="40">
        <v>5.48</v>
      </c>
      <c r="S361" s="22">
        <v>5.2380000000000004</v>
      </c>
      <c r="T361" s="22">
        <v>5.8570000000000002</v>
      </c>
      <c r="U361" s="11"/>
      <c r="V361" s="40">
        <v>5.5510000000000002</v>
      </c>
      <c r="W361" s="40">
        <v>5.4909999999999997</v>
      </c>
      <c r="X361" s="40">
        <v>5.4980000000000002</v>
      </c>
      <c r="Y361" s="40">
        <v>5.4909999999999997</v>
      </c>
      <c r="Z361" s="22">
        <v>5.44</v>
      </c>
      <c r="AA361" s="11"/>
      <c r="AB361" s="22">
        <v>5.6980000000000004</v>
      </c>
      <c r="AC361" s="22">
        <v>5.6040000000000001</v>
      </c>
      <c r="AD361" s="22">
        <v>5.4820000000000002</v>
      </c>
      <c r="AE361" s="22">
        <v>5.548</v>
      </c>
      <c r="AF361" s="22">
        <v>5.3140000000000001</v>
      </c>
      <c r="AG361" s="22">
        <v>5.4379999999999997</v>
      </c>
      <c r="AH361" s="22">
        <f t="shared" si="43"/>
        <v>5.3759999999999994</v>
      </c>
      <c r="AI361" s="11"/>
      <c r="AJ361" s="11"/>
      <c r="AK361" s="11"/>
      <c r="AL361" s="11"/>
      <c r="AM361" s="11"/>
      <c r="AN361" s="11"/>
      <c r="AO361" s="11"/>
      <c r="AP361" s="3"/>
      <c r="AQ361" s="8"/>
    </row>
    <row r="362" spans="1:43">
      <c r="A362" s="1">
        <f t="shared" si="42"/>
        <v>360</v>
      </c>
      <c r="B362" s="31" t="s">
        <v>561</v>
      </c>
      <c r="C362" s="1">
        <v>11</v>
      </c>
      <c r="D362" s="4">
        <f t="shared" si="41"/>
        <v>1016</v>
      </c>
      <c r="E362" s="4" t="s">
        <v>131</v>
      </c>
      <c r="F362" s="4">
        <v>1</v>
      </c>
      <c r="G362" s="4" t="s">
        <v>11</v>
      </c>
      <c r="H362" s="4" t="s">
        <v>12</v>
      </c>
      <c r="I362" s="4" t="s">
        <v>274</v>
      </c>
      <c r="J362" s="12"/>
      <c r="K362" s="68"/>
      <c r="L362" s="38">
        <v>4.117</v>
      </c>
      <c r="M362" s="129" t="s">
        <v>276</v>
      </c>
      <c r="N362" s="4" t="s">
        <v>13</v>
      </c>
      <c r="O362" s="60"/>
      <c r="P362" s="9"/>
      <c r="Q362" s="3"/>
      <c r="R362" s="22">
        <v>3.7519999999999998</v>
      </c>
      <c r="S362" s="22">
        <v>3.823</v>
      </c>
      <c r="T362" s="22">
        <v>4.4989999999999997</v>
      </c>
      <c r="U362" s="11"/>
      <c r="V362" s="40">
        <v>4.3540000000000001</v>
      </c>
      <c r="W362" s="40">
        <v>4.1660000000000004</v>
      </c>
      <c r="X362" s="40">
        <v>4.165</v>
      </c>
      <c r="Y362" s="22">
        <v>4.1840000000000002</v>
      </c>
      <c r="Z362" s="22">
        <v>4.085</v>
      </c>
      <c r="AA362" s="11"/>
      <c r="AB362" s="22">
        <v>4.375</v>
      </c>
      <c r="AC362" s="22">
        <v>4.42</v>
      </c>
      <c r="AD362" s="22">
        <v>4.2220000000000004</v>
      </c>
      <c r="AE362" s="22">
        <v>4.12</v>
      </c>
      <c r="AF362" s="22">
        <v>3.78</v>
      </c>
      <c r="AG362" s="22">
        <v>4.4989999999999997</v>
      </c>
      <c r="AH362" s="22">
        <f t="shared" si="43"/>
        <v>4.1395</v>
      </c>
      <c r="AI362" s="11"/>
      <c r="AJ362" s="11"/>
      <c r="AK362" s="11"/>
      <c r="AL362" s="11"/>
      <c r="AM362" s="11"/>
      <c r="AN362" s="11"/>
      <c r="AO362" s="11"/>
      <c r="AP362" s="3"/>
      <c r="AQ362" s="8"/>
    </row>
    <row r="363" spans="1:43">
      <c r="A363" s="1">
        <f t="shared" si="42"/>
        <v>361</v>
      </c>
      <c r="B363" s="31"/>
      <c r="C363" s="1">
        <v>11</v>
      </c>
      <c r="D363" s="4">
        <f t="shared" si="41"/>
        <v>1016</v>
      </c>
      <c r="E363" s="4" t="s">
        <v>128</v>
      </c>
      <c r="F363" s="4">
        <v>1</v>
      </c>
      <c r="G363" s="4" t="s">
        <v>11</v>
      </c>
      <c r="H363" s="4" t="s">
        <v>12</v>
      </c>
      <c r="I363" s="4" t="s">
        <v>274</v>
      </c>
      <c r="J363" s="12"/>
      <c r="K363" s="63" t="s">
        <v>170</v>
      </c>
      <c r="L363" s="38">
        <v>4.7549999999999999</v>
      </c>
      <c r="M363" s="129" t="s">
        <v>276</v>
      </c>
      <c r="N363" s="4" t="s">
        <v>13</v>
      </c>
      <c r="O363" s="60"/>
      <c r="P363" s="9"/>
      <c r="Q363" s="3"/>
      <c r="R363" s="22">
        <v>4.2919999999999998</v>
      </c>
      <c r="S363" s="22">
        <v>4.4059999999999997</v>
      </c>
      <c r="T363" s="22">
        <v>5.2329999999999997</v>
      </c>
      <c r="U363" s="11"/>
      <c r="V363" s="40">
        <v>5.0919999999999996</v>
      </c>
      <c r="W363" s="40">
        <v>4.8140000000000001</v>
      </c>
      <c r="X363" s="40">
        <v>4.8129999999999997</v>
      </c>
      <c r="Y363" s="40">
        <v>4.8449999999999998</v>
      </c>
      <c r="Z363" s="22">
        <v>4.71</v>
      </c>
      <c r="AA363" s="11"/>
      <c r="AB363" s="22">
        <v>5.1130000000000004</v>
      </c>
      <c r="AC363" s="22">
        <v>5.1219999999999999</v>
      </c>
      <c r="AD363" s="22">
        <v>4.8810000000000002</v>
      </c>
      <c r="AE363" s="22">
        <v>4.8520000000000003</v>
      </c>
      <c r="AF363" s="22">
        <v>4.3979999999999997</v>
      </c>
      <c r="AG363" s="22">
        <v>5.2960000000000003</v>
      </c>
      <c r="AH363" s="22">
        <f t="shared" si="43"/>
        <v>4.8469999999999995</v>
      </c>
      <c r="AI363" s="11"/>
      <c r="AJ363" s="11"/>
      <c r="AK363" s="11"/>
      <c r="AL363" s="11"/>
      <c r="AM363" s="11"/>
      <c r="AN363" s="11"/>
      <c r="AO363" s="11"/>
      <c r="AP363" s="3"/>
      <c r="AQ363" s="8"/>
    </row>
    <row r="364" spans="1:43">
      <c r="A364" s="1">
        <f t="shared" si="42"/>
        <v>362</v>
      </c>
      <c r="B364" s="31" t="s">
        <v>278</v>
      </c>
      <c r="C364" s="1">
        <v>9</v>
      </c>
      <c r="D364" s="4">
        <f t="shared" si="41"/>
        <v>69</v>
      </c>
      <c r="E364" s="4" t="s">
        <v>137</v>
      </c>
      <c r="F364" s="4">
        <v>1</v>
      </c>
      <c r="G364" s="4" t="s">
        <v>11</v>
      </c>
      <c r="H364" s="4" t="s">
        <v>17</v>
      </c>
      <c r="I364" s="4"/>
      <c r="J364" s="12">
        <v>87.2</v>
      </c>
      <c r="K364" s="63" t="s">
        <v>170</v>
      </c>
      <c r="L364" s="38">
        <v>4.3959999999999999</v>
      </c>
      <c r="M364" s="129" t="s">
        <v>113</v>
      </c>
      <c r="N364" s="4" t="s">
        <v>13</v>
      </c>
      <c r="O364" s="60"/>
      <c r="P364" s="9"/>
      <c r="Q364" s="3"/>
      <c r="R364" s="22">
        <v>4.5880000000000001</v>
      </c>
      <c r="S364" s="22">
        <v>4.4000000000000004</v>
      </c>
      <c r="T364" s="22">
        <v>4.8369999999999997</v>
      </c>
      <c r="U364" s="41"/>
      <c r="V364" s="40">
        <v>4.5780000000000003</v>
      </c>
      <c r="W364" s="40">
        <v>4.468</v>
      </c>
      <c r="X364" s="40">
        <v>4.47</v>
      </c>
      <c r="Y364" s="40">
        <v>4.4550000000000001</v>
      </c>
      <c r="Z364" s="22">
        <v>4.4009999999999998</v>
      </c>
      <c r="AA364" s="41"/>
      <c r="AB364" s="22">
        <v>4.4390000000000001</v>
      </c>
      <c r="AC364" s="22">
        <v>4.4420000000000002</v>
      </c>
      <c r="AD364" s="22">
        <v>4.4390000000000001</v>
      </c>
      <c r="AE364" s="22">
        <v>4.2119999999999997</v>
      </c>
      <c r="AF364" s="22">
        <v>4.3789999999999996</v>
      </c>
      <c r="AG364" s="22">
        <v>4.4370000000000003</v>
      </c>
      <c r="AH364" s="22">
        <f t="shared" ref="AH364:AH369" si="44">SUM(AF364:AG364)/2</f>
        <v>4.4079999999999995</v>
      </c>
      <c r="AI364" s="11"/>
      <c r="AJ364" s="11"/>
      <c r="AK364" s="11"/>
      <c r="AL364" s="11"/>
      <c r="AM364" s="11"/>
      <c r="AN364" s="11"/>
      <c r="AO364" s="11"/>
      <c r="AP364" s="3"/>
      <c r="AQ364" s="8"/>
    </row>
    <row r="365" spans="1:43">
      <c r="A365" s="1">
        <f t="shared" si="42"/>
        <v>363</v>
      </c>
      <c r="B365" s="31"/>
      <c r="C365" s="1">
        <v>9</v>
      </c>
      <c r="D365" s="4">
        <f t="shared" si="41"/>
        <v>69</v>
      </c>
      <c r="E365" s="4" t="s">
        <v>128</v>
      </c>
      <c r="F365" s="4">
        <v>1</v>
      </c>
      <c r="G365" s="4" t="s">
        <v>14</v>
      </c>
      <c r="H365" s="4" t="s">
        <v>170</v>
      </c>
      <c r="I365" s="4"/>
      <c r="J365" s="12">
        <v>92.1</v>
      </c>
      <c r="K365" s="63" t="s">
        <v>170</v>
      </c>
      <c r="L365" s="38">
        <v>4.5170000000000003</v>
      </c>
      <c r="M365" s="129" t="s">
        <v>113</v>
      </c>
      <c r="N365" s="4" t="s">
        <v>13</v>
      </c>
      <c r="O365" s="60"/>
      <c r="P365" s="9"/>
      <c r="Q365" s="3"/>
      <c r="R365" s="22">
        <v>4.556</v>
      </c>
      <c r="S365" s="22">
        <v>4.2990000000000004</v>
      </c>
      <c r="T365" s="22">
        <v>4.8230000000000004</v>
      </c>
      <c r="U365" s="41"/>
      <c r="V365" s="40">
        <v>4.5869999999999997</v>
      </c>
      <c r="W365" s="22">
        <v>4.5490000000000004</v>
      </c>
      <c r="X365" s="40">
        <v>4.5549999999999997</v>
      </c>
      <c r="Y365" s="40">
        <v>4.5519999999999996</v>
      </c>
      <c r="Z365" s="22">
        <v>4.5170000000000003</v>
      </c>
      <c r="AA365" s="41"/>
      <c r="AB365" s="22">
        <v>4.7119999999999997</v>
      </c>
      <c r="AC365" s="22">
        <v>4.6529999999999996</v>
      </c>
      <c r="AD365" s="22">
        <v>4.5359999999999996</v>
      </c>
      <c r="AE365" s="22">
        <v>4.5640000000000001</v>
      </c>
      <c r="AF365" s="22">
        <v>4.3440000000000003</v>
      </c>
      <c r="AG365" s="22">
        <v>4.5519999999999996</v>
      </c>
      <c r="AH365" s="22">
        <f t="shared" si="44"/>
        <v>4.4480000000000004</v>
      </c>
      <c r="AI365" s="11"/>
      <c r="AJ365" s="11"/>
      <c r="AK365" s="11"/>
      <c r="AL365" s="11"/>
      <c r="AM365" s="11"/>
      <c r="AN365" s="11"/>
      <c r="AO365" s="11"/>
      <c r="AP365" s="3"/>
      <c r="AQ365" s="8"/>
    </row>
    <row r="366" spans="1:43">
      <c r="A366" s="1">
        <f t="shared" si="42"/>
        <v>364</v>
      </c>
      <c r="B366" s="31"/>
      <c r="C366" s="1">
        <v>9</v>
      </c>
      <c r="D366" s="4">
        <f t="shared" si="41"/>
        <v>69</v>
      </c>
      <c r="E366" s="4" t="s">
        <v>131</v>
      </c>
      <c r="F366" s="4">
        <v>1</v>
      </c>
      <c r="G366" s="4" t="s">
        <v>14</v>
      </c>
      <c r="H366" s="4" t="s">
        <v>170</v>
      </c>
      <c r="I366" s="4"/>
      <c r="J366" s="12">
        <v>92</v>
      </c>
      <c r="K366" s="68"/>
      <c r="L366" s="38">
        <v>5.1140000000000008</v>
      </c>
      <c r="M366" s="129" t="s">
        <v>113</v>
      </c>
      <c r="N366" s="4" t="s">
        <v>13</v>
      </c>
      <c r="O366" s="60"/>
      <c r="P366" s="9"/>
      <c r="Q366" s="3"/>
      <c r="R366" s="22">
        <v>5.0789999999999997</v>
      </c>
      <c r="S366" s="22">
        <v>4.8380000000000001</v>
      </c>
      <c r="T366" s="22">
        <v>5.4210000000000003</v>
      </c>
      <c r="U366" s="41"/>
      <c r="V366" s="40">
        <v>5.1719999999999997</v>
      </c>
      <c r="W366" s="40">
        <v>5.14</v>
      </c>
      <c r="X366" s="40">
        <v>5.1470000000000002</v>
      </c>
      <c r="Y366" s="40">
        <v>5.1440000000000001</v>
      </c>
      <c r="Z366" s="22">
        <v>5.1059999999999999</v>
      </c>
      <c r="AA366" s="41"/>
      <c r="AB366" s="22">
        <v>5.2789999999999999</v>
      </c>
      <c r="AC366" s="22">
        <v>5.1970000000000001</v>
      </c>
      <c r="AD366" s="22">
        <v>5.0780000000000003</v>
      </c>
      <c r="AE366" s="22">
        <v>5.1100000000000003</v>
      </c>
      <c r="AF366" s="22">
        <v>4.8840000000000003</v>
      </c>
      <c r="AG366" s="22">
        <v>5.1360000000000001</v>
      </c>
      <c r="AH366" s="22">
        <f t="shared" si="44"/>
        <v>5.01</v>
      </c>
      <c r="AI366" s="11"/>
      <c r="AJ366" s="11"/>
      <c r="AK366" s="11"/>
      <c r="AL366" s="11"/>
      <c r="AM366" s="11"/>
      <c r="AN366" s="11"/>
      <c r="AO366" s="11"/>
      <c r="AP366" s="3"/>
      <c r="AQ366" s="8"/>
    </row>
    <row r="367" spans="1:43">
      <c r="A367" s="1">
        <f t="shared" si="42"/>
        <v>365</v>
      </c>
      <c r="B367" s="31"/>
      <c r="C367" s="1">
        <v>9</v>
      </c>
      <c r="D367" s="4">
        <f t="shared" si="41"/>
        <v>69</v>
      </c>
      <c r="E367" s="4" t="s">
        <v>128</v>
      </c>
      <c r="F367" s="4">
        <v>1</v>
      </c>
      <c r="G367" s="4" t="s">
        <v>14</v>
      </c>
      <c r="H367" s="4" t="s">
        <v>170</v>
      </c>
      <c r="I367" s="4"/>
      <c r="J367" s="12"/>
      <c r="K367" s="63" t="s">
        <v>170</v>
      </c>
      <c r="L367" s="38">
        <v>5.160000000000001</v>
      </c>
      <c r="M367" s="129" t="s">
        <v>113</v>
      </c>
      <c r="N367" s="4" t="s">
        <v>13</v>
      </c>
      <c r="O367" s="60"/>
      <c r="P367" s="9"/>
      <c r="Q367" s="3"/>
      <c r="R367" s="22">
        <v>5.1319999999999997</v>
      </c>
      <c r="S367" s="22">
        <v>4.8849999999999998</v>
      </c>
      <c r="T367" s="22">
        <v>5.47</v>
      </c>
      <c r="U367" s="41"/>
      <c r="V367" s="40">
        <v>5.2190000000000003</v>
      </c>
      <c r="W367" s="22">
        <v>5.1849999999999996</v>
      </c>
      <c r="X367" s="40">
        <v>5.1929999999999996</v>
      </c>
      <c r="Y367" s="40">
        <v>5.1890000000000001</v>
      </c>
      <c r="Z367" s="22">
        <v>5.1509999999999998</v>
      </c>
      <c r="AA367" s="41"/>
      <c r="AB367" s="22">
        <v>5.2880000000000003</v>
      </c>
      <c r="AC367" s="22">
        <v>5.2279999999999998</v>
      </c>
      <c r="AD367" s="22">
        <v>5.1159999999999997</v>
      </c>
      <c r="AE367" s="22">
        <v>5.1420000000000003</v>
      </c>
      <c r="AF367" s="22">
        <v>4.9290000000000003</v>
      </c>
      <c r="AG367" s="22">
        <v>5.1719999999999997</v>
      </c>
      <c r="AH367" s="22">
        <f t="shared" si="44"/>
        <v>5.0504999999999995</v>
      </c>
      <c r="AI367" s="11"/>
      <c r="AJ367" s="11"/>
      <c r="AK367" s="11"/>
      <c r="AL367" s="11"/>
      <c r="AM367" s="11"/>
      <c r="AN367" s="11"/>
      <c r="AO367" s="11"/>
      <c r="AP367" s="3"/>
      <c r="AQ367" s="8"/>
    </row>
    <row r="368" spans="1:43">
      <c r="A368" s="1">
        <f t="shared" si="42"/>
        <v>366</v>
      </c>
      <c r="B368" s="31"/>
      <c r="C368" s="1">
        <v>9</v>
      </c>
      <c r="D368" s="4">
        <f t="shared" si="41"/>
        <v>69</v>
      </c>
      <c r="E368" s="4" t="s">
        <v>118</v>
      </c>
      <c r="F368" s="4">
        <v>1</v>
      </c>
      <c r="G368" s="4" t="s">
        <v>14</v>
      </c>
      <c r="H368" s="4" t="s">
        <v>170</v>
      </c>
      <c r="I368" s="4"/>
      <c r="J368" s="12">
        <v>92.3</v>
      </c>
      <c r="K368" s="63" t="s">
        <v>170</v>
      </c>
      <c r="L368" s="38">
        <v>5.3330000000000011</v>
      </c>
      <c r="M368" s="129" t="s">
        <v>113</v>
      </c>
      <c r="N368" s="4" t="s">
        <v>13</v>
      </c>
      <c r="O368" s="60"/>
      <c r="P368" s="9"/>
      <c r="Q368" s="3"/>
      <c r="R368" s="22">
        <v>5.3289999999999997</v>
      </c>
      <c r="S368" s="22">
        <v>5.0750000000000002</v>
      </c>
      <c r="T368" s="22">
        <v>5.6230000000000002</v>
      </c>
      <c r="U368" s="41"/>
      <c r="V368" s="40">
        <v>5.3739999999999997</v>
      </c>
      <c r="W368" s="22">
        <v>5.3630000000000004</v>
      </c>
      <c r="X368" s="40">
        <v>5.3689999999999998</v>
      </c>
      <c r="Y368" s="22">
        <v>5.3630000000000004</v>
      </c>
      <c r="Z368" s="22">
        <v>5.335</v>
      </c>
      <c r="AA368" s="41"/>
      <c r="AB368" s="22">
        <v>5.4489999999999998</v>
      </c>
      <c r="AC368" s="22">
        <v>5.3819999999999997</v>
      </c>
      <c r="AD368" s="22">
        <v>5.2830000000000004</v>
      </c>
      <c r="AE368" s="22">
        <v>5.3049999999999997</v>
      </c>
      <c r="AF368" s="22">
        <v>5.1180000000000003</v>
      </c>
      <c r="AG368" s="22">
        <v>5.3390000000000004</v>
      </c>
      <c r="AH368" s="22">
        <f t="shared" si="44"/>
        <v>5.2285000000000004</v>
      </c>
      <c r="AI368" s="11"/>
      <c r="AJ368" s="11"/>
      <c r="AK368" s="11"/>
      <c r="AL368" s="11"/>
      <c r="AM368" s="11"/>
      <c r="AN368" s="11"/>
      <c r="AO368" s="11"/>
      <c r="AP368" s="3"/>
      <c r="AQ368" s="8"/>
    </row>
    <row r="369" spans="1:43">
      <c r="A369" s="1">
        <f t="shared" si="42"/>
        <v>367</v>
      </c>
      <c r="B369" s="31"/>
      <c r="C369" s="1">
        <v>9</v>
      </c>
      <c r="D369" s="4">
        <f t="shared" si="41"/>
        <v>69</v>
      </c>
      <c r="E369" s="4" t="s">
        <v>118</v>
      </c>
      <c r="F369" s="4">
        <v>1</v>
      </c>
      <c r="G369" s="4" t="s">
        <v>11</v>
      </c>
      <c r="H369" s="4" t="s">
        <v>17</v>
      </c>
      <c r="I369" s="4"/>
      <c r="J369" s="12">
        <v>89.5</v>
      </c>
      <c r="K369" s="63" t="s">
        <v>170</v>
      </c>
      <c r="L369" s="38">
        <v>5.4019999999999992</v>
      </c>
      <c r="M369" s="129" t="s">
        <v>113</v>
      </c>
      <c r="N369" s="4" t="s">
        <v>13</v>
      </c>
      <c r="O369" s="60"/>
      <c r="P369" s="9"/>
      <c r="Q369" s="3"/>
      <c r="R369" s="22">
        <v>5.7279999999999998</v>
      </c>
      <c r="S369" s="22">
        <v>5.3049999999999997</v>
      </c>
      <c r="T369" s="22">
        <v>5.7309999999999999</v>
      </c>
      <c r="U369" s="41"/>
      <c r="V369" s="40">
        <v>5.5389999999999997</v>
      </c>
      <c r="W369" s="22">
        <v>5.4480000000000004</v>
      </c>
      <c r="X369" s="40">
        <v>5.444</v>
      </c>
      <c r="Y369" s="22">
        <v>5.4450000000000003</v>
      </c>
      <c r="Z369" s="22">
        <v>5.3970000000000002</v>
      </c>
      <c r="AA369" s="41"/>
      <c r="AB369" s="22">
        <v>5.3520000000000003</v>
      </c>
      <c r="AC369" s="22">
        <v>5.41</v>
      </c>
      <c r="AD369" s="22">
        <v>5.3780000000000001</v>
      </c>
      <c r="AE369" s="22">
        <v>5.14</v>
      </c>
      <c r="AF369" s="22">
        <v>5.218</v>
      </c>
      <c r="AG369" s="22">
        <v>5.39</v>
      </c>
      <c r="AH369" s="22">
        <f t="shared" si="44"/>
        <v>5.3040000000000003</v>
      </c>
      <c r="AI369" s="11"/>
      <c r="AJ369" s="11"/>
      <c r="AK369" s="11"/>
      <c r="AL369" s="11"/>
      <c r="AM369" s="11"/>
      <c r="AN369" s="11"/>
      <c r="AO369" s="11"/>
      <c r="AP369" s="3"/>
      <c r="AQ369" s="8"/>
    </row>
    <row r="370" spans="1:43">
      <c r="A370" s="1">
        <f t="shared" si="42"/>
        <v>368</v>
      </c>
      <c r="B370" s="31"/>
      <c r="C370" s="1">
        <v>9</v>
      </c>
      <c r="D370" s="4">
        <f t="shared" si="41"/>
        <v>69</v>
      </c>
      <c r="E370" s="4" t="s">
        <v>143</v>
      </c>
      <c r="F370" s="4">
        <v>3</v>
      </c>
      <c r="G370" s="4" t="s">
        <v>11</v>
      </c>
      <c r="H370" s="4" t="s">
        <v>17</v>
      </c>
      <c r="I370" s="4"/>
      <c r="J370" s="12">
        <v>98</v>
      </c>
      <c r="K370" s="68"/>
      <c r="L370" s="45">
        <v>3.97</v>
      </c>
      <c r="M370" s="129" t="s">
        <v>158</v>
      </c>
      <c r="N370" s="10" t="s">
        <v>111</v>
      </c>
      <c r="O370" s="60"/>
      <c r="P370" s="9"/>
      <c r="Q370" s="3"/>
      <c r="R370" s="1">
        <v>4.367</v>
      </c>
      <c r="S370" s="1">
        <v>4.0970000000000004</v>
      </c>
      <c r="T370" s="1">
        <v>4.2279999999999998</v>
      </c>
      <c r="U370" s="41"/>
      <c r="V370" s="40">
        <v>3.863</v>
      </c>
      <c r="W370" s="41"/>
      <c r="X370" s="41"/>
      <c r="Y370" s="41"/>
      <c r="Z370" s="41"/>
      <c r="AA370" s="41"/>
      <c r="AB370" s="1">
        <v>4.133</v>
      </c>
      <c r="AC370" s="22">
        <v>4.1369999999999996</v>
      </c>
      <c r="AD370" s="1">
        <v>4.1269999999999998</v>
      </c>
      <c r="AE370" s="22">
        <v>3.9830000000000001</v>
      </c>
      <c r="AF370" s="22">
        <v>4.0730000000000004</v>
      </c>
      <c r="AG370" s="22">
        <v>3.766</v>
      </c>
      <c r="AH370" s="22">
        <f t="shared" ref="AH370:AH371" si="45">SUM(AF370:AG370)/2</f>
        <v>3.9195000000000002</v>
      </c>
      <c r="AI370" s="11"/>
      <c r="AJ370" s="11"/>
      <c r="AK370" s="11"/>
      <c r="AL370" s="11"/>
      <c r="AM370" s="11"/>
      <c r="AN370" s="11"/>
      <c r="AO370" s="11"/>
      <c r="AP370" s="3"/>
      <c r="AQ370" s="8"/>
    </row>
    <row r="371" spans="1:43">
      <c r="A371" s="1">
        <f t="shared" si="42"/>
        <v>369</v>
      </c>
      <c r="B371" s="31"/>
      <c r="C371" s="1">
        <v>9</v>
      </c>
      <c r="D371" s="4">
        <f t="shared" si="41"/>
        <v>69</v>
      </c>
      <c r="E371" s="4" t="s">
        <v>142</v>
      </c>
      <c r="F371" s="4">
        <v>3</v>
      </c>
      <c r="G371" s="4" t="s">
        <v>11</v>
      </c>
      <c r="H371" s="4" t="s">
        <v>17</v>
      </c>
      <c r="I371" s="4"/>
      <c r="J371" s="12">
        <v>97.1</v>
      </c>
      <c r="K371" s="68"/>
      <c r="L371" s="45">
        <v>4</v>
      </c>
      <c r="M371" s="129" t="s">
        <v>158</v>
      </c>
      <c r="N371" s="10" t="s">
        <v>111</v>
      </c>
      <c r="O371" s="60"/>
      <c r="P371" s="9"/>
      <c r="Q371" s="3"/>
      <c r="R371" s="1">
        <v>4.3090000000000002</v>
      </c>
      <c r="S371" s="1">
        <v>4.0279999999999996</v>
      </c>
      <c r="T371" s="22">
        <v>4.33</v>
      </c>
      <c r="U371" s="41"/>
      <c r="V371" s="40">
        <v>4.0730000000000004</v>
      </c>
      <c r="W371" s="41"/>
      <c r="X371" s="41"/>
      <c r="Y371" s="41"/>
      <c r="Z371" s="41"/>
      <c r="AA371" s="41"/>
      <c r="AB371" s="1">
        <v>4.1619999999999999</v>
      </c>
      <c r="AC371" s="22">
        <v>4.1710000000000003</v>
      </c>
      <c r="AD371" s="1">
        <v>4.1280000000000001</v>
      </c>
      <c r="AE371" s="22">
        <v>3.9780000000000002</v>
      </c>
      <c r="AF371" s="22">
        <v>4.008</v>
      </c>
      <c r="AG371" s="22">
        <v>3.8650000000000002</v>
      </c>
      <c r="AH371" s="22">
        <f t="shared" si="45"/>
        <v>3.9365000000000001</v>
      </c>
      <c r="AI371" s="11"/>
      <c r="AJ371" s="11"/>
      <c r="AK371" s="11"/>
      <c r="AL371" s="11"/>
      <c r="AM371" s="11"/>
      <c r="AN371" s="11"/>
      <c r="AO371" s="11"/>
      <c r="AP371" s="3"/>
      <c r="AQ371" s="8"/>
    </row>
    <row r="372" spans="1:43">
      <c r="A372" s="1">
        <f t="shared" si="42"/>
        <v>370</v>
      </c>
      <c r="B372" s="31" t="s">
        <v>74</v>
      </c>
      <c r="C372" s="1">
        <v>2</v>
      </c>
      <c r="D372" s="4">
        <f t="shared" si="41"/>
        <v>12</v>
      </c>
      <c r="E372" s="4" t="s">
        <v>294</v>
      </c>
      <c r="F372" s="4">
        <v>1</v>
      </c>
      <c r="G372" s="4" t="s">
        <v>11</v>
      </c>
      <c r="H372" s="4" t="s">
        <v>12</v>
      </c>
      <c r="I372" s="4"/>
      <c r="J372" s="5">
        <v>92.6</v>
      </c>
      <c r="K372" s="68"/>
      <c r="L372" s="38">
        <v>9.3190000000000008</v>
      </c>
      <c r="M372" s="127" t="s">
        <v>210</v>
      </c>
      <c r="N372" s="4" t="s">
        <v>13</v>
      </c>
      <c r="O372" s="6">
        <v>9.3070000000000004</v>
      </c>
      <c r="P372" s="4" t="s">
        <v>184</v>
      </c>
      <c r="Q372" s="3" t="s">
        <v>205</v>
      </c>
      <c r="R372" s="6">
        <v>9.657</v>
      </c>
      <c r="S372" s="22">
        <v>9.4390000000000001</v>
      </c>
      <c r="T372" s="6">
        <v>9.5869999999999997</v>
      </c>
      <c r="U372" s="22">
        <v>9.1560000000000006</v>
      </c>
      <c r="V372" s="22">
        <v>9.4079999999999995</v>
      </c>
      <c r="W372" s="6">
        <v>9.3529999999999998</v>
      </c>
      <c r="X372" s="6">
        <v>9.359</v>
      </c>
      <c r="Y372" s="6">
        <v>9.3529999999999998</v>
      </c>
      <c r="Z372" s="22">
        <v>9.3439999999999994</v>
      </c>
      <c r="AA372" s="22">
        <v>9.3260000000000005</v>
      </c>
      <c r="AB372" s="6">
        <v>9.5519999999999996</v>
      </c>
      <c r="AC372" s="6">
        <v>9.5079999999999991</v>
      </c>
      <c r="AD372" s="6">
        <v>9.4849999999999994</v>
      </c>
      <c r="AE372" s="6">
        <v>9.3569999999999993</v>
      </c>
      <c r="AF372" s="4">
        <v>9.4760000000000009</v>
      </c>
      <c r="AG372" s="6">
        <v>9.1579999999999995</v>
      </c>
      <c r="AH372" s="6">
        <f t="shared" si="33"/>
        <v>9.3170000000000002</v>
      </c>
      <c r="AI372" s="11"/>
      <c r="AJ372" s="11"/>
      <c r="AK372" s="11"/>
      <c r="AL372" s="11"/>
      <c r="AM372" s="11"/>
      <c r="AN372" s="11"/>
      <c r="AO372" s="11"/>
      <c r="AP372" s="3"/>
      <c r="AQ372" s="8"/>
    </row>
    <row r="373" spans="1:43">
      <c r="A373" s="1">
        <f t="shared" si="42"/>
        <v>371</v>
      </c>
      <c r="B373" s="31"/>
      <c r="C373" s="1">
        <v>2</v>
      </c>
      <c r="D373" s="4">
        <f t="shared" si="41"/>
        <v>12</v>
      </c>
      <c r="E373" s="4" t="s">
        <v>86</v>
      </c>
      <c r="F373" s="4">
        <v>1</v>
      </c>
      <c r="G373" s="4" t="s">
        <v>11</v>
      </c>
      <c r="H373" s="4" t="s">
        <v>17</v>
      </c>
      <c r="I373" s="4"/>
      <c r="J373" s="5">
        <v>97.2</v>
      </c>
      <c r="K373" s="68"/>
      <c r="L373" s="38">
        <v>9.8770000000000007</v>
      </c>
      <c r="M373" s="127" t="s">
        <v>210</v>
      </c>
      <c r="N373" s="4" t="s">
        <v>13</v>
      </c>
      <c r="O373" s="6">
        <v>9.8650000000000002</v>
      </c>
      <c r="P373" s="4" t="s">
        <v>184</v>
      </c>
      <c r="Q373" s="3" t="s">
        <v>205</v>
      </c>
      <c r="R373" s="6">
        <v>10.311</v>
      </c>
      <c r="S373" s="22">
        <v>10.319000000000001</v>
      </c>
      <c r="T373" s="6">
        <v>10.112</v>
      </c>
      <c r="U373" s="6">
        <v>9.843</v>
      </c>
      <c r="V373" s="22">
        <v>9.9960000000000004</v>
      </c>
      <c r="W373" s="6">
        <v>9.9019999999999992</v>
      </c>
      <c r="X373" s="6">
        <v>9.9039999999999999</v>
      </c>
      <c r="Y373" s="6">
        <v>9.8870000000000005</v>
      </c>
      <c r="Z373" s="22">
        <v>9.8849999999999998</v>
      </c>
      <c r="AA373" s="22">
        <v>9.89</v>
      </c>
      <c r="AB373" s="6">
        <v>10.241</v>
      </c>
      <c r="AC373" s="6">
        <v>10.295999999999999</v>
      </c>
      <c r="AD373" s="6">
        <v>10.304</v>
      </c>
      <c r="AE373" s="6">
        <v>10.119999999999999</v>
      </c>
      <c r="AF373" s="6">
        <v>10.257</v>
      </c>
      <c r="AG373" s="6">
        <v>9.33</v>
      </c>
      <c r="AH373" s="6">
        <f t="shared" si="33"/>
        <v>9.7934999999999999</v>
      </c>
      <c r="AI373" s="11"/>
      <c r="AJ373" s="11"/>
      <c r="AK373" s="11"/>
      <c r="AL373" s="11"/>
      <c r="AM373" s="11"/>
      <c r="AN373" s="11"/>
      <c r="AO373" s="11"/>
      <c r="AP373" s="3"/>
      <c r="AQ373" s="8"/>
    </row>
    <row r="374" spans="1:43">
      <c r="A374" s="1">
        <f t="shared" si="42"/>
        <v>372</v>
      </c>
      <c r="B374" s="31"/>
      <c r="C374" s="1">
        <v>2</v>
      </c>
      <c r="D374" s="4">
        <f t="shared" si="41"/>
        <v>12</v>
      </c>
      <c r="E374" s="4" t="s">
        <v>226</v>
      </c>
      <c r="F374" s="4">
        <v>1</v>
      </c>
      <c r="G374" s="4" t="s">
        <v>11</v>
      </c>
      <c r="H374" s="4" t="s">
        <v>17</v>
      </c>
      <c r="I374" s="4"/>
      <c r="J374" s="5">
        <v>95.9</v>
      </c>
      <c r="K374" s="63">
        <v>0</v>
      </c>
      <c r="L374" s="38">
        <v>10.286</v>
      </c>
      <c r="M374" s="127" t="s">
        <v>210</v>
      </c>
      <c r="N374" s="4" t="s">
        <v>13</v>
      </c>
      <c r="O374" s="6">
        <v>10.268000000000001</v>
      </c>
      <c r="P374" s="4" t="s">
        <v>184</v>
      </c>
      <c r="Q374" s="3" t="s">
        <v>205</v>
      </c>
      <c r="R374" s="6">
        <v>10.851000000000001</v>
      </c>
      <c r="S374" s="22">
        <v>10.863</v>
      </c>
      <c r="T374" s="6">
        <v>10.555</v>
      </c>
      <c r="U374" s="6">
        <v>10.331</v>
      </c>
      <c r="V374" s="22">
        <v>10.443</v>
      </c>
      <c r="W374" s="6">
        <v>10.33</v>
      </c>
      <c r="X374" s="6">
        <v>10.329000000000001</v>
      </c>
      <c r="Y374" s="6">
        <v>10.308</v>
      </c>
      <c r="Z374" s="22">
        <v>10.292999999999999</v>
      </c>
      <c r="AA374" s="22">
        <v>10.302</v>
      </c>
      <c r="AB374" s="6">
        <v>10.628</v>
      </c>
      <c r="AC374" s="6">
        <v>10.694000000000001</v>
      </c>
      <c r="AD374" s="6">
        <v>10.75</v>
      </c>
      <c r="AE374" s="6">
        <v>10.497999999999999</v>
      </c>
      <c r="AF374" s="6">
        <v>10.788</v>
      </c>
      <c r="AG374" s="6">
        <v>9.7439999999999998</v>
      </c>
      <c r="AH374" s="6">
        <f t="shared" si="33"/>
        <v>10.266</v>
      </c>
      <c r="AI374" s="11"/>
      <c r="AJ374" s="11"/>
      <c r="AK374" s="11"/>
      <c r="AL374" s="11"/>
      <c r="AM374" s="11"/>
      <c r="AN374" s="11"/>
      <c r="AO374" s="11"/>
      <c r="AP374" s="3"/>
      <c r="AQ374" s="8"/>
    </row>
    <row r="375" spans="1:43">
      <c r="A375" s="1">
        <f t="shared" si="42"/>
        <v>373</v>
      </c>
      <c r="B375" s="31"/>
      <c r="C375" s="1">
        <v>2</v>
      </c>
      <c r="D375" s="4">
        <f t="shared" si="41"/>
        <v>12</v>
      </c>
      <c r="E375" s="4" t="s">
        <v>87</v>
      </c>
      <c r="F375" s="4">
        <v>1</v>
      </c>
      <c r="G375" s="4" t="s">
        <v>14</v>
      </c>
      <c r="H375" s="4" t="s">
        <v>15</v>
      </c>
      <c r="I375" s="4"/>
      <c r="J375" s="5">
        <v>92.2</v>
      </c>
      <c r="K375" s="65"/>
      <c r="L375" s="38">
        <v>12.972</v>
      </c>
      <c r="M375" s="127" t="s">
        <v>210</v>
      </c>
      <c r="N375" s="4" t="s">
        <v>13</v>
      </c>
      <c r="O375" s="6">
        <v>12.86</v>
      </c>
      <c r="P375" s="4" t="s">
        <v>184</v>
      </c>
      <c r="Q375" s="3" t="s">
        <v>205</v>
      </c>
      <c r="R375" s="6">
        <v>13.673</v>
      </c>
      <c r="S375" s="22">
        <v>12.833</v>
      </c>
      <c r="T375" s="6">
        <v>13.382</v>
      </c>
      <c r="U375" s="6">
        <v>13.135999999999999</v>
      </c>
      <c r="V375" s="22">
        <v>13.151</v>
      </c>
      <c r="W375" s="6">
        <v>13.028</v>
      </c>
      <c r="X375" s="22">
        <v>13.037000000000001</v>
      </c>
      <c r="Y375" s="6">
        <v>13.057</v>
      </c>
      <c r="Z375" s="6">
        <v>13.013</v>
      </c>
      <c r="AA375" s="22">
        <v>12.999000000000001</v>
      </c>
      <c r="AB375" s="6">
        <v>13.327999999999999</v>
      </c>
      <c r="AC375" s="6">
        <v>13.164</v>
      </c>
      <c r="AD375" s="6">
        <v>13.055999999999999</v>
      </c>
      <c r="AE375" s="6">
        <v>13.157999999999999</v>
      </c>
      <c r="AF375" s="6">
        <v>12.993</v>
      </c>
      <c r="AG375" s="6">
        <v>13.010999999999999</v>
      </c>
      <c r="AH375" s="6">
        <f t="shared" si="33"/>
        <v>13.001999999999999</v>
      </c>
      <c r="AI375" s="11"/>
      <c r="AJ375" s="11"/>
      <c r="AK375" s="11"/>
      <c r="AL375" s="11"/>
      <c r="AM375" s="11"/>
      <c r="AN375" s="11"/>
      <c r="AO375" s="11"/>
      <c r="AP375" s="3"/>
      <c r="AQ375" s="8"/>
    </row>
    <row r="376" spans="1:43">
      <c r="A376" s="1">
        <f t="shared" si="42"/>
        <v>374</v>
      </c>
      <c r="B376" s="31"/>
      <c r="C376" s="1">
        <v>2</v>
      </c>
      <c r="D376" s="4">
        <f t="shared" si="41"/>
        <v>12</v>
      </c>
      <c r="E376" s="4" t="s">
        <v>295</v>
      </c>
      <c r="F376" s="4">
        <v>1</v>
      </c>
      <c r="G376" s="4" t="s">
        <v>207</v>
      </c>
      <c r="H376" s="4" t="s">
        <v>170</v>
      </c>
      <c r="I376" s="4"/>
      <c r="J376" s="5">
        <v>82.9</v>
      </c>
      <c r="K376" s="63">
        <v>0.45900000000000002</v>
      </c>
      <c r="L376" s="38">
        <v>13.087</v>
      </c>
      <c r="M376" s="127" t="s">
        <v>204</v>
      </c>
      <c r="N376" s="4" t="s">
        <v>13</v>
      </c>
      <c r="O376" s="6">
        <v>13.055</v>
      </c>
      <c r="P376" s="4" t="s">
        <v>184</v>
      </c>
      <c r="Q376" s="3" t="s">
        <v>205</v>
      </c>
      <c r="R376" s="6">
        <v>13.635</v>
      </c>
      <c r="S376" s="22">
        <v>13.151999999999999</v>
      </c>
      <c r="T376" s="6">
        <v>13.641999999999999</v>
      </c>
      <c r="U376" s="6">
        <v>13.345000000000001</v>
      </c>
      <c r="V376" s="22">
        <v>13.422000000000001</v>
      </c>
      <c r="W376" s="6">
        <v>13.3</v>
      </c>
      <c r="X376" s="6">
        <v>13.282</v>
      </c>
      <c r="Y376" s="6">
        <v>13.27</v>
      </c>
      <c r="Z376" s="22">
        <v>13.223000000000001</v>
      </c>
      <c r="AA376" s="6">
        <v>13.14</v>
      </c>
      <c r="AB376" s="6">
        <v>13.635999999999999</v>
      </c>
      <c r="AC376" s="6">
        <v>13.468</v>
      </c>
      <c r="AD376" s="6">
        <v>13.365</v>
      </c>
      <c r="AE376" s="6">
        <v>13.451000000000001</v>
      </c>
      <c r="AF376" s="6">
        <v>13.327999999999999</v>
      </c>
      <c r="AG376" s="6">
        <v>12.987</v>
      </c>
      <c r="AH376" s="6">
        <f t="shared" si="33"/>
        <v>13.157499999999999</v>
      </c>
      <c r="AI376" s="11"/>
      <c r="AJ376" s="11"/>
      <c r="AK376" s="11"/>
      <c r="AL376" s="11"/>
      <c r="AM376" s="11"/>
      <c r="AN376" s="11"/>
      <c r="AO376" s="11"/>
      <c r="AP376" s="3"/>
      <c r="AQ376" s="8"/>
    </row>
    <row r="377" spans="1:43">
      <c r="A377" s="1">
        <f t="shared" si="42"/>
        <v>375</v>
      </c>
      <c r="B377" s="31"/>
      <c r="C377" s="1">
        <v>2</v>
      </c>
      <c r="D377" s="4">
        <f t="shared" si="41"/>
        <v>12</v>
      </c>
      <c r="E377" s="4" t="s">
        <v>88</v>
      </c>
      <c r="F377" s="4">
        <v>1</v>
      </c>
      <c r="G377" s="4" t="s">
        <v>14</v>
      </c>
      <c r="H377" s="4" t="s">
        <v>16</v>
      </c>
      <c r="I377" s="4"/>
      <c r="J377" s="5">
        <v>92.8</v>
      </c>
      <c r="K377" s="63">
        <v>0.29599999999999999</v>
      </c>
      <c r="L377" s="38">
        <v>13.087999999999999</v>
      </c>
      <c r="M377" s="127" t="s">
        <v>204</v>
      </c>
      <c r="N377" s="4" t="s">
        <v>13</v>
      </c>
      <c r="O377" s="6">
        <v>13.058</v>
      </c>
      <c r="P377" s="4" t="s">
        <v>184</v>
      </c>
      <c r="Q377" s="3" t="s">
        <v>205</v>
      </c>
      <c r="R377" s="6">
        <v>13.747</v>
      </c>
      <c r="S377" s="22">
        <v>12.888</v>
      </c>
      <c r="T377" s="6">
        <v>13.491</v>
      </c>
      <c r="U377" s="6">
        <v>13.238</v>
      </c>
      <c r="V377" s="22">
        <v>13.263</v>
      </c>
      <c r="W377" s="6">
        <v>13.14</v>
      </c>
      <c r="X377" s="6">
        <v>13.148</v>
      </c>
      <c r="Y377" s="6">
        <v>13.161</v>
      </c>
      <c r="Z377" s="6">
        <v>13.12</v>
      </c>
      <c r="AA377" s="22">
        <v>13.118</v>
      </c>
      <c r="AB377" s="6">
        <v>13.409000000000001</v>
      </c>
      <c r="AC377" s="6">
        <v>13.226000000000001</v>
      </c>
      <c r="AD377" s="6">
        <v>13.116</v>
      </c>
      <c r="AE377" s="6">
        <v>13.253</v>
      </c>
      <c r="AF377" s="6">
        <v>13.07</v>
      </c>
      <c r="AG377" s="6">
        <v>13.093999999999999</v>
      </c>
      <c r="AH377" s="6">
        <f t="shared" si="33"/>
        <v>13.082000000000001</v>
      </c>
      <c r="AI377" s="11"/>
      <c r="AJ377" s="11"/>
      <c r="AK377" s="11"/>
      <c r="AL377" s="11"/>
      <c r="AM377" s="11"/>
      <c r="AN377" s="11"/>
      <c r="AO377" s="11"/>
      <c r="AP377" s="3"/>
      <c r="AQ377" s="8"/>
    </row>
    <row r="378" spans="1:43">
      <c r="A378" s="1">
        <f t="shared" si="42"/>
        <v>376</v>
      </c>
      <c r="B378" s="31"/>
      <c r="C378" s="1">
        <v>2</v>
      </c>
      <c r="D378" s="4">
        <f t="shared" si="41"/>
        <v>12</v>
      </c>
      <c r="E378" s="4" t="s">
        <v>295</v>
      </c>
      <c r="F378" s="4">
        <v>1</v>
      </c>
      <c r="G378" s="4" t="s">
        <v>207</v>
      </c>
      <c r="H378" s="4" t="s">
        <v>170</v>
      </c>
      <c r="I378" s="4"/>
      <c r="J378" s="5">
        <v>87.4</v>
      </c>
      <c r="K378" s="63">
        <v>0</v>
      </c>
      <c r="L378" s="38">
        <v>13.417</v>
      </c>
      <c r="M378" s="127" t="s">
        <v>204</v>
      </c>
      <c r="N378" s="4" t="s">
        <v>13</v>
      </c>
      <c r="O378" s="6">
        <v>13.334</v>
      </c>
      <c r="P378" s="4" t="s">
        <v>184</v>
      </c>
      <c r="Q378" s="3" t="s">
        <v>205</v>
      </c>
      <c r="R378" s="6">
        <v>14.327999999999999</v>
      </c>
      <c r="S378" s="22">
        <v>13.962999999999999</v>
      </c>
      <c r="T378" s="6">
        <v>13.826000000000001</v>
      </c>
      <c r="U378" s="6">
        <v>13.582000000000001</v>
      </c>
      <c r="V378" s="22">
        <v>13.673999999999999</v>
      </c>
      <c r="W378" s="6">
        <v>13.502000000000001</v>
      </c>
      <c r="X378" s="6">
        <v>13.525</v>
      </c>
      <c r="Y378" s="6">
        <v>13.525</v>
      </c>
      <c r="Z378" s="22">
        <v>13.494</v>
      </c>
      <c r="AA378" s="6">
        <v>13.455</v>
      </c>
      <c r="AB378" s="6">
        <v>14.025</v>
      </c>
      <c r="AC378" s="6">
        <v>13.981999999999999</v>
      </c>
      <c r="AD378" s="6">
        <v>13.974</v>
      </c>
      <c r="AE378" s="6">
        <v>13.821</v>
      </c>
      <c r="AF378" s="6">
        <v>13.994</v>
      </c>
      <c r="AG378" s="6">
        <v>13.397</v>
      </c>
      <c r="AH378" s="6">
        <f t="shared" si="33"/>
        <v>13.695499999999999</v>
      </c>
      <c r="AI378" s="11"/>
      <c r="AJ378" s="11"/>
      <c r="AK378" s="11"/>
      <c r="AL378" s="11"/>
      <c r="AM378" s="11"/>
      <c r="AN378" s="11"/>
      <c r="AO378" s="11"/>
      <c r="AP378" s="3"/>
      <c r="AQ378" s="8"/>
    </row>
    <row r="379" spans="1:43">
      <c r="A379" s="1">
        <f t="shared" si="42"/>
        <v>377</v>
      </c>
      <c r="B379" s="31"/>
      <c r="C379" s="1">
        <v>2</v>
      </c>
      <c r="D379" s="4">
        <f t="shared" si="41"/>
        <v>12</v>
      </c>
      <c r="E379" s="4" t="s">
        <v>295</v>
      </c>
      <c r="F379" s="4">
        <v>1</v>
      </c>
      <c r="G379" s="4" t="s">
        <v>14</v>
      </c>
      <c r="H379" s="4" t="s">
        <v>22</v>
      </c>
      <c r="I379" s="4"/>
      <c r="J379" s="5">
        <v>96.1</v>
      </c>
      <c r="K379" s="63">
        <v>0.13900000000000001</v>
      </c>
      <c r="L379" s="38">
        <v>14.009</v>
      </c>
      <c r="M379" s="127" t="s">
        <v>204</v>
      </c>
      <c r="N379" s="4" t="s">
        <v>13</v>
      </c>
      <c r="O379" s="6">
        <v>13.91</v>
      </c>
      <c r="P379" s="4" t="s">
        <v>184</v>
      </c>
      <c r="Q379" s="3" t="s">
        <v>205</v>
      </c>
      <c r="R379" s="6">
        <v>14.519</v>
      </c>
      <c r="S379" s="6">
        <v>14.497</v>
      </c>
      <c r="T379" s="6">
        <v>14.557</v>
      </c>
      <c r="U379" s="6">
        <v>13.353999999999999</v>
      </c>
      <c r="V379" s="22">
        <v>14.307</v>
      </c>
      <c r="W379" s="6">
        <v>14.019</v>
      </c>
      <c r="X379" s="6">
        <v>14.021000000000001</v>
      </c>
      <c r="Y379" s="6">
        <v>14.032</v>
      </c>
      <c r="Z379" s="6">
        <v>13.974</v>
      </c>
      <c r="AA379" s="6">
        <v>14.034000000000001</v>
      </c>
      <c r="AB379" s="6">
        <v>14.531000000000001</v>
      </c>
      <c r="AC379" s="6">
        <v>14.465999999999999</v>
      </c>
      <c r="AD379" s="6">
        <v>14.476000000000001</v>
      </c>
      <c r="AE379" s="6">
        <v>14.426</v>
      </c>
      <c r="AF379" s="6">
        <v>14.553000000000001</v>
      </c>
      <c r="AG379" s="6">
        <v>13.683999999999999</v>
      </c>
      <c r="AH379" s="6">
        <f t="shared" si="33"/>
        <v>14.118500000000001</v>
      </c>
      <c r="AI379" s="11"/>
      <c r="AJ379" s="11"/>
      <c r="AK379" s="11"/>
      <c r="AL379" s="11"/>
      <c r="AM379" s="11"/>
      <c r="AN379" s="11"/>
      <c r="AO379" s="11"/>
      <c r="AP379" s="3"/>
      <c r="AQ379" s="8"/>
    </row>
    <row r="380" spans="1:43">
      <c r="A380" s="1">
        <f t="shared" si="42"/>
        <v>378</v>
      </c>
      <c r="B380" s="31"/>
      <c r="C380" s="1">
        <v>2</v>
      </c>
      <c r="D380" s="4">
        <f t="shared" si="41"/>
        <v>12</v>
      </c>
      <c r="E380" s="4" t="s">
        <v>85</v>
      </c>
      <c r="F380" s="4">
        <v>3</v>
      </c>
      <c r="G380" s="4" t="s">
        <v>11</v>
      </c>
      <c r="H380" s="4" t="s">
        <v>17</v>
      </c>
      <c r="I380" s="4"/>
      <c r="J380" s="5">
        <v>99.3</v>
      </c>
      <c r="K380" s="65"/>
      <c r="L380" s="38">
        <v>7.7</v>
      </c>
      <c r="M380" s="127" t="s">
        <v>210</v>
      </c>
      <c r="N380" s="4" t="s">
        <v>13</v>
      </c>
      <c r="O380" s="6">
        <v>7.7240000000000002</v>
      </c>
      <c r="P380" s="4" t="s">
        <v>184</v>
      </c>
      <c r="Q380" s="3" t="s">
        <v>205</v>
      </c>
      <c r="R380" s="6">
        <v>8.1969999999999992</v>
      </c>
      <c r="S380" s="6">
        <v>8.1869999999999994</v>
      </c>
      <c r="T380" s="6">
        <v>8.0389999999999997</v>
      </c>
      <c r="U380" s="6">
        <v>7.54</v>
      </c>
      <c r="V380" s="6">
        <v>7.6630000000000003</v>
      </c>
      <c r="W380" s="46"/>
      <c r="X380" s="46"/>
      <c r="Y380" s="46"/>
      <c r="Z380" s="6">
        <v>7.681</v>
      </c>
      <c r="AA380" s="6">
        <v>7.6890000000000001</v>
      </c>
      <c r="AB380" s="6">
        <v>7.4909999999999997</v>
      </c>
      <c r="AC380" s="6">
        <v>7.4930000000000003</v>
      </c>
      <c r="AD380" s="6">
        <v>7.726</v>
      </c>
      <c r="AE380" s="6">
        <v>7.4089999999999998</v>
      </c>
      <c r="AF380" s="6">
        <v>8.15</v>
      </c>
      <c r="AG380" s="6">
        <v>7.2510000000000003</v>
      </c>
      <c r="AH380" s="6">
        <f t="shared" si="33"/>
        <v>7.7004999999999999</v>
      </c>
      <c r="AI380" s="11"/>
      <c r="AJ380" s="11"/>
      <c r="AK380" s="11"/>
      <c r="AL380" s="11"/>
      <c r="AM380" s="11"/>
      <c r="AN380" s="11"/>
      <c r="AO380" s="11"/>
      <c r="AP380" s="3"/>
      <c r="AQ380" s="8"/>
    </row>
    <row r="381" spans="1:43">
      <c r="A381" s="1">
        <f t="shared" si="42"/>
        <v>379</v>
      </c>
      <c r="B381" s="31"/>
      <c r="C381" s="1">
        <v>2</v>
      </c>
      <c r="D381" s="4">
        <f t="shared" si="41"/>
        <v>12</v>
      </c>
      <c r="E381" s="4" t="s">
        <v>296</v>
      </c>
      <c r="F381" s="4">
        <v>3</v>
      </c>
      <c r="G381" s="4" t="s">
        <v>11</v>
      </c>
      <c r="H381" s="4" t="s">
        <v>12</v>
      </c>
      <c r="I381" s="4"/>
      <c r="J381" s="5">
        <v>98.4</v>
      </c>
      <c r="K381" s="65"/>
      <c r="L381" s="38">
        <v>8.02</v>
      </c>
      <c r="M381" s="127" t="s">
        <v>204</v>
      </c>
      <c r="N381" s="4" t="s">
        <v>13</v>
      </c>
      <c r="O381" s="6">
        <v>8.0229999999999997</v>
      </c>
      <c r="P381" s="4" t="s">
        <v>184</v>
      </c>
      <c r="Q381" s="3" t="s">
        <v>205</v>
      </c>
      <c r="R381" s="6">
        <v>8.3330000000000002</v>
      </c>
      <c r="S381" s="6">
        <v>8.1890000000000001</v>
      </c>
      <c r="T381" s="6">
        <v>8.2330000000000005</v>
      </c>
      <c r="U381" s="6">
        <v>8.0009999999999994</v>
      </c>
      <c r="V381" s="6">
        <v>8.0920000000000005</v>
      </c>
      <c r="W381" s="46"/>
      <c r="X381" s="46"/>
      <c r="Y381" s="46"/>
      <c r="Z381" s="6">
        <v>8.0410000000000004</v>
      </c>
      <c r="AA381" s="6">
        <v>8.0340000000000007</v>
      </c>
      <c r="AB381" s="4">
        <v>8.4260000000000002</v>
      </c>
      <c r="AC381" s="6">
        <v>8.4030000000000005</v>
      </c>
      <c r="AD381" s="4">
        <v>8.3309999999999995</v>
      </c>
      <c r="AE381" s="6">
        <v>8.2789999999999999</v>
      </c>
      <c r="AF381" s="6">
        <v>8.2040000000000006</v>
      </c>
      <c r="AG381" s="6">
        <v>7.766</v>
      </c>
      <c r="AH381" s="6">
        <f t="shared" si="33"/>
        <v>7.9850000000000003</v>
      </c>
      <c r="AI381" s="11"/>
      <c r="AJ381" s="11"/>
      <c r="AK381" s="11"/>
      <c r="AL381" s="11"/>
      <c r="AM381" s="11"/>
      <c r="AN381" s="11"/>
      <c r="AO381" s="11"/>
      <c r="AP381" s="3"/>
      <c r="AQ381" s="8"/>
    </row>
    <row r="382" spans="1:43">
      <c r="A382" s="1">
        <f t="shared" si="42"/>
        <v>380</v>
      </c>
      <c r="B382" s="31"/>
      <c r="C382" s="1">
        <v>2</v>
      </c>
      <c r="D382" s="4">
        <f t="shared" si="41"/>
        <v>12</v>
      </c>
      <c r="E382" s="4" t="s">
        <v>227</v>
      </c>
      <c r="F382" s="4">
        <v>3</v>
      </c>
      <c r="G382" s="4" t="s">
        <v>11</v>
      </c>
      <c r="H382" s="4" t="s">
        <v>17</v>
      </c>
      <c r="I382" s="4"/>
      <c r="J382" s="5">
        <v>99.3</v>
      </c>
      <c r="K382" s="65"/>
      <c r="L382" s="38">
        <v>8.8670000000000009</v>
      </c>
      <c r="M382" s="127" t="s">
        <v>210</v>
      </c>
      <c r="N382" s="4" t="s">
        <v>13</v>
      </c>
      <c r="O382" s="6">
        <v>8.8670000000000009</v>
      </c>
      <c r="P382" s="4" t="s">
        <v>184</v>
      </c>
      <c r="Q382" s="3" t="s">
        <v>205</v>
      </c>
      <c r="R382" s="6">
        <v>9.3030000000000008</v>
      </c>
      <c r="S382" s="6">
        <v>9.3040000000000003</v>
      </c>
      <c r="T382" s="6">
        <v>9.1319999999999997</v>
      </c>
      <c r="U382" s="6">
        <v>8.7769999999999992</v>
      </c>
      <c r="V382" s="6">
        <v>8.91</v>
      </c>
      <c r="W382" s="46"/>
      <c r="X382" s="46"/>
      <c r="Y382" s="46"/>
      <c r="Z382" s="4">
        <v>8.8710000000000004</v>
      </c>
      <c r="AA382" s="4">
        <v>8.8689999999999998</v>
      </c>
      <c r="AB382" s="4">
        <v>9.3330000000000002</v>
      </c>
      <c r="AC382" s="6">
        <v>9.3789999999999996</v>
      </c>
      <c r="AD382" s="6">
        <v>9.3539999999999992</v>
      </c>
      <c r="AE382" s="6">
        <v>9.2330000000000005</v>
      </c>
      <c r="AF382" s="6">
        <v>9.2539999999999996</v>
      </c>
      <c r="AG382" s="6">
        <v>8.3620000000000001</v>
      </c>
      <c r="AH382" s="6">
        <f t="shared" si="33"/>
        <v>8.8079999999999998</v>
      </c>
      <c r="AI382" s="11"/>
      <c r="AJ382" s="11"/>
      <c r="AK382" s="11"/>
      <c r="AL382" s="11"/>
      <c r="AM382" s="11"/>
      <c r="AN382" s="11"/>
      <c r="AO382" s="11"/>
      <c r="AP382" s="3"/>
      <c r="AQ382" s="8"/>
    </row>
    <row r="383" spans="1:43">
      <c r="A383" s="1">
        <f t="shared" si="42"/>
        <v>381</v>
      </c>
      <c r="B383" s="31"/>
      <c r="C383" s="1">
        <v>2</v>
      </c>
      <c r="D383" s="4">
        <f t="shared" si="41"/>
        <v>12</v>
      </c>
      <c r="E383" s="4" t="s">
        <v>228</v>
      </c>
      <c r="F383" s="4">
        <v>3</v>
      </c>
      <c r="G383" s="4" t="s">
        <v>11</v>
      </c>
      <c r="H383" s="4" t="s">
        <v>17</v>
      </c>
      <c r="I383" s="4"/>
      <c r="J383" s="5">
        <v>98.8</v>
      </c>
      <c r="K383" s="65"/>
      <c r="L383" s="38">
        <v>9.6590000000000007</v>
      </c>
      <c r="M383" s="127" t="s">
        <v>204</v>
      </c>
      <c r="N383" s="4" t="s">
        <v>13</v>
      </c>
      <c r="O383" s="6">
        <v>9.6530000000000005</v>
      </c>
      <c r="P383" s="4" t="s">
        <v>7</v>
      </c>
      <c r="Q383" s="3" t="s">
        <v>205</v>
      </c>
      <c r="R383" s="6">
        <v>10.288</v>
      </c>
      <c r="S383" s="6">
        <v>10.29</v>
      </c>
      <c r="T383" s="6">
        <v>9.9860000000000007</v>
      </c>
      <c r="U383" s="6">
        <v>9.7390000000000008</v>
      </c>
      <c r="V383" s="6">
        <v>9.8279999999999994</v>
      </c>
      <c r="W383" s="46"/>
      <c r="X383" s="46"/>
      <c r="Y383" s="46"/>
      <c r="Z383" s="4">
        <v>9.6839999999999993</v>
      </c>
      <c r="AA383" s="4">
        <v>9.6760000000000002</v>
      </c>
      <c r="AB383" s="4">
        <v>10.208</v>
      </c>
      <c r="AC383" s="6">
        <v>10.26</v>
      </c>
      <c r="AD383" s="6">
        <v>10.27</v>
      </c>
      <c r="AE383" s="6">
        <v>10.086</v>
      </c>
      <c r="AF383" s="6">
        <v>10.231</v>
      </c>
      <c r="AG383" s="6">
        <v>9.15</v>
      </c>
      <c r="AH383" s="6">
        <f t="shared" si="33"/>
        <v>9.6905000000000001</v>
      </c>
      <c r="AI383" s="11"/>
      <c r="AJ383" s="11"/>
      <c r="AK383" s="11"/>
      <c r="AL383" s="11"/>
      <c r="AM383" s="11"/>
      <c r="AN383" s="11"/>
      <c r="AO383" s="11"/>
      <c r="AP383" s="3"/>
      <c r="AQ383" s="8"/>
    </row>
    <row r="384" spans="1:43">
      <c r="A384" s="1">
        <f t="shared" si="42"/>
        <v>382</v>
      </c>
      <c r="B384" s="31"/>
      <c r="C384" s="1">
        <v>2</v>
      </c>
      <c r="D384" s="4">
        <f t="shared" si="41"/>
        <v>12</v>
      </c>
      <c r="E384" s="4" t="s">
        <v>297</v>
      </c>
      <c r="F384" s="4">
        <v>3</v>
      </c>
      <c r="G384" s="4" t="s">
        <v>11</v>
      </c>
      <c r="H384" s="4" t="s">
        <v>12</v>
      </c>
      <c r="I384" s="4"/>
      <c r="J384" s="5">
        <v>97.2</v>
      </c>
      <c r="K384" s="65"/>
      <c r="L384" s="38">
        <v>11.196999999999999</v>
      </c>
      <c r="M384" s="127" t="s">
        <v>204</v>
      </c>
      <c r="N384" s="4" t="s">
        <v>13</v>
      </c>
      <c r="O384" s="6">
        <v>11.192</v>
      </c>
      <c r="P384" s="4" t="s">
        <v>184</v>
      </c>
      <c r="Q384" s="3" t="s">
        <v>205</v>
      </c>
      <c r="R384" s="6">
        <v>11.651999999999999</v>
      </c>
      <c r="S384" s="6">
        <v>11.472</v>
      </c>
      <c r="T384" s="6">
        <v>11.404</v>
      </c>
      <c r="U384" s="6">
        <v>11.183</v>
      </c>
      <c r="V384" s="6">
        <v>11.323</v>
      </c>
      <c r="W384" s="46"/>
      <c r="X384" s="46"/>
      <c r="Y384" s="46"/>
      <c r="Z384" s="4">
        <v>11.268000000000001</v>
      </c>
      <c r="AA384" s="6">
        <v>11.226000000000001</v>
      </c>
      <c r="AB384" s="4">
        <v>11.641</v>
      </c>
      <c r="AC384" s="6">
        <v>11.621</v>
      </c>
      <c r="AD384" s="6">
        <v>11.57</v>
      </c>
      <c r="AE384" s="6">
        <v>11.475</v>
      </c>
      <c r="AF384" s="6">
        <v>11.489000000000001</v>
      </c>
      <c r="AG384" s="6">
        <v>11.045</v>
      </c>
      <c r="AH384" s="6">
        <f t="shared" si="33"/>
        <v>11.266999999999999</v>
      </c>
      <c r="AI384" s="11"/>
      <c r="AJ384" s="11"/>
      <c r="AK384" s="11"/>
      <c r="AL384" s="11"/>
      <c r="AM384" s="11"/>
      <c r="AN384" s="11"/>
      <c r="AO384" s="11"/>
      <c r="AP384" s="3"/>
      <c r="AQ384" s="8"/>
    </row>
    <row r="385" spans="1:43">
      <c r="A385" s="1">
        <f t="shared" si="42"/>
        <v>383</v>
      </c>
      <c r="B385" s="31"/>
      <c r="C385" s="1">
        <v>2</v>
      </c>
      <c r="D385" s="4">
        <f t="shared" si="41"/>
        <v>12</v>
      </c>
      <c r="E385" s="4" t="s">
        <v>298</v>
      </c>
      <c r="F385" s="4">
        <v>3</v>
      </c>
      <c r="G385" s="4" t="s">
        <v>14</v>
      </c>
      <c r="H385" s="4" t="s">
        <v>15</v>
      </c>
      <c r="I385" s="4"/>
      <c r="J385" s="5">
        <v>97.9</v>
      </c>
      <c r="K385" s="65"/>
      <c r="L385" s="38">
        <v>12.297000000000001</v>
      </c>
      <c r="M385" s="127" t="s">
        <v>204</v>
      </c>
      <c r="N385" s="4" t="s">
        <v>13</v>
      </c>
      <c r="O385" s="6">
        <v>12.238</v>
      </c>
      <c r="P385" s="4" t="s">
        <v>184</v>
      </c>
      <c r="Q385" s="3" t="s">
        <v>205</v>
      </c>
      <c r="R385" s="6">
        <v>13.042</v>
      </c>
      <c r="S385" s="6">
        <v>12.207000000000001</v>
      </c>
      <c r="T385" s="6">
        <v>12.695</v>
      </c>
      <c r="U385" s="6">
        <v>12.443</v>
      </c>
      <c r="V385" s="6">
        <v>12.452</v>
      </c>
      <c r="W385" s="46"/>
      <c r="X385" s="46"/>
      <c r="Y385" s="46"/>
      <c r="Z385" s="6">
        <v>12.33</v>
      </c>
      <c r="AA385" s="6">
        <v>12.324999999999999</v>
      </c>
      <c r="AB385" s="6">
        <v>12.757</v>
      </c>
      <c r="AC385" s="6">
        <v>12.568</v>
      </c>
      <c r="AD385" s="6">
        <v>12.449</v>
      </c>
      <c r="AE385" s="6">
        <v>12.615</v>
      </c>
      <c r="AF385" s="6">
        <v>12.397</v>
      </c>
      <c r="AG385" s="6">
        <v>12.273</v>
      </c>
      <c r="AH385" s="6">
        <f t="shared" si="33"/>
        <v>12.335000000000001</v>
      </c>
      <c r="AI385" s="11"/>
      <c r="AJ385" s="11"/>
      <c r="AK385" s="11"/>
      <c r="AL385" s="11"/>
      <c r="AM385" s="11"/>
      <c r="AN385" s="11"/>
      <c r="AO385" s="11"/>
      <c r="AP385" s="3"/>
      <c r="AQ385" s="8"/>
    </row>
    <row r="386" spans="1:43">
      <c r="A386" s="1">
        <f t="shared" si="42"/>
        <v>384</v>
      </c>
      <c r="B386" s="31" t="s">
        <v>75</v>
      </c>
      <c r="C386" s="1">
        <v>2</v>
      </c>
      <c r="D386" s="4">
        <f t="shared" si="41"/>
        <v>12</v>
      </c>
      <c r="E386" s="4" t="s">
        <v>163</v>
      </c>
      <c r="F386" s="4">
        <v>1</v>
      </c>
      <c r="G386" s="4" t="s">
        <v>14</v>
      </c>
      <c r="H386" s="4" t="s">
        <v>91</v>
      </c>
      <c r="I386" s="4"/>
      <c r="J386" s="5">
        <v>95.1</v>
      </c>
      <c r="K386" s="63">
        <v>7.8E-2</v>
      </c>
      <c r="L386" s="38">
        <v>7.367</v>
      </c>
      <c r="M386" s="127" t="s">
        <v>220</v>
      </c>
      <c r="N386" s="4" t="s">
        <v>13</v>
      </c>
      <c r="O386" s="6">
        <v>7.391</v>
      </c>
      <c r="P386" s="4" t="s">
        <v>7</v>
      </c>
      <c r="Q386" s="3" t="s">
        <v>205</v>
      </c>
      <c r="R386" s="22">
        <v>7.351</v>
      </c>
      <c r="S386" s="6">
        <v>7.2930000000000001</v>
      </c>
      <c r="T386" s="6">
        <v>7.3920000000000003</v>
      </c>
      <c r="U386" s="22">
        <v>7.4160000000000004</v>
      </c>
      <c r="V386" s="22">
        <v>7.4160000000000004</v>
      </c>
      <c r="W386" s="22">
        <v>7.3490000000000002</v>
      </c>
      <c r="X386" s="22">
        <v>7.351</v>
      </c>
      <c r="Y386" s="22">
        <v>7.3570000000000002</v>
      </c>
      <c r="Z386" s="22">
        <v>7.3540000000000001</v>
      </c>
      <c r="AA386" s="22">
        <v>7.3650000000000002</v>
      </c>
      <c r="AB386" s="6">
        <v>7.4809999999999999</v>
      </c>
      <c r="AC386" s="6">
        <v>7.4429999999999996</v>
      </c>
      <c r="AD386" s="6">
        <v>7.3929999999999998</v>
      </c>
      <c r="AE386" s="6">
        <v>7.391</v>
      </c>
      <c r="AF386" s="6">
        <v>7.3369999999999997</v>
      </c>
      <c r="AG386" s="6">
        <v>7.1710000000000003</v>
      </c>
      <c r="AH386" s="6">
        <f t="shared" si="33"/>
        <v>7.2539999999999996</v>
      </c>
      <c r="AI386" s="11"/>
      <c r="AJ386" s="11"/>
      <c r="AK386" s="11"/>
      <c r="AL386" s="11"/>
      <c r="AM386" s="11"/>
      <c r="AN386" s="11"/>
      <c r="AO386" s="11"/>
      <c r="AP386" s="3"/>
      <c r="AQ386" s="8"/>
    </row>
    <row r="387" spans="1:43">
      <c r="A387" s="1">
        <f t="shared" si="42"/>
        <v>385</v>
      </c>
      <c r="B387" s="31"/>
      <c r="C387" s="1">
        <v>2</v>
      </c>
      <c r="D387" s="4">
        <f t="shared" si="41"/>
        <v>12</v>
      </c>
      <c r="E387" s="4" t="s">
        <v>162</v>
      </c>
      <c r="F387" s="4">
        <v>1</v>
      </c>
      <c r="G387" s="4" t="s">
        <v>11</v>
      </c>
      <c r="H387" s="4" t="s">
        <v>17</v>
      </c>
      <c r="I387" s="4"/>
      <c r="J387" s="5">
        <v>95.8</v>
      </c>
      <c r="K387" s="63">
        <v>0.34599999999999997</v>
      </c>
      <c r="L387" s="38">
        <v>7.8970000000000002</v>
      </c>
      <c r="M387" s="127" t="s">
        <v>220</v>
      </c>
      <c r="N387" s="4" t="s">
        <v>13</v>
      </c>
      <c r="O387" s="6">
        <v>7.8949999999999996</v>
      </c>
      <c r="P387" s="4" t="s">
        <v>7</v>
      </c>
      <c r="Q387" s="3" t="s">
        <v>205</v>
      </c>
      <c r="R387" s="22">
        <v>7.952</v>
      </c>
      <c r="S387" s="6">
        <v>7.9240000000000004</v>
      </c>
      <c r="T387" s="6">
        <v>7.8760000000000003</v>
      </c>
      <c r="U387" s="46"/>
      <c r="V387" s="22">
        <v>8.02</v>
      </c>
      <c r="W387" s="22">
        <v>7.9020000000000001</v>
      </c>
      <c r="X387" s="22">
        <v>7.8949999999999996</v>
      </c>
      <c r="Y387" s="22">
        <v>7.92</v>
      </c>
      <c r="Z387" s="22">
        <v>7.9050000000000002</v>
      </c>
      <c r="AA387" s="22">
        <v>7.9180000000000001</v>
      </c>
      <c r="AB387" s="6">
        <v>7.984</v>
      </c>
      <c r="AC387" s="6">
        <v>8.0050000000000008</v>
      </c>
      <c r="AD387" s="6">
        <v>7.9779999999999998</v>
      </c>
      <c r="AE387" s="6">
        <v>7.8760000000000003</v>
      </c>
      <c r="AF387" s="6">
        <v>7.9130000000000003</v>
      </c>
      <c r="AG387" s="6">
        <v>7.6890000000000001</v>
      </c>
      <c r="AH387" s="6">
        <f t="shared" si="33"/>
        <v>7.8010000000000002</v>
      </c>
      <c r="AI387" s="11"/>
      <c r="AJ387" s="11"/>
      <c r="AK387" s="11"/>
      <c r="AL387" s="11"/>
      <c r="AM387" s="11"/>
      <c r="AN387" s="11"/>
      <c r="AO387" s="11"/>
      <c r="AP387" s="3"/>
      <c r="AQ387" s="8"/>
    </row>
    <row r="388" spans="1:43">
      <c r="A388" s="1">
        <f t="shared" si="42"/>
        <v>386</v>
      </c>
      <c r="B388" s="31"/>
      <c r="C388" s="1">
        <v>2</v>
      </c>
      <c r="D388" s="4">
        <f t="shared" ref="D388:D451" si="46">_xlfn.SWITCH(C388,1,12,2,12,3,35,4,35,5,35,6,69,7,69,8,69,9,69,1016)</f>
        <v>12</v>
      </c>
      <c r="E388" s="4" t="s">
        <v>240</v>
      </c>
      <c r="F388" s="4">
        <v>1</v>
      </c>
      <c r="G388" s="4" t="s">
        <v>14</v>
      </c>
      <c r="H388" s="4" t="s">
        <v>23</v>
      </c>
      <c r="I388" s="4"/>
      <c r="J388" s="5">
        <v>95.3</v>
      </c>
      <c r="K388" s="65"/>
      <c r="L388" s="38">
        <v>8.0389999999999997</v>
      </c>
      <c r="M388" s="127" t="s">
        <v>220</v>
      </c>
      <c r="N388" s="4" t="s">
        <v>13</v>
      </c>
      <c r="O388" s="6">
        <v>8.0559999999999992</v>
      </c>
      <c r="P388" s="4" t="s">
        <v>7</v>
      </c>
      <c r="Q388" s="3" t="s">
        <v>205</v>
      </c>
      <c r="R388" s="22">
        <v>8.0069999999999997</v>
      </c>
      <c r="S388" s="6">
        <v>7.9470000000000001</v>
      </c>
      <c r="T388" s="6">
        <v>8.0440000000000005</v>
      </c>
      <c r="U388" s="22">
        <v>8.1509999999999998</v>
      </c>
      <c r="V388" s="22">
        <v>8.0779999999999994</v>
      </c>
      <c r="W388" s="22">
        <v>8.0180000000000007</v>
      </c>
      <c r="X388" s="22">
        <v>8.02</v>
      </c>
      <c r="Y388" s="22">
        <v>8.0259999999999998</v>
      </c>
      <c r="Z388" s="22">
        <v>8.0250000000000004</v>
      </c>
      <c r="AA388" s="22">
        <v>8.0370000000000008</v>
      </c>
      <c r="AB388" s="6">
        <v>8.1430000000000007</v>
      </c>
      <c r="AC388" s="6">
        <v>8.1069999999999993</v>
      </c>
      <c r="AD388" s="6">
        <v>8.0530000000000008</v>
      </c>
      <c r="AE388" s="6">
        <v>8.0549999999999997</v>
      </c>
      <c r="AF388" s="6">
        <v>7.9889999999999999</v>
      </c>
      <c r="AG388" s="6">
        <v>7.8419999999999996</v>
      </c>
      <c r="AH388" s="6">
        <f t="shared" si="33"/>
        <v>7.9154999999999998</v>
      </c>
      <c r="AI388" s="11"/>
      <c r="AJ388" s="11"/>
      <c r="AK388" s="11"/>
      <c r="AL388" s="11"/>
      <c r="AM388" s="11"/>
      <c r="AN388" s="11"/>
      <c r="AO388" s="11"/>
      <c r="AP388" s="3"/>
      <c r="AQ388" s="8"/>
    </row>
    <row r="389" spans="1:43">
      <c r="A389" s="1">
        <f t="shared" si="42"/>
        <v>387</v>
      </c>
      <c r="B389" s="31"/>
      <c r="C389" s="1">
        <v>2</v>
      </c>
      <c r="D389" s="4">
        <f t="shared" si="46"/>
        <v>12</v>
      </c>
      <c r="E389" s="4" t="s">
        <v>120</v>
      </c>
      <c r="F389" s="4">
        <v>1</v>
      </c>
      <c r="G389" s="4" t="s">
        <v>11</v>
      </c>
      <c r="H389" s="4" t="s">
        <v>121</v>
      </c>
      <c r="I389" s="4" t="s">
        <v>321</v>
      </c>
      <c r="J389" s="5">
        <v>20</v>
      </c>
      <c r="K389" s="65"/>
      <c r="L389" s="38">
        <v>12.898999999999999</v>
      </c>
      <c r="M389" s="127" t="s">
        <v>343</v>
      </c>
      <c r="N389" s="4" t="s">
        <v>13</v>
      </c>
      <c r="O389" s="46"/>
      <c r="P389" s="11"/>
      <c r="Q389" s="3" t="s">
        <v>205</v>
      </c>
      <c r="R389" s="46"/>
      <c r="S389" s="46"/>
      <c r="T389" s="46"/>
      <c r="U389" s="46"/>
      <c r="V389" s="46"/>
      <c r="W389" s="46"/>
      <c r="X389" s="46"/>
      <c r="Y389" s="6">
        <v>13.545</v>
      </c>
      <c r="Z389" s="6">
        <v>13.42</v>
      </c>
      <c r="AA389" s="6">
        <v>13.08</v>
      </c>
      <c r="AB389" s="46"/>
      <c r="AC389" s="46"/>
      <c r="AD389" s="46"/>
      <c r="AE389" s="46"/>
      <c r="AF389" s="46"/>
      <c r="AG389" s="6">
        <v>11.500999999999999</v>
      </c>
      <c r="AH389" s="46"/>
      <c r="AI389" s="22">
        <v>14.119</v>
      </c>
      <c r="AJ389" s="22">
        <v>13.163</v>
      </c>
      <c r="AK389" s="22">
        <v>13.093</v>
      </c>
      <c r="AL389" s="22">
        <v>13.205</v>
      </c>
      <c r="AM389" s="22">
        <v>13.177</v>
      </c>
      <c r="AN389" s="22">
        <v>13.262</v>
      </c>
      <c r="AO389" s="22">
        <v>13.109</v>
      </c>
      <c r="AP389" s="3"/>
      <c r="AQ389" s="8"/>
    </row>
    <row r="390" spans="1:43">
      <c r="A390" s="1">
        <f t="shared" si="42"/>
        <v>388</v>
      </c>
      <c r="B390" s="31"/>
      <c r="C390" s="1">
        <v>2</v>
      </c>
      <c r="D390" s="4">
        <f t="shared" si="46"/>
        <v>12</v>
      </c>
      <c r="E390" s="4" t="s">
        <v>166</v>
      </c>
      <c r="F390" s="4">
        <v>3</v>
      </c>
      <c r="G390" s="4" t="s">
        <v>11</v>
      </c>
      <c r="H390" s="4" t="s">
        <v>17</v>
      </c>
      <c r="I390" s="4"/>
      <c r="J390" s="5">
        <v>99.1</v>
      </c>
      <c r="K390" s="65"/>
      <c r="L390" s="38">
        <v>4.5449999999999999</v>
      </c>
      <c r="M390" s="127" t="s">
        <v>103</v>
      </c>
      <c r="N390" s="4" t="s">
        <v>13</v>
      </c>
      <c r="O390" s="6">
        <v>4.5549999999999997</v>
      </c>
      <c r="P390" s="4" t="s">
        <v>7</v>
      </c>
      <c r="Q390" s="3" t="s">
        <v>205</v>
      </c>
      <c r="R390" s="22">
        <v>4.6219999999999999</v>
      </c>
      <c r="S390" s="6">
        <v>4.5880000000000001</v>
      </c>
      <c r="T390" s="6">
        <v>4.4409999999999998</v>
      </c>
      <c r="U390" s="22">
        <v>4.3579999999999997</v>
      </c>
      <c r="V390" s="22">
        <v>4.4619999999999997</v>
      </c>
      <c r="W390" s="46"/>
      <c r="X390" s="46"/>
      <c r="Y390" s="46"/>
      <c r="Z390" s="22">
        <v>4.5270000000000001</v>
      </c>
      <c r="AA390" s="22">
        <v>4.5330000000000004</v>
      </c>
      <c r="AB390" s="6">
        <v>4.585</v>
      </c>
      <c r="AC390" s="6">
        <v>4.5789999999999997</v>
      </c>
      <c r="AD390" s="6">
        <v>4.5830000000000002</v>
      </c>
      <c r="AE390" s="6">
        <v>4.508</v>
      </c>
      <c r="AF390" s="6">
        <v>4.5910000000000002</v>
      </c>
      <c r="AG390" s="6">
        <v>4.2850000000000001</v>
      </c>
      <c r="AH390" s="6">
        <f t="shared" si="33"/>
        <v>4.4380000000000006</v>
      </c>
      <c r="AI390" s="9"/>
      <c r="AJ390" s="9"/>
      <c r="AK390" s="9"/>
      <c r="AL390" s="9"/>
      <c r="AM390" s="9"/>
      <c r="AN390" s="9"/>
      <c r="AO390" s="9"/>
      <c r="AP390" s="3"/>
      <c r="AQ390" s="8"/>
    </row>
    <row r="391" spans="1:43">
      <c r="A391" s="1">
        <f t="shared" si="42"/>
        <v>389</v>
      </c>
      <c r="B391" s="31"/>
      <c r="C391" s="1">
        <v>2</v>
      </c>
      <c r="D391" s="4">
        <f t="shared" si="46"/>
        <v>12</v>
      </c>
      <c r="E391" s="4" t="s">
        <v>165</v>
      </c>
      <c r="F391" s="4">
        <v>3</v>
      </c>
      <c r="G391" s="4" t="s">
        <v>14</v>
      </c>
      <c r="H391" s="4" t="s">
        <v>91</v>
      </c>
      <c r="I391" s="4"/>
      <c r="J391" s="5">
        <v>98.5</v>
      </c>
      <c r="K391" s="65"/>
      <c r="L391" s="38">
        <v>7.2619999999999996</v>
      </c>
      <c r="M391" s="127" t="s">
        <v>258</v>
      </c>
      <c r="N391" s="4" t="s">
        <v>13</v>
      </c>
      <c r="O391" s="6">
        <v>7.2869999999999999</v>
      </c>
      <c r="P391" s="4" t="s">
        <v>7</v>
      </c>
      <c r="Q391" s="3" t="s">
        <v>205</v>
      </c>
      <c r="R391" s="22">
        <v>7.2610000000000001</v>
      </c>
      <c r="S391" s="6">
        <v>7.1909999999999998</v>
      </c>
      <c r="T391" s="6">
        <v>7.2619999999999996</v>
      </c>
      <c r="U391" s="22">
        <v>7.3079999999999998</v>
      </c>
      <c r="V391" s="22">
        <v>7.2869999999999999</v>
      </c>
      <c r="W391" s="46"/>
      <c r="X391" s="46"/>
      <c r="Y391" s="46"/>
      <c r="Z391" s="22">
        <v>7.2430000000000003</v>
      </c>
      <c r="AA391" s="22">
        <v>7.2530000000000001</v>
      </c>
      <c r="AB391" s="6">
        <v>7.4080000000000004</v>
      </c>
      <c r="AC391" s="6">
        <v>7.3719999999999999</v>
      </c>
      <c r="AD391" s="6">
        <v>7.3109999999999999</v>
      </c>
      <c r="AE391" s="6">
        <v>7.3239999999999998</v>
      </c>
      <c r="AF391" s="6">
        <v>7.2329999999999997</v>
      </c>
      <c r="AG391" s="6">
        <v>7.056</v>
      </c>
      <c r="AH391" s="6">
        <f t="shared" ref="AH391:AH392" si="47">IF((AF391&lt;&gt;0)*AND(AG391&lt;&gt;0),AVERAGE(AF391:AG391),"")</f>
        <v>7.1444999999999999</v>
      </c>
      <c r="AI391" s="9"/>
      <c r="AJ391" s="9"/>
      <c r="AK391" s="9"/>
      <c r="AL391" s="9"/>
      <c r="AM391" s="9"/>
      <c r="AN391" s="9"/>
      <c r="AO391" s="9"/>
      <c r="AP391" s="3"/>
      <c r="AQ391" s="8"/>
    </row>
    <row r="392" spans="1:43">
      <c r="A392" s="1">
        <f t="shared" si="42"/>
        <v>390</v>
      </c>
      <c r="B392" s="31"/>
      <c r="C392" s="1">
        <v>2</v>
      </c>
      <c r="D392" s="4">
        <f t="shared" si="46"/>
        <v>12</v>
      </c>
      <c r="E392" s="4" t="s">
        <v>241</v>
      </c>
      <c r="F392" s="4">
        <v>3</v>
      </c>
      <c r="G392" s="4" t="s">
        <v>14</v>
      </c>
      <c r="H392" s="4" t="s">
        <v>23</v>
      </c>
      <c r="I392" s="4"/>
      <c r="J392" s="5">
        <v>98.4</v>
      </c>
      <c r="K392" s="65"/>
      <c r="L392" s="38">
        <v>8.016</v>
      </c>
      <c r="M392" s="127" t="s">
        <v>105</v>
      </c>
      <c r="N392" s="4" t="s">
        <v>13</v>
      </c>
      <c r="O392" s="6">
        <v>8.0340000000000007</v>
      </c>
      <c r="P392" s="4" t="s">
        <v>7</v>
      </c>
      <c r="Q392" s="3" t="s">
        <v>205</v>
      </c>
      <c r="R392" s="22">
        <v>7.9729999999999999</v>
      </c>
      <c r="S392" s="6">
        <v>7.907</v>
      </c>
      <c r="T392" s="6">
        <v>7.95</v>
      </c>
      <c r="U392" s="22">
        <v>8.1</v>
      </c>
      <c r="V392" s="22">
        <v>8.0259999999999998</v>
      </c>
      <c r="W392" s="46"/>
      <c r="X392" s="46"/>
      <c r="Y392" s="46"/>
      <c r="Z392" s="22">
        <v>7.9779999999999998</v>
      </c>
      <c r="AA392" s="22">
        <v>7.9880000000000004</v>
      </c>
      <c r="AB392" s="6">
        <v>8.1159999999999997</v>
      </c>
      <c r="AC392" s="6">
        <v>8.0809999999999995</v>
      </c>
      <c r="AD392" s="6">
        <v>8.0220000000000002</v>
      </c>
      <c r="AE392" s="6">
        <v>8.0310000000000006</v>
      </c>
      <c r="AF392" s="6">
        <v>7.9480000000000004</v>
      </c>
      <c r="AG392" s="6">
        <v>7.7949999999999999</v>
      </c>
      <c r="AH392" s="6">
        <f t="shared" si="47"/>
        <v>7.8715000000000002</v>
      </c>
      <c r="AI392" s="9"/>
      <c r="AJ392" s="9"/>
      <c r="AK392" s="9"/>
      <c r="AL392" s="9"/>
      <c r="AM392" s="9"/>
      <c r="AN392" s="9"/>
      <c r="AO392" s="9"/>
      <c r="AP392" s="3"/>
      <c r="AQ392" s="8"/>
    </row>
    <row r="393" spans="1:43">
      <c r="A393" s="1">
        <f t="shared" si="42"/>
        <v>391</v>
      </c>
      <c r="B393" s="31" t="s">
        <v>222</v>
      </c>
      <c r="C393" s="1">
        <v>7</v>
      </c>
      <c r="D393" s="4">
        <f t="shared" si="46"/>
        <v>69</v>
      </c>
      <c r="E393" s="4" t="s">
        <v>137</v>
      </c>
      <c r="F393" s="4">
        <v>1</v>
      </c>
      <c r="G393" s="4" t="s">
        <v>11</v>
      </c>
      <c r="H393" s="4" t="s">
        <v>17</v>
      </c>
      <c r="I393" s="4"/>
      <c r="J393" s="5">
        <v>86.4</v>
      </c>
      <c r="K393" s="63">
        <v>7.0000000000000001E-3</v>
      </c>
      <c r="L393" s="38">
        <v>5.012999999999999</v>
      </c>
      <c r="M393" s="127" t="s">
        <v>212</v>
      </c>
      <c r="N393" s="4" t="s">
        <v>13</v>
      </c>
      <c r="O393" s="46"/>
      <c r="P393" s="11"/>
      <c r="Q393" s="3"/>
      <c r="R393" s="6">
        <v>5.2629999999999999</v>
      </c>
      <c r="S393" s="6">
        <v>5.1970000000000001</v>
      </c>
      <c r="T393" s="6">
        <v>5.407</v>
      </c>
      <c r="U393" s="6">
        <v>4.8259999999999996</v>
      </c>
      <c r="V393" s="6">
        <v>5.1779999999999999</v>
      </c>
      <c r="W393" s="6">
        <v>5.101</v>
      </c>
      <c r="X393" s="6">
        <v>5.1050000000000004</v>
      </c>
      <c r="Y393" s="6">
        <v>5.077</v>
      </c>
      <c r="Z393" s="6">
        <v>5.048</v>
      </c>
      <c r="AA393" s="6">
        <v>5.03</v>
      </c>
      <c r="AB393" s="6">
        <v>4.9969999999999999</v>
      </c>
      <c r="AC393" s="6">
        <v>4.992</v>
      </c>
      <c r="AD393" s="6">
        <v>5.0620000000000003</v>
      </c>
      <c r="AE393" s="6">
        <v>4.7729999999999997</v>
      </c>
      <c r="AF393" s="6">
        <v>5.1929999999999996</v>
      </c>
      <c r="AG393" s="6">
        <v>4.9859999999999998</v>
      </c>
      <c r="AH393" s="22">
        <f t="shared" ref="AH393:AH404" si="48">SUM(AF393:AG393)/2</f>
        <v>5.0894999999999992</v>
      </c>
      <c r="AI393" s="9"/>
      <c r="AJ393" s="9"/>
      <c r="AK393" s="9"/>
      <c r="AL393" s="9"/>
      <c r="AM393" s="9"/>
      <c r="AN393" s="9"/>
      <c r="AO393" s="9"/>
      <c r="AP393" s="3"/>
      <c r="AQ393" s="8"/>
    </row>
    <row r="394" spans="1:43">
      <c r="A394" s="1">
        <f t="shared" si="42"/>
        <v>392</v>
      </c>
      <c r="B394" s="31"/>
      <c r="C394" s="1">
        <v>7</v>
      </c>
      <c r="D394" s="4">
        <f t="shared" si="46"/>
        <v>69</v>
      </c>
      <c r="E394" s="4" t="s">
        <v>118</v>
      </c>
      <c r="F394" s="4">
        <v>1</v>
      </c>
      <c r="G394" s="4" t="s">
        <v>11</v>
      </c>
      <c r="H394" s="4" t="s">
        <v>17</v>
      </c>
      <c r="I394" s="4"/>
      <c r="J394" s="5">
        <v>92.5</v>
      </c>
      <c r="K394" s="63">
        <v>0</v>
      </c>
      <c r="L394" s="38">
        <v>6.4280000000000008</v>
      </c>
      <c r="M394" s="127" t="s">
        <v>212</v>
      </c>
      <c r="N394" s="4" t="s">
        <v>13</v>
      </c>
      <c r="O394" s="46"/>
      <c r="P394" s="11"/>
      <c r="Q394" s="3"/>
      <c r="R394" s="6">
        <v>6.6210000000000004</v>
      </c>
      <c r="S394" s="6">
        <v>6.4550000000000001</v>
      </c>
      <c r="T394" s="6">
        <v>6.6550000000000002</v>
      </c>
      <c r="U394" s="6">
        <v>6.492</v>
      </c>
      <c r="V394" s="6">
        <v>6.508</v>
      </c>
      <c r="W394" s="6">
        <v>6.468</v>
      </c>
      <c r="X394" s="6">
        <v>6.4660000000000002</v>
      </c>
      <c r="Y394" s="6">
        <v>6.4450000000000003</v>
      </c>
      <c r="Z394" s="6">
        <v>6.4329999999999998</v>
      </c>
      <c r="AA394" s="6">
        <v>6.4420000000000002</v>
      </c>
      <c r="AB394" s="6">
        <v>6.3220000000000001</v>
      </c>
      <c r="AC394" s="6">
        <v>6.3570000000000002</v>
      </c>
      <c r="AD394" s="6">
        <v>6.391</v>
      </c>
      <c r="AE394" s="6">
        <v>6.149</v>
      </c>
      <c r="AF394" s="6">
        <v>6.4160000000000004</v>
      </c>
      <c r="AG394" s="6">
        <v>6.2519999999999998</v>
      </c>
      <c r="AH394" s="22">
        <f t="shared" si="48"/>
        <v>6.3339999999999996</v>
      </c>
      <c r="AI394" s="9"/>
      <c r="AJ394" s="9"/>
      <c r="AK394" s="9"/>
      <c r="AL394" s="9"/>
      <c r="AM394" s="9"/>
      <c r="AN394" s="9"/>
      <c r="AO394" s="9"/>
      <c r="AP394" s="3"/>
      <c r="AQ394" s="8"/>
    </row>
    <row r="395" spans="1:43">
      <c r="A395" s="1">
        <f t="shared" si="42"/>
        <v>393</v>
      </c>
      <c r="B395" s="31"/>
      <c r="C395" s="1">
        <v>7</v>
      </c>
      <c r="D395" s="4">
        <f t="shared" si="46"/>
        <v>69</v>
      </c>
      <c r="E395" s="4" t="s">
        <v>128</v>
      </c>
      <c r="F395" s="4">
        <v>1</v>
      </c>
      <c r="G395" s="4" t="s">
        <v>14</v>
      </c>
      <c r="H395" s="4" t="s">
        <v>170</v>
      </c>
      <c r="I395" s="4"/>
      <c r="J395" s="5">
        <v>92.8</v>
      </c>
      <c r="K395" s="63">
        <v>3.0000000000000001E-3</v>
      </c>
      <c r="L395" s="38">
        <v>6.4799999999999995</v>
      </c>
      <c r="M395" s="127" t="s">
        <v>212</v>
      </c>
      <c r="N395" s="4" t="s">
        <v>13</v>
      </c>
      <c r="O395" s="46"/>
      <c r="P395" s="11"/>
      <c r="Q395" s="3"/>
      <c r="R395" s="6">
        <v>6.5339999999999998</v>
      </c>
      <c r="S395" s="6">
        <v>6.3890000000000002</v>
      </c>
      <c r="T395" s="6">
        <v>6.7729999999999997</v>
      </c>
      <c r="U395" s="6">
        <v>6.6120000000000001</v>
      </c>
      <c r="V395" s="6">
        <v>6.5490000000000004</v>
      </c>
      <c r="W395" s="6">
        <v>6.4969999999999999</v>
      </c>
      <c r="X395" s="6">
        <v>6.5039999999999996</v>
      </c>
      <c r="Y395" s="6">
        <v>6.4989999999999997</v>
      </c>
      <c r="Z395" s="6">
        <v>6.4720000000000004</v>
      </c>
      <c r="AA395" s="6">
        <v>6.4870000000000001</v>
      </c>
      <c r="AB395" s="6">
        <v>6.6029999999999998</v>
      </c>
      <c r="AC395" s="6">
        <v>6.5439999999999996</v>
      </c>
      <c r="AD395" s="6">
        <v>6.4930000000000003</v>
      </c>
      <c r="AE395" s="6">
        <v>6.4749999999999996</v>
      </c>
      <c r="AF395" s="6">
        <v>6.4409999999999998</v>
      </c>
      <c r="AG395" s="6">
        <v>6.3540000000000001</v>
      </c>
      <c r="AH395" s="22">
        <f t="shared" si="48"/>
        <v>6.3975</v>
      </c>
      <c r="AI395" s="9"/>
      <c r="AJ395" s="9"/>
      <c r="AK395" s="9"/>
      <c r="AL395" s="9"/>
      <c r="AM395" s="9"/>
      <c r="AN395" s="9"/>
      <c r="AO395" s="9"/>
      <c r="AP395" s="3"/>
      <c r="AQ395" s="8"/>
    </row>
    <row r="396" spans="1:43">
      <c r="A396" s="1">
        <f t="shared" si="42"/>
        <v>394</v>
      </c>
      <c r="B396" s="31"/>
      <c r="C396" s="1">
        <v>7</v>
      </c>
      <c r="D396" s="4">
        <f t="shared" si="46"/>
        <v>69</v>
      </c>
      <c r="E396" s="4" t="s">
        <v>131</v>
      </c>
      <c r="F396" s="4">
        <v>1</v>
      </c>
      <c r="G396" s="4" t="s">
        <v>14</v>
      </c>
      <c r="H396" s="4" t="s">
        <v>170</v>
      </c>
      <c r="I396" s="4"/>
      <c r="J396" s="5">
        <v>92.8</v>
      </c>
      <c r="K396" s="65"/>
      <c r="L396" s="38">
        <v>6.835</v>
      </c>
      <c r="M396" s="127" t="s">
        <v>212</v>
      </c>
      <c r="N396" s="4" t="s">
        <v>13</v>
      </c>
      <c r="O396" s="46"/>
      <c r="P396" s="11"/>
      <c r="Q396" s="3"/>
      <c r="R396" s="6">
        <v>6.9210000000000003</v>
      </c>
      <c r="S396" s="6">
        <v>6.8159999999999998</v>
      </c>
      <c r="T396" s="6">
        <v>7.1360000000000001</v>
      </c>
      <c r="U396" s="6">
        <v>6.99</v>
      </c>
      <c r="V396" s="6">
        <v>6.9180000000000001</v>
      </c>
      <c r="W396" s="6">
        <v>6.8570000000000002</v>
      </c>
      <c r="X396" s="6">
        <v>6.8630000000000004</v>
      </c>
      <c r="Y396" s="6">
        <v>6.86</v>
      </c>
      <c r="Z396" s="6">
        <v>6.8310000000000004</v>
      </c>
      <c r="AA396" s="6">
        <v>6.8479999999999999</v>
      </c>
      <c r="AB396" s="6">
        <v>6.984</v>
      </c>
      <c r="AC396" s="6">
        <v>6.9169999999999998</v>
      </c>
      <c r="AD396" s="6">
        <v>6.883</v>
      </c>
      <c r="AE396" s="6">
        <v>6.8680000000000003</v>
      </c>
      <c r="AF396" s="6">
        <v>6.88</v>
      </c>
      <c r="AG396" s="6">
        <v>6.6779999999999999</v>
      </c>
      <c r="AH396" s="22">
        <f t="shared" si="48"/>
        <v>6.7789999999999999</v>
      </c>
      <c r="AI396" s="9"/>
      <c r="AJ396" s="9"/>
      <c r="AK396" s="9"/>
      <c r="AL396" s="9"/>
      <c r="AM396" s="9"/>
      <c r="AN396" s="9"/>
      <c r="AO396" s="9"/>
      <c r="AP396" s="3"/>
      <c r="AQ396" s="8"/>
    </row>
    <row r="397" spans="1:43">
      <c r="A397" s="1">
        <f t="shared" si="42"/>
        <v>395</v>
      </c>
      <c r="B397" s="31"/>
      <c r="C397" s="1">
        <v>7</v>
      </c>
      <c r="D397" s="4">
        <f t="shared" si="46"/>
        <v>69</v>
      </c>
      <c r="E397" s="4" t="s">
        <v>128</v>
      </c>
      <c r="F397" s="4">
        <v>1</v>
      </c>
      <c r="G397" s="4" t="s">
        <v>14</v>
      </c>
      <c r="H397" s="4" t="s">
        <v>170</v>
      </c>
      <c r="I397" s="4"/>
      <c r="J397" s="5">
        <v>93.1</v>
      </c>
      <c r="K397" s="63">
        <v>2.1999999999999999E-2</v>
      </c>
      <c r="L397" s="38">
        <v>7.0599999999999987</v>
      </c>
      <c r="M397" s="127" t="s">
        <v>212</v>
      </c>
      <c r="N397" s="4" t="s">
        <v>13</v>
      </c>
      <c r="O397" s="46"/>
      <c r="P397" s="11"/>
      <c r="Q397" s="3"/>
      <c r="R397" s="6">
        <v>7.1390000000000002</v>
      </c>
      <c r="S397" s="6">
        <v>6.9669999999999996</v>
      </c>
      <c r="T397" s="6">
        <v>7.367</v>
      </c>
      <c r="U397" s="6">
        <v>7.2279999999999998</v>
      </c>
      <c r="V397" s="6">
        <v>7.1360000000000001</v>
      </c>
      <c r="W397" s="6">
        <v>7.0839999999999996</v>
      </c>
      <c r="X397" s="6">
        <v>7.0890000000000004</v>
      </c>
      <c r="Y397" s="6">
        <v>7.08</v>
      </c>
      <c r="Z397" s="6">
        <v>7.0529999999999999</v>
      </c>
      <c r="AA397" s="6">
        <v>7.069</v>
      </c>
      <c r="AB397" s="6">
        <v>7.2050000000000001</v>
      </c>
      <c r="AC397" s="6">
        <v>7.1390000000000002</v>
      </c>
      <c r="AD397" s="6">
        <v>7.0819999999999999</v>
      </c>
      <c r="AE397" s="6">
        <v>7.0780000000000003</v>
      </c>
      <c r="AF397" s="6">
        <v>7.0279999999999996</v>
      </c>
      <c r="AG397" s="6">
        <v>6.9370000000000003</v>
      </c>
      <c r="AH397" s="22">
        <f t="shared" si="48"/>
        <v>6.9824999999999999</v>
      </c>
      <c r="AI397" s="9"/>
      <c r="AJ397" s="9"/>
      <c r="AK397" s="9"/>
      <c r="AL397" s="9"/>
      <c r="AM397" s="9"/>
      <c r="AN397" s="9"/>
      <c r="AO397" s="9"/>
      <c r="AP397" s="3"/>
      <c r="AQ397" s="8"/>
    </row>
    <row r="398" spans="1:43">
      <c r="A398" s="1">
        <f t="shared" si="42"/>
        <v>396</v>
      </c>
      <c r="B398" s="31"/>
      <c r="C398" s="1">
        <v>7</v>
      </c>
      <c r="D398" s="4">
        <f t="shared" si="46"/>
        <v>69</v>
      </c>
      <c r="E398" s="4" t="s">
        <v>131</v>
      </c>
      <c r="F398" s="4">
        <v>1</v>
      </c>
      <c r="G398" s="4" t="s">
        <v>14</v>
      </c>
      <c r="H398" s="4" t="s">
        <v>170</v>
      </c>
      <c r="I398" s="4"/>
      <c r="J398" s="5">
        <v>92.6</v>
      </c>
      <c r="K398" s="65"/>
      <c r="L398" s="38">
        <v>7.0920000000000005</v>
      </c>
      <c r="M398" s="127" t="s">
        <v>212</v>
      </c>
      <c r="N398" s="4" t="s">
        <v>13</v>
      </c>
      <c r="O398" s="46"/>
      <c r="P398" s="11"/>
      <c r="Q398" s="3"/>
      <c r="R398" s="6">
        <v>7.1</v>
      </c>
      <c r="S398" s="6">
        <v>6.9660000000000002</v>
      </c>
      <c r="T398" s="6">
        <v>7.39</v>
      </c>
      <c r="U398" s="6">
        <v>7.2370000000000001</v>
      </c>
      <c r="V398" s="6">
        <v>7.1609999999999996</v>
      </c>
      <c r="W398" s="6">
        <v>7.11</v>
      </c>
      <c r="X398" s="6">
        <v>7.117</v>
      </c>
      <c r="Y398" s="6">
        <v>7.1130000000000004</v>
      </c>
      <c r="Z398" s="6">
        <v>7.0830000000000002</v>
      </c>
      <c r="AA398" s="6">
        <v>7.0990000000000002</v>
      </c>
      <c r="AB398" s="6">
        <v>7.2060000000000004</v>
      </c>
      <c r="AC398" s="6">
        <v>7.1459999999999999</v>
      </c>
      <c r="AD398" s="6">
        <v>7.0860000000000003</v>
      </c>
      <c r="AE398" s="6">
        <v>7.0780000000000003</v>
      </c>
      <c r="AF398" s="6">
        <v>7.02</v>
      </c>
      <c r="AG398" s="6">
        <v>6.968</v>
      </c>
      <c r="AH398" s="22">
        <f t="shared" si="48"/>
        <v>6.9939999999999998</v>
      </c>
      <c r="AI398" s="9"/>
      <c r="AJ398" s="9"/>
      <c r="AK398" s="9"/>
      <c r="AL398" s="9"/>
      <c r="AM398" s="9"/>
      <c r="AN398" s="9"/>
      <c r="AO398" s="9"/>
      <c r="AP398" s="3"/>
      <c r="AQ398" s="8"/>
    </row>
    <row r="399" spans="1:43">
      <c r="A399" s="1">
        <f t="shared" si="42"/>
        <v>397</v>
      </c>
      <c r="B399" s="31"/>
      <c r="C399" s="1">
        <v>7</v>
      </c>
      <c r="D399" s="4">
        <f t="shared" si="46"/>
        <v>69</v>
      </c>
      <c r="E399" s="4" t="s">
        <v>137</v>
      </c>
      <c r="F399" s="4">
        <v>1</v>
      </c>
      <c r="G399" s="4" t="s">
        <v>11</v>
      </c>
      <c r="H399" s="4" t="s">
        <v>17</v>
      </c>
      <c r="I399" s="4"/>
      <c r="J399" s="5">
        <v>91.2</v>
      </c>
      <c r="K399" s="63">
        <v>0.55600000000000005</v>
      </c>
      <c r="L399" s="38">
        <v>7.1690000000000005</v>
      </c>
      <c r="M399" s="127" t="s">
        <v>212</v>
      </c>
      <c r="N399" s="4" t="s">
        <v>13</v>
      </c>
      <c r="O399" s="46"/>
      <c r="P399" s="11"/>
      <c r="Q399" s="3"/>
      <c r="R399" s="6">
        <v>7.4560000000000004</v>
      </c>
      <c r="S399" s="6">
        <v>7.1669999999999998</v>
      </c>
      <c r="T399" s="6">
        <v>7.5430000000000001</v>
      </c>
      <c r="U399" s="52"/>
      <c r="V399" s="6">
        <v>7.3710000000000004</v>
      </c>
      <c r="W399" s="6">
        <v>7.23</v>
      </c>
      <c r="X399" s="6">
        <v>7.2009999999999996</v>
      </c>
      <c r="Y399" s="6">
        <v>7.2309999999999999</v>
      </c>
      <c r="Z399" s="6">
        <v>7.1669999999999998</v>
      </c>
      <c r="AA399" s="6">
        <v>7.2</v>
      </c>
      <c r="AB399" s="6">
        <v>7.3120000000000003</v>
      </c>
      <c r="AC399" s="6">
        <v>7.3019999999999996</v>
      </c>
      <c r="AD399" s="6">
        <v>7.258</v>
      </c>
      <c r="AE399" s="6">
        <v>7.1340000000000003</v>
      </c>
      <c r="AF399" s="6">
        <v>7.1719999999999997</v>
      </c>
      <c r="AG399" s="6">
        <v>7.0979999999999999</v>
      </c>
      <c r="AH399" s="22">
        <f t="shared" si="48"/>
        <v>7.1349999999999998</v>
      </c>
      <c r="AI399" s="9"/>
      <c r="AJ399" s="9"/>
      <c r="AK399" s="9"/>
      <c r="AL399" s="9"/>
      <c r="AM399" s="9"/>
      <c r="AN399" s="9"/>
      <c r="AO399" s="9"/>
      <c r="AP399" s="3"/>
      <c r="AQ399" s="8"/>
    </row>
    <row r="400" spans="1:43">
      <c r="A400" s="1">
        <f t="shared" si="42"/>
        <v>398</v>
      </c>
      <c r="B400" s="31"/>
      <c r="C400" s="1">
        <v>7</v>
      </c>
      <c r="D400" s="4">
        <f t="shared" si="46"/>
        <v>69</v>
      </c>
      <c r="E400" s="4" t="s">
        <v>118</v>
      </c>
      <c r="F400" s="4">
        <v>1</v>
      </c>
      <c r="G400" s="4" t="s">
        <v>11</v>
      </c>
      <c r="H400" s="4" t="s">
        <v>17</v>
      </c>
      <c r="I400" s="4"/>
      <c r="J400" s="5">
        <v>91.6</v>
      </c>
      <c r="K400" s="63">
        <v>0.58399999999999996</v>
      </c>
      <c r="L400" s="38">
        <v>7.2019999999999991</v>
      </c>
      <c r="M400" s="127" t="s">
        <v>212</v>
      </c>
      <c r="N400" s="4" t="s">
        <v>13</v>
      </c>
      <c r="O400" s="46"/>
      <c r="P400" s="11"/>
      <c r="Q400" s="3"/>
      <c r="R400" s="6">
        <v>7.3520000000000003</v>
      </c>
      <c r="S400" s="6">
        <v>7.1790000000000003</v>
      </c>
      <c r="T400" s="6">
        <v>7.5490000000000004</v>
      </c>
      <c r="U400" s="52"/>
      <c r="V400" s="6">
        <v>7.4050000000000002</v>
      </c>
      <c r="W400" s="6">
        <v>7.2489999999999997</v>
      </c>
      <c r="X400" s="6">
        <v>7.2190000000000003</v>
      </c>
      <c r="Y400" s="6">
        <v>7.2619999999999996</v>
      </c>
      <c r="Z400" s="6">
        <v>7.1959999999999997</v>
      </c>
      <c r="AA400" s="6">
        <v>7.2309999999999999</v>
      </c>
      <c r="AB400" s="6">
        <v>7.3289999999999997</v>
      </c>
      <c r="AC400" s="6">
        <v>7.3360000000000003</v>
      </c>
      <c r="AD400" s="6">
        <v>7.2850000000000001</v>
      </c>
      <c r="AE400" s="6">
        <v>7.1449999999999996</v>
      </c>
      <c r="AF400" s="6">
        <v>7.1660000000000004</v>
      </c>
      <c r="AG400" s="6">
        <v>7.1340000000000003</v>
      </c>
      <c r="AH400" s="22">
        <f t="shared" si="48"/>
        <v>7.15</v>
      </c>
      <c r="AI400" s="9"/>
      <c r="AJ400" s="9"/>
      <c r="AK400" s="9"/>
      <c r="AL400" s="9"/>
      <c r="AM400" s="9"/>
      <c r="AN400" s="9"/>
      <c r="AO400" s="9"/>
      <c r="AP400" s="3"/>
      <c r="AQ400" s="8"/>
    </row>
    <row r="401" spans="1:43">
      <c r="A401" s="1">
        <f t="shared" si="42"/>
        <v>399</v>
      </c>
      <c r="B401" s="31"/>
      <c r="C401" s="1">
        <v>7</v>
      </c>
      <c r="D401" s="4">
        <f t="shared" si="46"/>
        <v>69</v>
      </c>
      <c r="E401" s="4" t="s">
        <v>143</v>
      </c>
      <c r="F401" s="4">
        <v>3</v>
      </c>
      <c r="G401" s="4" t="s">
        <v>11</v>
      </c>
      <c r="H401" s="4" t="s">
        <v>17</v>
      </c>
      <c r="I401" s="4"/>
      <c r="J401" s="5">
        <v>98.5</v>
      </c>
      <c r="K401" s="65"/>
      <c r="L401" s="38">
        <v>4.1839999999999993</v>
      </c>
      <c r="M401" s="127" t="s">
        <v>113</v>
      </c>
      <c r="N401" s="4" t="s">
        <v>13</v>
      </c>
      <c r="O401" s="46"/>
      <c r="P401" s="11"/>
      <c r="Q401" s="3"/>
      <c r="R401" s="6">
        <v>4.492</v>
      </c>
      <c r="S401" s="6">
        <v>4.3760000000000003</v>
      </c>
      <c r="T401" s="6">
        <v>4.3730000000000002</v>
      </c>
      <c r="U401" s="6">
        <v>3.7959999999999998</v>
      </c>
      <c r="V401" s="6">
        <v>4.024</v>
      </c>
      <c r="W401" s="52"/>
      <c r="X401" s="52"/>
      <c r="Y401" s="52"/>
      <c r="Z401" s="6">
        <v>4.2009999999999996</v>
      </c>
      <c r="AA401" s="52"/>
      <c r="AB401" s="6">
        <v>4.343</v>
      </c>
      <c r="AC401" s="6">
        <v>4.3410000000000002</v>
      </c>
      <c r="AD401" s="6">
        <v>4.3529999999999998</v>
      </c>
      <c r="AE401" s="6">
        <v>4.2279999999999998</v>
      </c>
      <c r="AF401" s="6">
        <v>4.367</v>
      </c>
      <c r="AG401" s="6">
        <v>3.9689999999999999</v>
      </c>
      <c r="AH401" s="22">
        <f t="shared" si="48"/>
        <v>4.1680000000000001</v>
      </c>
      <c r="AI401" s="9"/>
      <c r="AJ401" s="9"/>
      <c r="AK401" s="9"/>
      <c r="AL401" s="9"/>
      <c r="AM401" s="9"/>
      <c r="AN401" s="9"/>
      <c r="AO401" s="9"/>
      <c r="AP401" s="3"/>
      <c r="AQ401" s="8"/>
    </row>
    <row r="402" spans="1:43">
      <c r="A402" s="1">
        <f t="shared" si="42"/>
        <v>400</v>
      </c>
      <c r="B402" s="31"/>
      <c r="C402" s="1">
        <v>7</v>
      </c>
      <c r="D402" s="4">
        <f t="shared" si="46"/>
        <v>69</v>
      </c>
      <c r="E402" s="4" t="s">
        <v>142</v>
      </c>
      <c r="F402" s="4">
        <v>3</v>
      </c>
      <c r="G402" s="4" t="s">
        <v>11</v>
      </c>
      <c r="H402" s="4" t="s">
        <v>17</v>
      </c>
      <c r="I402" s="4"/>
      <c r="J402" s="5">
        <v>97.1</v>
      </c>
      <c r="K402" s="65"/>
      <c r="L402" s="38">
        <v>4.7499999999999991</v>
      </c>
      <c r="M402" s="127" t="s">
        <v>113</v>
      </c>
      <c r="N402" s="4" t="s">
        <v>13</v>
      </c>
      <c r="O402" s="46"/>
      <c r="P402" s="11"/>
      <c r="Q402" s="3"/>
      <c r="R402" s="6">
        <v>5.0060000000000002</v>
      </c>
      <c r="S402" s="6">
        <v>4.92</v>
      </c>
      <c r="T402" s="6">
        <v>5.0199999999999996</v>
      </c>
      <c r="U402" s="6">
        <v>4.72</v>
      </c>
      <c r="V402" s="6">
        <v>4.8140000000000001</v>
      </c>
      <c r="W402" s="53"/>
      <c r="X402" s="53"/>
      <c r="Y402" s="53"/>
      <c r="Z402" s="6">
        <v>4.7569999999999997</v>
      </c>
      <c r="AA402" s="52"/>
      <c r="AB402" s="6">
        <v>4.8840000000000003</v>
      </c>
      <c r="AC402" s="6">
        <v>4.8979999999999997</v>
      </c>
      <c r="AD402" s="6">
        <v>4.907</v>
      </c>
      <c r="AE402" s="6">
        <v>4.7160000000000002</v>
      </c>
      <c r="AF402" s="6">
        <v>4.9020000000000001</v>
      </c>
      <c r="AG402" s="6">
        <v>4.5110000000000001</v>
      </c>
      <c r="AH402" s="22">
        <f t="shared" si="48"/>
        <v>4.7065000000000001</v>
      </c>
      <c r="AI402" s="9"/>
      <c r="AJ402" s="9"/>
      <c r="AK402" s="9"/>
      <c r="AL402" s="9"/>
      <c r="AM402" s="9"/>
      <c r="AN402" s="9"/>
      <c r="AO402" s="9"/>
      <c r="AP402" s="3"/>
      <c r="AQ402" s="8"/>
    </row>
    <row r="403" spans="1:43">
      <c r="A403" s="1">
        <f t="shared" ref="A403:A466" si="49">A402+1</f>
        <v>401</v>
      </c>
      <c r="B403" s="31"/>
      <c r="C403" s="1">
        <v>7</v>
      </c>
      <c r="D403" s="4">
        <f t="shared" si="46"/>
        <v>69</v>
      </c>
      <c r="E403" s="4" t="s">
        <v>143</v>
      </c>
      <c r="F403" s="4">
        <v>3</v>
      </c>
      <c r="G403" s="4" t="s">
        <v>11</v>
      </c>
      <c r="H403" s="4" t="s">
        <v>17</v>
      </c>
      <c r="I403" s="4"/>
      <c r="J403" s="5">
        <v>97</v>
      </c>
      <c r="K403" s="65"/>
      <c r="L403" s="38">
        <v>4.8689999999999989</v>
      </c>
      <c r="M403" s="127" t="s">
        <v>113</v>
      </c>
      <c r="N403" s="4" t="s">
        <v>13</v>
      </c>
      <c r="O403" s="46"/>
      <c r="P403" s="11"/>
      <c r="Q403" s="3"/>
      <c r="R403" s="6">
        <v>5.14</v>
      </c>
      <c r="S403" s="6">
        <v>5.0839999999999996</v>
      </c>
      <c r="T403" s="6">
        <v>5.1630000000000003</v>
      </c>
      <c r="U403" s="6">
        <v>4.8760000000000003</v>
      </c>
      <c r="V403" s="6">
        <v>4.944</v>
      </c>
      <c r="W403" s="52"/>
      <c r="X403" s="52"/>
      <c r="Y403" s="52"/>
      <c r="Z403" s="6">
        <v>4.8769999999999998</v>
      </c>
      <c r="AA403" s="52"/>
      <c r="AB403" s="6">
        <v>5.0069999999999997</v>
      </c>
      <c r="AC403" s="6">
        <v>5.0170000000000003</v>
      </c>
      <c r="AD403" s="6">
        <v>5.04</v>
      </c>
      <c r="AE403" s="6">
        <v>4.84</v>
      </c>
      <c r="AF403" s="6">
        <v>5.0679999999999996</v>
      </c>
      <c r="AG403" s="6">
        <v>4.62</v>
      </c>
      <c r="AH403" s="22">
        <f t="shared" si="48"/>
        <v>4.8439999999999994</v>
      </c>
      <c r="AI403" s="9"/>
      <c r="AJ403" s="9"/>
      <c r="AK403" s="9"/>
      <c r="AL403" s="9"/>
      <c r="AM403" s="9"/>
      <c r="AN403" s="9"/>
      <c r="AO403" s="9"/>
      <c r="AP403" s="3"/>
      <c r="AQ403" s="8"/>
    </row>
    <row r="404" spans="1:43">
      <c r="A404" s="1">
        <f t="shared" si="49"/>
        <v>402</v>
      </c>
      <c r="B404" s="31"/>
      <c r="C404" s="1">
        <v>7</v>
      </c>
      <c r="D404" s="4">
        <f t="shared" si="46"/>
        <v>69</v>
      </c>
      <c r="E404" s="4" t="s">
        <v>142</v>
      </c>
      <c r="F404" s="4">
        <v>3</v>
      </c>
      <c r="G404" s="4" t="s">
        <v>11</v>
      </c>
      <c r="H404" s="4" t="s">
        <v>17</v>
      </c>
      <c r="I404" s="4"/>
      <c r="J404" s="5">
        <v>97.9</v>
      </c>
      <c r="K404" s="65"/>
      <c r="L404" s="38">
        <v>5.9320000000000004</v>
      </c>
      <c r="M404" s="127" t="s">
        <v>113</v>
      </c>
      <c r="N404" s="4" t="s">
        <v>13</v>
      </c>
      <c r="O404" s="46"/>
      <c r="P404" s="11"/>
      <c r="Q404" s="3"/>
      <c r="R404" s="6">
        <v>6.1020000000000003</v>
      </c>
      <c r="S404" s="6">
        <v>6.0449999999999999</v>
      </c>
      <c r="T404" s="6">
        <v>6.08</v>
      </c>
      <c r="U404" s="6">
        <v>5.9189999999999996</v>
      </c>
      <c r="V404" s="6">
        <v>5.9210000000000003</v>
      </c>
      <c r="W404" s="52"/>
      <c r="X404" s="52"/>
      <c r="Y404" s="52"/>
      <c r="Z404" s="6">
        <v>5.93</v>
      </c>
      <c r="AA404" s="52"/>
      <c r="AB404" s="6">
        <v>6.0860000000000003</v>
      </c>
      <c r="AC404" s="6">
        <v>6.117</v>
      </c>
      <c r="AD404" s="6">
        <v>6.0919999999999996</v>
      </c>
      <c r="AE404" s="6">
        <v>5.9349999999999996</v>
      </c>
      <c r="AF404" s="6">
        <v>6.016</v>
      </c>
      <c r="AG404" s="6">
        <v>5.6459999999999999</v>
      </c>
      <c r="AH404" s="22">
        <f t="shared" si="48"/>
        <v>5.8309999999999995</v>
      </c>
      <c r="AI404" s="9"/>
      <c r="AJ404" s="9"/>
      <c r="AK404" s="9"/>
      <c r="AL404" s="9"/>
      <c r="AM404" s="9"/>
      <c r="AN404" s="9"/>
      <c r="AO404" s="9"/>
      <c r="AP404" s="3"/>
      <c r="AQ404" s="8"/>
    </row>
    <row r="405" spans="1:43">
      <c r="A405" s="1">
        <f t="shared" si="49"/>
        <v>403</v>
      </c>
      <c r="B405" s="31" t="s">
        <v>76</v>
      </c>
      <c r="C405" s="1">
        <v>2</v>
      </c>
      <c r="D405" s="4">
        <f t="shared" si="46"/>
        <v>12</v>
      </c>
      <c r="E405" s="4" t="s">
        <v>131</v>
      </c>
      <c r="F405" s="4">
        <v>1</v>
      </c>
      <c r="G405" s="4" t="s">
        <v>11</v>
      </c>
      <c r="H405" s="4" t="s">
        <v>12</v>
      </c>
      <c r="I405" s="4"/>
      <c r="J405" s="5">
        <v>91.5</v>
      </c>
      <c r="K405" s="65"/>
      <c r="L405" s="38">
        <v>3.9659999999999993</v>
      </c>
      <c r="M405" s="127" t="s">
        <v>220</v>
      </c>
      <c r="N405" s="4" t="s">
        <v>13</v>
      </c>
      <c r="O405" s="6">
        <v>3.9689999999999994</v>
      </c>
      <c r="P405" s="4" t="s">
        <v>7</v>
      </c>
      <c r="Q405" s="3" t="s">
        <v>205</v>
      </c>
      <c r="R405" s="6">
        <v>4.0369999999999999</v>
      </c>
      <c r="S405" s="6">
        <v>4.0720000000000001</v>
      </c>
      <c r="T405" s="6">
        <v>3.9279999999999999</v>
      </c>
      <c r="U405" s="6">
        <v>3.9390000000000001</v>
      </c>
      <c r="V405" s="6">
        <v>4.0129999999999999</v>
      </c>
      <c r="W405" s="6">
        <v>3.9710000000000001</v>
      </c>
      <c r="X405" s="22">
        <v>3.97</v>
      </c>
      <c r="Y405" s="6">
        <v>3.9790000000000001</v>
      </c>
      <c r="Z405" s="22">
        <v>3.9710000000000001</v>
      </c>
      <c r="AA405" s="74">
        <v>3.9540000000000002</v>
      </c>
      <c r="AB405" s="6">
        <v>4.0890000000000004</v>
      </c>
      <c r="AC405" s="6">
        <v>4.2229999999999999</v>
      </c>
      <c r="AD405" s="6">
        <v>4.173</v>
      </c>
      <c r="AE405" s="6">
        <v>3.8959999999999999</v>
      </c>
      <c r="AF405" s="6">
        <v>3.9220000000000002</v>
      </c>
      <c r="AG405" s="6">
        <v>3.903</v>
      </c>
      <c r="AH405" s="73">
        <f t="shared" ref="AH405:AH420" si="50">IF((AF405&lt;&gt;0)*AND(AG405&lt;&gt;0),AVERAGE(AF405:AG405),"")</f>
        <v>3.9125000000000001</v>
      </c>
      <c r="AI405" s="9"/>
      <c r="AJ405" s="9"/>
      <c r="AK405" s="9"/>
      <c r="AL405" s="9"/>
      <c r="AM405" s="9"/>
      <c r="AN405" s="9"/>
      <c r="AO405" s="9"/>
      <c r="AP405" s="3"/>
      <c r="AQ405" s="8"/>
    </row>
    <row r="406" spans="1:43">
      <c r="A406" s="1">
        <f t="shared" si="49"/>
        <v>404</v>
      </c>
      <c r="B406" s="31"/>
      <c r="C406" s="1">
        <v>2</v>
      </c>
      <c r="D406" s="4">
        <f t="shared" si="46"/>
        <v>12</v>
      </c>
      <c r="E406" s="4" t="s">
        <v>137</v>
      </c>
      <c r="F406" s="4">
        <v>1</v>
      </c>
      <c r="G406" s="4" t="s">
        <v>14</v>
      </c>
      <c r="H406" s="4" t="s">
        <v>15</v>
      </c>
      <c r="I406" s="4"/>
      <c r="J406" s="5">
        <v>91.7</v>
      </c>
      <c r="K406" s="63">
        <v>2.1000000000000001E-2</v>
      </c>
      <c r="L406" s="38">
        <v>7.2210000000000001</v>
      </c>
      <c r="M406" s="127" t="s">
        <v>220</v>
      </c>
      <c r="N406" s="4" t="s">
        <v>13</v>
      </c>
      <c r="O406" s="6">
        <v>7.2690000000000001</v>
      </c>
      <c r="P406" s="4" t="s">
        <v>7</v>
      </c>
      <c r="Q406" s="3" t="s">
        <v>205</v>
      </c>
      <c r="R406" s="6">
        <v>6.6360000000000001</v>
      </c>
      <c r="S406" s="6">
        <v>6.5579999999999998</v>
      </c>
      <c r="T406" s="6">
        <v>7.1929999999999996</v>
      </c>
      <c r="U406" s="6">
        <v>7.1959999999999997</v>
      </c>
      <c r="V406" s="6">
        <v>7.2309999999999999</v>
      </c>
      <c r="W406" s="6">
        <v>7.1779999999999999</v>
      </c>
      <c r="X406" s="22">
        <v>7.1790000000000003</v>
      </c>
      <c r="Y406" s="6">
        <v>7.2119999999999997</v>
      </c>
      <c r="Z406" s="22">
        <v>7.1790000000000003</v>
      </c>
      <c r="AA406" s="74">
        <v>7.165</v>
      </c>
      <c r="AB406" s="6">
        <v>7.0620000000000003</v>
      </c>
      <c r="AC406" s="6">
        <v>7.1139999999999999</v>
      </c>
      <c r="AD406" s="6">
        <v>6.9290000000000003</v>
      </c>
      <c r="AE406" s="6">
        <v>6.8780000000000001</v>
      </c>
      <c r="AF406" s="6">
        <v>6.5049999999999999</v>
      </c>
      <c r="AG406" s="6">
        <v>7.62</v>
      </c>
      <c r="AH406" s="73">
        <f t="shared" si="50"/>
        <v>7.0625</v>
      </c>
      <c r="AI406" s="9"/>
      <c r="AJ406" s="9"/>
      <c r="AK406" s="9"/>
      <c r="AL406" s="9"/>
      <c r="AM406" s="9"/>
      <c r="AN406" s="9"/>
      <c r="AO406" s="9"/>
      <c r="AP406" s="3"/>
      <c r="AQ406" s="8"/>
    </row>
    <row r="407" spans="1:43">
      <c r="A407" s="1">
        <f t="shared" si="49"/>
        <v>405</v>
      </c>
      <c r="B407" s="31"/>
      <c r="C407" s="1">
        <v>2</v>
      </c>
      <c r="D407" s="4">
        <f t="shared" si="46"/>
        <v>12</v>
      </c>
      <c r="E407" s="4" t="s">
        <v>137</v>
      </c>
      <c r="F407" s="4">
        <v>1</v>
      </c>
      <c r="G407" s="4" t="s">
        <v>14</v>
      </c>
      <c r="H407" s="4" t="s">
        <v>16</v>
      </c>
      <c r="I407" s="4"/>
      <c r="J407" s="5">
        <v>92.4</v>
      </c>
      <c r="K407" s="63">
        <v>3.6999999999999998E-2</v>
      </c>
      <c r="L407" s="38">
        <v>8.1160000000000014</v>
      </c>
      <c r="M407" s="127" t="s">
        <v>220</v>
      </c>
      <c r="N407" s="4" t="s">
        <v>13</v>
      </c>
      <c r="O407" s="6">
        <v>8.1339999999999986</v>
      </c>
      <c r="P407" s="4" t="s">
        <v>7</v>
      </c>
      <c r="Q407" s="3" t="s">
        <v>205</v>
      </c>
      <c r="R407" s="6">
        <v>7.5590000000000002</v>
      </c>
      <c r="S407" s="6">
        <v>7.5670000000000002</v>
      </c>
      <c r="T407" s="6">
        <v>8.1050000000000004</v>
      </c>
      <c r="U407" s="6">
        <v>8.0570000000000004</v>
      </c>
      <c r="V407" s="6">
        <v>8.1199999999999992</v>
      </c>
      <c r="W407" s="6">
        <v>8.0790000000000006</v>
      </c>
      <c r="X407" s="22">
        <v>8.0809999999999995</v>
      </c>
      <c r="Y407" s="6">
        <v>8.1129999999999995</v>
      </c>
      <c r="Z407" s="22">
        <v>8.0860000000000003</v>
      </c>
      <c r="AA407" s="74">
        <v>8.07</v>
      </c>
      <c r="AB407" s="6">
        <v>8.0050000000000008</v>
      </c>
      <c r="AC407" s="6">
        <v>8.0429999999999993</v>
      </c>
      <c r="AD407" s="6">
        <v>7.883</v>
      </c>
      <c r="AE407" s="6">
        <v>7.83</v>
      </c>
      <c r="AF407" s="6">
        <v>7.53</v>
      </c>
      <c r="AG407" s="6">
        <v>8.4480000000000004</v>
      </c>
      <c r="AH407" s="73">
        <f t="shared" si="50"/>
        <v>7.9890000000000008</v>
      </c>
      <c r="AI407" s="9"/>
      <c r="AJ407" s="9"/>
      <c r="AK407" s="9"/>
      <c r="AL407" s="9"/>
      <c r="AM407" s="9"/>
      <c r="AN407" s="9"/>
      <c r="AO407" s="9"/>
      <c r="AP407" s="3"/>
      <c r="AQ407" s="8"/>
    </row>
    <row r="408" spans="1:43">
      <c r="A408" s="1">
        <f t="shared" si="49"/>
        <v>406</v>
      </c>
      <c r="B408" s="31"/>
      <c r="C408" s="1">
        <v>2</v>
      </c>
      <c r="D408" s="4">
        <f t="shared" si="46"/>
        <v>12</v>
      </c>
      <c r="E408" s="4" t="s">
        <v>118</v>
      </c>
      <c r="F408" s="4">
        <v>1</v>
      </c>
      <c r="G408" s="4" t="s">
        <v>14</v>
      </c>
      <c r="H408" s="4" t="s">
        <v>16</v>
      </c>
      <c r="I408" s="4"/>
      <c r="J408" s="5">
        <v>91.9</v>
      </c>
      <c r="K408" s="63">
        <v>5.1999999999999998E-2</v>
      </c>
      <c r="L408" s="38">
        <v>8.2219999999999995</v>
      </c>
      <c r="M408" s="127" t="s">
        <v>220</v>
      </c>
      <c r="N408" s="4" t="s">
        <v>13</v>
      </c>
      <c r="O408" s="6">
        <v>8.2619999999999987</v>
      </c>
      <c r="P408" s="4" t="s">
        <v>7</v>
      </c>
      <c r="Q408" s="3" t="s">
        <v>205</v>
      </c>
      <c r="R408" s="6">
        <v>8.1620000000000008</v>
      </c>
      <c r="S408" s="6">
        <v>7.5179999999999998</v>
      </c>
      <c r="T408" s="6">
        <v>8.1859999999999999</v>
      </c>
      <c r="U408" s="6">
        <v>8.1980000000000004</v>
      </c>
      <c r="V408" s="6">
        <v>8.2100000000000009</v>
      </c>
      <c r="W408" s="6">
        <v>8.1750000000000007</v>
      </c>
      <c r="X408" s="22">
        <v>8.1769999999999996</v>
      </c>
      <c r="Y408" s="6">
        <v>8.2119999999999997</v>
      </c>
      <c r="Z408" s="22">
        <v>8.1820000000000004</v>
      </c>
      <c r="AA408" s="74">
        <v>8.1639999999999997</v>
      </c>
      <c r="AB408" s="6">
        <v>8.0150000000000006</v>
      </c>
      <c r="AC408" s="6">
        <v>8.0609999999999999</v>
      </c>
      <c r="AD408" s="6">
        <v>7.8780000000000001</v>
      </c>
      <c r="AE408" s="6">
        <v>7.8330000000000002</v>
      </c>
      <c r="AF408" s="6">
        <v>7.47</v>
      </c>
      <c r="AG408" s="6">
        <v>8.609</v>
      </c>
      <c r="AH408" s="73">
        <f t="shared" si="50"/>
        <v>8.0395000000000003</v>
      </c>
      <c r="AI408" s="9"/>
      <c r="AJ408" s="9"/>
      <c r="AK408" s="9"/>
      <c r="AL408" s="9"/>
      <c r="AM408" s="9"/>
      <c r="AN408" s="9"/>
      <c r="AO408" s="9"/>
      <c r="AP408" s="3"/>
      <c r="AQ408" s="8"/>
    </row>
    <row r="409" spans="1:43">
      <c r="A409" s="1">
        <f t="shared" si="49"/>
        <v>407</v>
      </c>
      <c r="B409" s="31"/>
      <c r="C409" s="1">
        <v>2</v>
      </c>
      <c r="D409" s="4">
        <f t="shared" si="46"/>
        <v>12</v>
      </c>
      <c r="E409" s="4" t="s">
        <v>131</v>
      </c>
      <c r="F409" s="4">
        <v>1</v>
      </c>
      <c r="G409" s="4" t="s">
        <v>14</v>
      </c>
      <c r="H409" s="4" t="s">
        <v>16</v>
      </c>
      <c r="I409" s="4"/>
      <c r="J409" s="5">
        <v>91.7</v>
      </c>
      <c r="K409" s="65"/>
      <c r="L409" s="38">
        <v>8.6630000000000003</v>
      </c>
      <c r="M409" s="127" t="s">
        <v>220</v>
      </c>
      <c r="N409" s="4" t="s">
        <v>13</v>
      </c>
      <c r="O409" s="6">
        <v>8.6269999999999989</v>
      </c>
      <c r="P409" s="4" t="s">
        <v>7</v>
      </c>
      <c r="Q409" s="3" t="s">
        <v>205</v>
      </c>
      <c r="R409" s="6">
        <v>8.0350000000000001</v>
      </c>
      <c r="S409" s="6">
        <v>8.0429999999999993</v>
      </c>
      <c r="T409" s="6">
        <v>8.6319999999999997</v>
      </c>
      <c r="U409" s="6">
        <v>8.6859999999999999</v>
      </c>
      <c r="V409" s="6">
        <v>8.65</v>
      </c>
      <c r="W409" s="6">
        <v>8.625</v>
      </c>
      <c r="X409" s="22">
        <v>8.6280000000000001</v>
      </c>
      <c r="Y409" s="6">
        <v>8.6620000000000008</v>
      </c>
      <c r="Z409" s="22">
        <v>8.6359999999999992</v>
      </c>
      <c r="AA409" s="74">
        <v>8.609</v>
      </c>
      <c r="AB409" s="6">
        <v>8.4819999999999993</v>
      </c>
      <c r="AC409" s="6">
        <v>8.532</v>
      </c>
      <c r="AD409" s="6">
        <v>8.3680000000000003</v>
      </c>
      <c r="AE409" s="6">
        <v>8.3010000000000002</v>
      </c>
      <c r="AF409" s="6">
        <v>7.99</v>
      </c>
      <c r="AG409" s="6">
        <v>9.0229999999999997</v>
      </c>
      <c r="AH409" s="73">
        <f t="shared" si="50"/>
        <v>8.5064999999999991</v>
      </c>
      <c r="AI409" s="9"/>
      <c r="AJ409" s="9"/>
      <c r="AK409" s="9"/>
      <c r="AL409" s="9"/>
      <c r="AM409" s="9"/>
      <c r="AN409" s="9"/>
      <c r="AO409" s="9"/>
      <c r="AP409" s="3"/>
      <c r="AQ409" s="8"/>
    </row>
    <row r="410" spans="1:43">
      <c r="A410" s="1">
        <f t="shared" si="49"/>
        <v>408</v>
      </c>
      <c r="B410" s="31"/>
      <c r="C410" s="1">
        <v>2</v>
      </c>
      <c r="D410" s="4">
        <f t="shared" si="46"/>
        <v>12</v>
      </c>
      <c r="E410" s="4" t="s">
        <v>128</v>
      </c>
      <c r="F410" s="4">
        <v>1</v>
      </c>
      <c r="G410" s="4" t="s">
        <v>11</v>
      </c>
      <c r="H410" s="4" t="s">
        <v>215</v>
      </c>
      <c r="I410" s="4"/>
      <c r="J410" s="5">
        <v>90.8</v>
      </c>
      <c r="K410" s="63">
        <v>1E-3</v>
      </c>
      <c r="L410" s="38">
        <v>9.1870000000000012</v>
      </c>
      <c r="M410" s="127" t="s">
        <v>220</v>
      </c>
      <c r="N410" s="4" t="s">
        <v>13</v>
      </c>
      <c r="O410" s="6">
        <v>9.1870000000000029</v>
      </c>
      <c r="P410" s="4" t="s">
        <v>7</v>
      </c>
      <c r="Q410" s="3" t="s">
        <v>205</v>
      </c>
      <c r="R410" s="6">
        <v>9.3840000000000003</v>
      </c>
      <c r="S410" s="6">
        <v>9.3219999999999992</v>
      </c>
      <c r="T410" s="6">
        <v>9.2170000000000005</v>
      </c>
      <c r="U410" s="6">
        <v>9.1219999999999999</v>
      </c>
      <c r="V410" s="6">
        <v>9.2810000000000006</v>
      </c>
      <c r="W410" s="6">
        <v>9.2010000000000005</v>
      </c>
      <c r="X410" s="22">
        <v>9.1989999999999998</v>
      </c>
      <c r="Y410" s="6">
        <v>9.202</v>
      </c>
      <c r="Z410" s="22">
        <v>9.19</v>
      </c>
      <c r="AA410" s="74">
        <v>9.173</v>
      </c>
      <c r="AB410" s="6">
        <v>9.3130000000000006</v>
      </c>
      <c r="AC410" s="6">
        <v>9.4510000000000005</v>
      </c>
      <c r="AD410" s="6">
        <v>9.4090000000000007</v>
      </c>
      <c r="AE410" s="6">
        <v>9.1110000000000007</v>
      </c>
      <c r="AF410" s="6">
        <v>9.17</v>
      </c>
      <c r="AG410" s="6">
        <v>9.1660000000000004</v>
      </c>
      <c r="AH410" s="73">
        <f t="shared" si="50"/>
        <v>9.1679999999999993</v>
      </c>
      <c r="AI410" s="9"/>
      <c r="AJ410" s="9"/>
      <c r="AK410" s="9"/>
      <c r="AL410" s="9"/>
      <c r="AM410" s="9"/>
      <c r="AN410" s="9"/>
      <c r="AO410" s="9"/>
      <c r="AP410" s="3"/>
      <c r="AQ410" s="8"/>
    </row>
    <row r="411" spans="1:43">
      <c r="A411" s="1">
        <f t="shared" si="49"/>
        <v>409</v>
      </c>
      <c r="B411" s="31"/>
      <c r="C411" s="1">
        <v>2</v>
      </c>
      <c r="D411" s="4">
        <f t="shared" si="46"/>
        <v>12</v>
      </c>
      <c r="E411" s="4" t="s">
        <v>118</v>
      </c>
      <c r="F411" s="4">
        <v>1</v>
      </c>
      <c r="G411" s="4" t="s">
        <v>11</v>
      </c>
      <c r="H411" s="4" t="s">
        <v>17</v>
      </c>
      <c r="I411" s="4"/>
      <c r="J411" s="5">
        <v>90.4</v>
      </c>
      <c r="K411" s="63">
        <v>0.13500000000000001</v>
      </c>
      <c r="L411" s="38">
        <v>9.4319999999999986</v>
      </c>
      <c r="M411" s="127" t="s">
        <v>220</v>
      </c>
      <c r="N411" s="4" t="s">
        <v>13</v>
      </c>
      <c r="O411" s="6">
        <v>9.407</v>
      </c>
      <c r="P411" s="4" t="s">
        <v>7</v>
      </c>
      <c r="Q411" s="3" t="s">
        <v>205</v>
      </c>
      <c r="R411" s="6">
        <v>9.0830000000000002</v>
      </c>
      <c r="S411" s="6">
        <v>9.5370000000000008</v>
      </c>
      <c r="T411" s="6">
        <v>9.5429999999999993</v>
      </c>
      <c r="U411" s="6">
        <v>9.4779999999999998</v>
      </c>
      <c r="V411" s="6">
        <v>9.67</v>
      </c>
      <c r="W411" s="6">
        <v>9.5399999999999991</v>
      </c>
      <c r="X411" s="22">
        <v>9.51</v>
      </c>
      <c r="Y411" s="6">
        <v>9.5139999999999993</v>
      </c>
      <c r="Z411" s="22">
        <v>9.4819999999999993</v>
      </c>
      <c r="AA411" s="74">
        <v>9.4879999999999995</v>
      </c>
      <c r="AB411" s="6">
        <v>9.6180000000000003</v>
      </c>
      <c r="AC411" s="6">
        <v>9.81</v>
      </c>
      <c r="AD411" s="6">
        <v>9.7569999999999997</v>
      </c>
      <c r="AE411" s="6">
        <v>9.4529999999999994</v>
      </c>
      <c r="AF411" s="6">
        <v>9.4610000000000003</v>
      </c>
      <c r="AG411" s="6">
        <v>9.0489999999999995</v>
      </c>
      <c r="AH411" s="73">
        <f t="shared" si="50"/>
        <v>9.254999999999999</v>
      </c>
      <c r="AI411" s="9"/>
      <c r="AJ411" s="9"/>
      <c r="AK411" s="9"/>
      <c r="AL411" s="9"/>
      <c r="AM411" s="9"/>
      <c r="AN411" s="9"/>
      <c r="AO411" s="9"/>
      <c r="AP411" s="3"/>
      <c r="AQ411" s="8"/>
    </row>
    <row r="412" spans="1:43">
      <c r="A412" s="1">
        <f t="shared" si="49"/>
        <v>410</v>
      </c>
      <c r="B412" s="31"/>
      <c r="C412" s="1">
        <v>2</v>
      </c>
      <c r="D412" s="4">
        <f t="shared" si="46"/>
        <v>12</v>
      </c>
      <c r="E412" s="4" t="s">
        <v>118</v>
      </c>
      <c r="F412" s="4">
        <v>1</v>
      </c>
      <c r="G412" s="4" t="s">
        <v>11</v>
      </c>
      <c r="H412" s="4" t="s">
        <v>121</v>
      </c>
      <c r="I412" s="4" t="s">
        <v>321</v>
      </c>
      <c r="J412" s="5">
        <v>5</v>
      </c>
      <c r="K412" s="63">
        <v>0.01</v>
      </c>
      <c r="L412" s="38">
        <v>10.426</v>
      </c>
      <c r="M412" s="127" t="s">
        <v>103</v>
      </c>
      <c r="N412" s="4" t="s">
        <v>13</v>
      </c>
      <c r="O412" s="46"/>
      <c r="P412" s="11"/>
      <c r="Q412" s="3" t="s">
        <v>205</v>
      </c>
      <c r="R412" s="53"/>
      <c r="S412" s="53"/>
      <c r="T412" s="53"/>
      <c r="U412" s="53"/>
      <c r="V412" s="53"/>
      <c r="W412" s="53"/>
      <c r="X412" s="53"/>
      <c r="Y412" s="6">
        <v>11.457000000000001</v>
      </c>
      <c r="Z412" s="6">
        <v>11.2</v>
      </c>
      <c r="AA412" s="6">
        <v>10.785</v>
      </c>
      <c r="AB412" s="53"/>
      <c r="AC412" s="53"/>
      <c r="AD412" s="53"/>
      <c r="AE412" s="53"/>
      <c r="AF412" s="53"/>
      <c r="AG412" s="6">
        <v>9.6300000000000008</v>
      </c>
      <c r="AH412" s="53"/>
      <c r="AI412" s="6">
        <v>12.225</v>
      </c>
      <c r="AJ412" s="6">
        <v>10.42</v>
      </c>
      <c r="AK412" s="6">
        <v>10.4</v>
      </c>
      <c r="AL412" s="6">
        <v>10.723000000000001</v>
      </c>
      <c r="AM412" s="6">
        <v>10.718</v>
      </c>
      <c r="AN412" s="6">
        <v>10.295999999999999</v>
      </c>
      <c r="AO412" s="6">
        <v>10.265000000000001</v>
      </c>
      <c r="AP412" s="3"/>
      <c r="AQ412" s="8"/>
    </row>
    <row r="413" spans="1:43">
      <c r="A413" s="1">
        <f t="shared" si="49"/>
        <v>411</v>
      </c>
      <c r="B413" s="31"/>
      <c r="C413" s="1">
        <v>2</v>
      </c>
      <c r="D413" s="4">
        <f t="shared" si="46"/>
        <v>12</v>
      </c>
      <c r="E413" s="4" t="s">
        <v>130</v>
      </c>
      <c r="F413" s="4">
        <v>3</v>
      </c>
      <c r="G413" s="4" t="s">
        <v>11</v>
      </c>
      <c r="H413" s="4" t="s">
        <v>12</v>
      </c>
      <c r="I413" s="4"/>
      <c r="J413" s="5">
        <v>98.1</v>
      </c>
      <c r="K413" s="65"/>
      <c r="L413" s="38">
        <v>3.5720000000000001</v>
      </c>
      <c r="M413" s="127" t="s">
        <v>270</v>
      </c>
      <c r="N413" s="4" t="s">
        <v>13</v>
      </c>
      <c r="O413" s="6">
        <v>3.5830000000000002</v>
      </c>
      <c r="P413" s="1" t="s">
        <v>7</v>
      </c>
      <c r="Q413" s="3" t="s">
        <v>205</v>
      </c>
      <c r="R413" s="6">
        <v>3.5819999999999999</v>
      </c>
      <c r="S413" s="6">
        <v>3.589</v>
      </c>
      <c r="T413" s="6">
        <v>3.4940000000000002</v>
      </c>
      <c r="U413" s="4">
        <v>3.5379999999999998</v>
      </c>
      <c r="V413" s="6">
        <v>3.5630000000000002</v>
      </c>
      <c r="W413" s="53"/>
      <c r="X413" s="53"/>
      <c r="Y413" s="53"/>
      <c r="Z413" s="6">
        <v>3.57</v>
      </c>
      <c r="AA413" s="6">
        <v>3.5590000000000002</v>
      </c>
      <c r="AB413" s="6">
        <v>3.72</v>
      </c>
      <c r="AC413" s="6">
        <v>3.8370000000000002</v>
      </c>
      <c r="AD413" s="6">
        <v>3.7549999999999999</v>
      </c>
      <c r="AE413" s="6">
        <v>3.5489999999999999</v>
      </c>
      <c r="AF413" s="6">
        <v>3.4569999999999999</v>
      </c>
      <c r="AG413" s="6">
        <v>3.4780000000000002</v>
      </c>
      <c r="AH413" s="73">
        <f t="shared" si="50"/>
        <v>3.4675000000000002</v>
      </c>
      <c r="AI413" s="9"/>
      <c r="AJ413" s="9"/>
      <c r="AK413" s="9"/>
      <c r="AL413" s="9"/>
      <c r="AM413" s="9"/>
      <c r="AN413" s="9"/>
      <c r="AO413" s="9"/>
      <c r="AP413" s="3"/>
      <c r="AQ413" s="8"/>
    </row>
    <row r="414" spans="1:43">
      <c r="A414" s="1">
        <f t="shared" si="49"/>
        <v>412</v>
      </c>
      <c r="B414" s="31"/>
      <c r="C414" s="1">
        <v>2</v>
      </c>
      <c r="D414" s="4">
        <f t="shared" si="46"/>
        <v>12</v>
      </c>
      <c r="E414" s="4" t="s">
        <v>143</v>
      </c>
      <c r="F414" s="4">
        <v>3</v>
      </c>
      <c r="G414" s="4" t="s">
        <v>11</v>
      </c>
      <c r="H414" s="4" t="s">
        <v>17</v>
      </c>
      <c r="I414" s="4"/>
      <c r="J414" s="5">
        <v>99</v>
      </c>
      <c r="K414" s="65"/>
      <c r="L414" s="38">
        <v>6.0620000000000003</v>
      </c>
      <c r="M414" s="127" t="s">
        <v>270</v>
      </c>
      <c r="N414" s="4" t="s">
        <v>13</v>
      </c>
      <c r="O414" s="6">
        <v>6.077</v>
      </c>
      <c r="P414" s="1" t="s">
        <v>7</v>
      </c>
      <c r="Q414" s="3" t="s">
        <v>205</v>
      </c>
      <c r="R414" s="6">
        <v>6.2709999999999999</v>
      </c>
      <c r="S414" s="6">
        <v>6.3040000000000003</v>
      </c>
      <c r="T414" s="6">
        <v>6.0869999999999997</v>
      </c>
      <c r="U414" s="4">
        <v>5.8760000000000003</v>
      </c>
      <c r="V414" s="6">
        <v>5.9669999999999996</v>
      </c>
      <c r="W414" s="53"/>
      <c r="X414" s="53"/>
      <c r="Y414" s="53"/>
      <c r="Z414" s="6">
        <v>6.0540000000000003</v>
      </c>
      <c r="AA414" s="6">
        <v>6.0490000000000004</v>
      </c>
      <c r="AB414" s="6">
        <v>6.1050000000000004</v>
      </c>
      <c r="AC414" s="6">
        <v>6.1790000000000003</v>
      </c>
      <c r="AD414" s="6">
        <v>6.2220000000000004</v>
      </c>
      <c r="AE414" s="6">
        <v>6.0019999999999998</v>
      </c>
      <c r="AF414" s="6">
        <v>6.1970000000000001</v>
      </c>
      <c r="AG414" s="6">
        <v>5.7089999999999996</v>
      </c>
      <c r="AH414" s="73">
        <f t="shared" si="50"/>
        <v>5.9529999999999994</v>
      </c>
      <c r="AI414" s="9"/>
      <c r="AJ414" s="9"/>
      <c r="AK414" s="9"/>
      <c r="AL414" s="9"/>
      <c r="AM414" s="9"/>
      <c r="AN414" s="9"/>
      <c r="AO414" s="9"/>
      <c r="AP414" s="3"/>
      <c r="AQ414" s="8"/>
    </row>
    <row r="415" spans="1:43">
      <c r="A415" s="1">
        <f t="shared" si="49"/>
        <v>413</v>
      </c>
      <c r="B415" s="31"/>
      <c r="C415" s="1">
        <v>2</v>
      </c>
      <c r="D415" s="4">
        <f t="shared" si="46"/>
        <v>12</v>
      </c>
      <c r="E415" s="4" t="s">
        <v>142</v>
      </c>
      <c r="F415" s="4">
        <v>3</v>
      </c>
      <c r="G415" s="4" t="s">
        <v>14</v>
      </c>
      <c r="H415" s="4" t="s">
        <v>15</v>
      </c>
      <c r="I415" s="4"/>
      <c r="J415" s="5">
        <v>97.1</v>
      </c>
      <c r="K415" s="65"/>
      <c r="L415" s="38">
        <v>7.077</v>
      </c>
      <c r="M415" s="127" t="s">
        <v>270</v>
      </c>
      <c r="N415" s="4" t="s">
        <v>13</v>
      </c>
      <c r="O415" s="6">
        <v>7.125</v>
      </c>
      <c r="P415" s="1" t="s">
        <v>7</v>
      </c>
      <c r="Q415" s="3" t="s">
        <v>205</v>
      </c>
      <c r="R415" s="6">
        <v>6.657</v>
      </c>
      <c r="S415" s="6">
        <v>6.4429999999999996</v>
      </c>
      <c r="T415" s="6">
        <v>7.0330000000000004</v>
      </c>
      <c r="U415" s="4">
        <v>7.0750000000000002</v>
      </c>
      <c r="V415" s="6">
        <v>7.0759999999999996</v>
      </c>
      <c r="W415" s="53"/>
      <c r="X415" s="53"/>
      <c r="Y415" s="53"/>
      <c r="Z415" s="6">
        <v>7.0339999999999998</v>
      </c>
      <c r="AA415" s="6">
        <v>7.0190000000000001</v>
      </c>
      <c r="AB415" s="6">
        <v>6.9720000000000004</v>
      </c>
      <c r="AC415" s="6">
        <v>7.0220000000000002</v>
      </c>
      <c r="AD415" s="6">
        <v>6.8280000000000003</v>
      </c>
      <c r="AE415" s="6">
        <v>6.7960000000000003</v>
      </c>
      <c r="AF415" s="6">
        <v>6.3929999999999998</v>
      </c>
      <c r="AG415" s="6">
        <v>7.4450000000000003</v>
      </c>
      <c r="AH415" s="73">
        <f t="shared" si="50"/>
        <v>6.9190000000000005</v>
      </c>
      <c r="AI415" s="9"/>
      <c r="AJ415" s="9"/>
      <c r="AK415" s="9"/>
      <c r="AL415" s="9"/>
      <c r="AM415" s="9"/>
      <c r="AN415" s="9"/>
      <c r="AO415" s="9"/>
      <c r="AP415" s="3"/>
      <c r="AQ415" s="8"/>
    </row>
    <row r="416" spans="1:43">
      <c r="A416" s="1">
        <f t="shared" si="49"/>
        <v>414</v>
      </c>
      <c r="B416" s="31"/>
      <c r="C416" s="1">
        <v>2</v>
      </c>
      <c r="D416" s="4">
        <f t="shared" si="46"/>
        <v>12</v>
      </c>
      <c r="E416" s="4" t="s">
        <v>142</v>
      </c>
      <c r="F416" s="4">
        <v>3</v>
      </c>
      <c r="G416" s="4" t="s">
        <v>14</v>
      </c>
      <c r="H416" s="4" t="s">
        <v>16</v>
      </c>
      <c r="I416" s="4"/>
      <c r="J416" s="5">
        <v>97.4</v>
      </c>
      <c r="K416" s="65"/>
      <c r="L416" s="38">
        <v>7.9489999999999998</v>
      </c>
      <c r="M416" s="127" t="s">
        <v>270</v>
      </c>
      <c r="N416" s="4" t="s">
        <v>13</v>
      </c>
      <c r="O416" s="6">
        <v>7.9729999999999999</v>
      </c>
      <c r="P416" s="1" t="s">
        <v>7</v>
      </c>
      <c r="Q416" s="3" t="s">
        <v>205</v>
      </c>
      <c r="R416" s="6">
        <v>7.5170000000000003</v>
      </c>
      <c r="S416" s="6">
        <v>7.4450000000000003</v>
      </c>
      <c r="T416" s="6">
        <v>7.9240000000000004</v>
      </c>
      <c r="U416" s="6">
        <v>7.91</v>
      </c>
      <c r="V416" s="6">
        <v>7.9359999999999999</v>
      </c>
      <c r="W416" s="53"/>
      <c r="X416" s="53"/>
      <c r="Y416" s="53"/>
      <c r="Z416" s="6">
        <v>7.9219999999999997</v>
      </c>
      <c r="AA416" s="6">
        <v>7.9020000000000001</v>
      </c>
      <c r="AB416" s="6">
        <v>7.8949999999999996</v>
      </c>
      <c r="AC416" s="6">
        <v>7.9320000000000004</v>
      </c>
      <c r="AD416" s="6">
        <v>7.7690000000000001</v>
      </c>
      <c r="AE416" s="6">
        <v>7.7290000000000001</v>
      </c>
      <c r="AF416" s="6">
        <v>7.4080000000000004</v>
      </c>
      <c r="AG416" s="6">
        <v>8.2390000000000008</v>
      </c>
      <c r="AH416" s="73">
        <f t="shared" si="50"/>
        <v>7.823500000000001</v>
      </c>
      <c r="AI416" s="9"/>
      <c r="AJ416" s="9"/>
      <c r="AK416" s="9"/>
      <c r="AL416" s="9"/>
      <c r="AM416" s="9"/>
      <c r="AN416" s="9"/>
      <c r="AO416" s="9"/>
      <c r="AP416" s="3"/>
      <c r="AQ416" s="8"/>
    </row>
    <row r="417" spans="1:43">
      <c r="A417" s="1">
        <f t="shared" si="49"/>
        <v>415</v>
      </c>
      <c r="B417" s="31"/>
      <c r="C417" s="1">
        <v>2</v>
      </c>
      <c r="D417" s="4">
        <f t="shared" si="46"/>
        <v>12</v>
      </c>
      <c r="E417" s="4" t="s">
        <v>143</v>
      </c>
      <c r="F417" s="4">
        <v>3</v>
      </c>
      <c r="G417" s="4" t="s">
        <v>14</v>
      </c>
      <c r="H417" s="4" t="s">
        <v>16</v>
      </c>
      <c r="I417" s="4"/>
      <c r="J417" s="5">
        <v>97.2</v>
      </c>
      <c r="K417" s="65"/>
      <c r="L417" s="38">
        <v>8.1140000000000008</v>
      </c>
      <c r="M417" s="127" t="s">
        <v>270</v>
      </c>
      <c r="N417" s="4" t="s">
        <v>13</v>
      </c>
      <c r="O417" s="6">
        <v>8.1560000000000006</v>
      </c>
      <c r="P417" s="1" t="s">
        <v>7</v>
      </c>
      <c r="Q417" s="3" t="s">
        <v>205</v>
      </c>
      <c r="R417" s="6">
        <v>7.577</v>
      </c>
      <c r="S417" s="6">
        <v>7.4409999999999998</v>
      </c>
      <c r="T417" s="6">
        <v>8.0609999999999999</v>
      </c>
      <c r="U417" s="4">
        <v>8.109</v>
      </c>
      <c r="V417" s="6">
        <v>8.09</v>
      </c>
      <c r="W417" s="53"/>
      <c r="X417" s="53"/>
      <c r="Y417" s="53"/>
      <c r="Z417" s="6">
        <v>8.077</v>
      </c>
      <c r="AA417" s="6">
        <v>8.0559999999999992</v>
      </c>
      <c r="AB417" s="6">
        <v>7.9569999999999999</v>
      </c>
      <c r="AC417" s="6">
        <v>8.0020000000000007</v>
      </c>
      <c r="AD417" s="6">
        <v>7.8129999999999997</v>
      </c>
      <c r="AE417" s="6">
        <v>7.7830000000000004</v>
      </c>
      <c r="AF417" s="6">
        <v>7.3949999999999996</v>
      </c>
      <c r="AG417" s="6">
        <v>8.4649999999999999</v>
      </c>
      <c r="AH417" s="73">
        <f t="shared" si="50"/>
        <v>7.93</v>
      </c>
      <c r="AI417" s="9"/>
      <c r="AJ417" s="9"/>
      <c r="AK417" s="9"/>
      <c r="AL417" s="9"/>
      <c r="AM417" s="9"/>
      <c r="AN417" s="9"/>
      <c r="AO417" s="9"/>
      <c r="AP417" s="3"/>
      <c r="AQ417" s="8"/>
    </row>
    <row r="418" spans="1:43">
      <c r="A418" s="1">
        <f t="shared" si="49"/>
        <v>416</v>
      </c>
      <c r="B418" s="31"/>
      <c r="C418" s="1">
        <v>2</v>
      </c>
      <c r="D418" s="4">
        <f t="shared" si="46"/>
        <v>12</v>
      </c>
      <c r="E418" s="4" t="s">
        <v>129</v>
      </c>
      <c r="F418" s="4">
        <v>3</v>
      </c>
      <c r="G418" s="4" t="s">
        <v>11</v>
      </c>
      <c r="H418" s="4" t="s">
        <v>215</v>
      </c>
      <c r="I418" s="4"/>
      <c r="J418" s="5">
        <v>97.9</v>
      </c>
      <c r="K418" s="65"/>
      <c r="L418" s="38">
        <v>8.4160000000000004</v>
      </c>
      <c r="M418" s="127" t="s">
        <v>270</v>
      </c>
      <c r="N418" s="4" t="s">
        <v>13</v>
      </c>
      <c r="O418" s="6">
        <v>8.4280000000000008</v>
      </c>
      <c r="P418" s="1" t="s">
        <v>7</v>
      </c>
      <c r="Q418" s="3" t="s">
        <v>205</v>
      </c>
      <c r="R418" s="6">
        <v>8.5719999999999992</v>
      </c>
      <c r="S418" s="6">
        <v>8.5239999999999991</v>
      </c>
      <c r="T418" s="6">
        <v>8.4009999999999998</v>
      </c>
      <c r="U418" s="4">
        <v>8.3740000000000006</v>
      </c>
      <c r="V418" s="6">
        <v>8.4390000000000001</v>
      </c>
      <c r="W418" s="53"/>
      <c r="X418" s="53"/>
      <c r="Y418" s="53"/>
      <c r="Z418" s="6">
        <v>8.4130000000000003</v>
      </c>
      <c r="AA418" s="6">
        <v>8.4019999999999992</v>
      </c>
      <c r="AB418" s="6">
        <v>8.6549999999999994</v>
      </c>
      <c r="AC418" s="6">
        <v>8.7759999999999998</v>
      </c>
      <c r="AD418" s="6">
        <v>8.6920000000000002</v>
      </c>
      <c r="AE418" s="6">
        <v>8.4870000000000001</v>
      </c>
      <c r="AF418" s="6">
        <v>8.391</v>
      </c>
      <c r="AG418" s="6">
        <v>8.3179999999999996</v>
      </c>
      <c r="AH418" s="73">
        <f t="shared" si="50"/>
        <v>8.3544999999999998</v>
      </c>
      <c r="AI418" s="9"/>
      <c r="AJ418" s="9"/>
      <c r="AK418" s="9"/>
      <c r="AL418" s="9"/>
      <c r="AM418" s="9"/>
      <c r="AN418" s="9"/>
      <c r="AO418" s="9"/>
      <c r="AP418" s="3"/>
      <c r="AQ418" s="8"/>
    </row>
    <row r="419" spans="1:43">
      <c r="A419" s="1">
        <f t="shared" si="49"/>
        <v>417</v>
      </c>
      <c r="B419" s="31"/>
      <c r="C419" s="1">
        <v>2</v>
      </c>
      <c r="D419" s="4">
        <f t="shared" si="46"/>
        <v>12</v>
      </c>
      <c r="E419" s="4" t="s">
        <v>130</v>
      </c>
      <c r="F419" s="4">
        <v>3</v>
      </c>
      <c r="G419" s="4" t="s">
        <v>14</v>
      </c>
      <c r="H419" s="4" t="s">
        <v>16</v>
      </c>
      <c r="I419" s="4"/>
      <c r="J419" s="5">
        <v>97</v>
      </c>
      <c r="K419" s="65"/>
      <c r="L419" s="38">
        <v>8.69</v>
      </c>
      <c r="M419" s="127" t="s">
        <v>270</v>
      </c>
      <c r="N419" s="4" t="s">
        <v>13</v>
      </c>
      <c r="O419" s="6">
        <v>8.7509999999999994</v>
      </c>
      <c r="P419" s="1" t="s">
        <v>7</v>
      </c>
      <c r="Q419" s="3"/>
      <c r="R419" s="6">
        <v>9.9410000000000007</v>
      </c>
      <c r="S419" s="6">
        <v>8.0579999999999998</v>
      </c>
      <c r="T419" s="6">
        <v>8.6479999999999997</v>
      </c>
      <c r="U419" s="4">
        <v>8.7289999999999992</v>
      </c>
      <c r="V419" s="6">
        <v>8.6690000000000005</v>
      </c>
      <c r="W419" s="53"/>
      <c r="X419" s="53"/>
      <c r="Y419" s="53"/>
      <c r="Z419" s="6">
        <v>8.6630000000000003</v>
      </c>
      <c r="AA419" s="6">
        <v>8.6349999999999998</v>
      </c>
      <c r="AB419" s="6">
        <v>8.5090000000000003</v>
      </c>
      <c r="AC419" s="6">
        <v>8.5589999999999993</v>
      </c>
      <c r="AD419" s="6">
        <v>8.391</v>
      </c>
      <c r="AE419" s="6">
        <v>8.33</v>
      </c>
      <c r="AF419" s="6">
        <v>8.0050000000000008</v>
      </c>
      <c r="AG419" s="6">
        <v>9.0380000000000003</v>
      </c>
      <c r="AH419" s="73">
        <f t="shared" si="50"/>
        <v>8.5214999999999996</v>
      </c>
      <c r="AI419" s="9"/>
      <c r="AJ419" s="9"/>
      <c r="AK419" s="9"/>
      <c r="AL419" s="9"/>
      <c r="AM419" s="9"/>
      <c r="AN419" s="9"/>
      <c r="AO419" s="9"/>
      <c r="AP419" s="3"/>
      <c r="AQ419" s="8"/>
    </row>
    <row r="420" spans="1:43">
      <c r="A420" s="1">
        <f t="shared" si="49"/>
        <v>418</v>
      </c>
      <c r="B420" s="31"/>
      <c r="C420" s="1">
        <v>2</v>
      </c>
      <c r="D420" s="4">
        <f t="shared" si="46"/>
        <v>12</v>
      </c>
      <c r="E420" s="4" t="s">
        <v>119</v>
      </c>
      <c r="F420" s="4">
        <v>1</v>
      </c>
      <c r="G420" s="4" t="s">
        <v>11</v>
      </c>
      <c r="H420" s="4" t="s">
        <v>12</v>
      </c>
      <c r="I420" s="4" t="s">
        <v>251</v>
      </c>
      <c r="J420" s="5">
        <v>87.8</v>
      </c>
      <c r="K420" s="63">
        <v>0</v>
      </c>
      <c r="L420" s="38">
        <v>2.83</v>
      </c>
      <c r="M420" s="127" t="s">
        <v>220</v>
      </c>
      <c r="N420" s="4" t="s">
        <v>13</v>
      </c>
      <c r="O420" s="6">
        <v>2.8370000000000002</v>
      </c>
      <c r="P420" s="1" t="s">
        <v>7</v>
      </c>
      <c r="Q420" s="3" t="s">
        <v>205</v>
      </c>
      <c r="R420" s="6">
        <v>2.9020000000000001</v>
      </c>
      <c r="S420" s="6">
        <v>2.9729999999999999</v>
      </c>
      <c r="T420" s="6">
        <v>2.855</v>
      </c>
      <c r="U420" s="6">
        <v>2.79</v>
      </c>
      <c r="V420" s="6">
        <v>2.9279999999999999</v>
      </c>
      <c r="W420" s="6">
        <v>2.8570000000000002</v>
      </c>
      <c r="X420" s="6">
        <v>2.8580000000000001</v>
      </c>
      <c r="Y420" s="6">
        <v>2.855</v>
      </c>
      <c r="Z420" s="22">
        <v>2.8439999999999999</v>
      </c>
      <c r="AA420" s="74">
        <v>2.819</v>
      </c>
      <c r="AB420" s="6">
        <v>2.8820000000000001</v>
      </c>
      <c r="AC420" s="6">
        <v>3.12</v>
      </c>
      <c r="AD420" s="6">
        <v>3.0710000000000002</v>
      </c>
      <c r="AE420" s="6">
        <v>2.6640000000000001</v>
      </c>
      <c r="AF420" s="6">
        <v>2.7109999999999999</v>
      </c>
      <c r="AG420" s="6">
        <v>2.77</v>
      </c>
      <c r="AH420" s="73">
        <f t="shared" si="50"/>
        <v>2.7404999999999999</v>
      </c>
      <c r="AI420" s="9"/>
      <c r="AJ420" s="9"/>
      <c r="AK420" s="9"/>
      <c r="AL420" s="9"/>
      <c r="AM420" s="9"/>
      <c r="AN420" s="9"/>
      <c r="AO420" s="9"/>
      <c r="AP420" s="3"/>
      <c r="AQ420" s="8"/>
    </row>
    <row r="421" spans="1:43">
      <c r="A421" s="1">
        <f t="shared" si="49"/>
        <v>419</v>
      </c>
      <c r="B421" s="31" t="s">
        <v>77</v>
      </c>
      <c r="C421" s="1">
        <v>3</v>
      </c>
      <c r="D421" s="4">
        <f t="shared" si="46"/>
        <v>35</v>
      </c>
      <c r="E421" s="4" t="s">
        <v>224</v>
      </c>
      <c r="F421" s="4">
        <v>1</v>
      </c>
      <c r="G421" s="4" t="s">
        <v>11</v>
      </c>
      <c r="H421" s="4" t="s">
        <v>12</v>
      </c>
      <c r="I421" s="4"/>
      <c r="J421" s="15">
        <v>90.8</v>
      </c>
      <c r="K421" s="63">
        <v>0</v>
      </c>
      <c r="L421" s="38">
        <v>5.6440000000000001</v>
      </c>
      <c r="M421" s="127" t="s">
        <v>117</v>
      </c>
      <c r="N421" s="4" t="s">
        <v>13</v>
      </c>
      <c r="O421" s="6">
        <v>5.6479999999999997</v>
      </c>
      <c r="P421" s="1" t="s">
        <v>7</v>
      </c>
      <c r="Q421" s="3" t="s">
        <v>205</v>
      </c>
      <c r="R421" s="22">
        <v>5.5810000000000004</v>
      </c>
      <c r="S421" s="22">
        <v>5.6879999999999997</v>
      </c>
      <c r="T421" s="22">
        <v>5.6619999999999999</v>
      </c>
      <c r="U421" s="22">
        <v>5.4969999999999999</v>
      </c>
      <c r="V421" s="22">
        <v>5.6920000000000002</v>
      </c>
      <c r="W421" s="22">
        <v>5.6559999999999997</v>
      </c>
      <c r="X421" s="22">
        <v>5.657</v>
      </c>
      <c r="Y421" s="22">
        <v>5.6689999999999996</v>
      </c>
      <c r="Z421" s="22">
        <v>5.657</v>
      </c>
      <c r="AA421" s="22">
        <v>5.6269999999999998</v>
      </c>
      <c r="AB421" s="22">
        <v>5.6109999999999998</v>
      </c>
      <c r="AC421" s="22">
        <v>5.8090000000000002</v>
      </c>
      <c r="AD421" s="22">
        <v>5.7690000000000001</v>
      </c>
      <c r="AE421" s="22">
        <v>5.3920000000000003</v>
      </c>
      <c r="AF421" s="22">
        <v>5.4489999999999998</v>
      </c>
      <c r="AG421" s="22">
        <v>5.7469999999999999</v>
      </c>
      <c r="AH421" s="6">
        <f>IF((AF421&lt;&gt;0)*AND(AG421&lt;&gt;0),AVERAGE(AF421:AG421),"")</f>
        <v>5.5979999999999999</v>
      </c>
      <c r="AI421" s="7">
        <v>5.95</v>
      </c>
      <c r="AJ421" s="8">
        <v>5.66</v>
      </c>
      <c r="AK421" s="8">
        <v>5.45</v>
      </c>
      <c r="AL421" s="8">
        <v>5.71</v>
      </c>
      <c r="AM421" s="8">
        <v>5.67</v>
      </c>
      <c r="AN421" s="8">
        <v>5.73</v>
      </c>
      <c r="AO421" s="8">
        <v>5.71</v>
      </c>
      <c r="AP421" s="3"/>
      <c r="AQ421" s="8"/>
    </row>
    <row r="422" spans="1:43">
      <c r="A422" s="1">
        <f t="shared" si="49"/>
        <v>420</v>
      </c>
      <c r="B422" s="31"/>
      <c r="C422" s="1">
        <v>3</v>
      </c>
      <c r="D422" s="4">
        <f t="shared" si="46"/>
        <v>35</v>
      </c>
      <c r="E422" s="4" t="s">
        <v>224</v>
      </c>
      <c r="F422" s="4">
        <v>1</v>
      </c>
      <c r="G422" s="4" t="s">
        <v>14</v>
      </c>
      <c r="H422" s="4" t="s">
        <v>22</v>
      </c>
      <c r="I422" s="4"/>
      <c r="J422" s="15">
        <v>92.2</v>
      </c>
      <c r="K422" s="63">
        <v>0.02</v>
      </c>
      <c r="L422" s="38">
        <v>6.8470000000000004</v>
      </c>
      <c r="M422" s="127" t="s">
        <v>117</v>
      </c>
      <c r="N422" s="4" t="s">
        <v>13</v>
      </c>
      <c r="O422" s="6">
        <v>6.8949999999999996</v>
      </c>
      <c r="P422" s="1" t="s">
        <v>7</v>
      </c>
      <c r="Q422" s="3" t="s">
        <v>205</v>
      </c>
      <c r="R422" s="22">
        <v>6.7169999999999996</v>
      </c>
      <c r="S422" s="22">
        <v>6.7350000000000003</v>
      </c>
      <c r="T422" s="22">
        <v>7.0140000000000002</v>
      </c>
      <c r="U422" s="22">
        <v>6.8650000000000002</v>
      </c>
      <c r="V422" s="22">
        <v>6.9119999999999999</v>
      </c>
      <c r="W422" s="22">
        <v>6.8460000000000001</v>
      </c>
      <c r="X422" s="22">
        <v>6.8520000000000003</v>
      </c>
      <c r="Y422" s="22">
        <v>6.8620000000000001</v>
      </c>
      <c r="Z422" s="22">
        <v>6.8310000000000004</v>
      </c>
      <c r="AA422" s="22">
        <v>6.83</v>
      </c>
      <c r="AB422" s="22">
        <v>6.96</v>
      </c>
      <c r="AC422" s="22">
        <v>6.9480000000000004</v>
      </c>
      <c r="AD422" s="22">
        <v>6.8769999999999998</v>
      </c>
      <c r="AE422" s="22">
        <v>6.8040000000000003</v>
      </c>
      <c r="AF422" s="22">
        <v>6.7290000000000001</v>
      </c>
      <c r="AG422" s="22">
        <v>6.867</v>
      </c>
      <c r="AH422" s="6">
        <f t="shared" ref="AH422:AH430" si="51">IF((AF422&lt;&gt;0)*AND(AG422&lt;&gt;0),AVERAGE(AF422:AG422),"")</f>
        <v>6.798</v>
      </c>
      <c r="AI422" s="9"/>
      <c r="AJ422" s="9"/>
      <c r="AK422" s="9"/>
      <c r="AL422" s="9"/>
      <c r="AM422" s="9"/>
      <c r="AN422" s="9"/>
      <c r="AO422" s="9"/>
      <c r="AP422" s="3"/>
      <c r="AQ422" s="8"/>
    </row>
    <row r="423" spans="1:43">
      <c r="A423" s="1">
        <f t="shared" si="49"/>
        <v>421</v>
      </c>
      <c r="B423" s="31"/>
      <c r="C423" s="1">
        <v>3</v>
      </c>
      <c r="D423" s="4">
        <f t="shared" si="46"/>
        <v>35</v>
      </c>
      <c r="E423" s="4" t="s">
        <v>229</v>
      </c>
      <c r="F423" s="4">
        <v>1</v>
      </c>
      <c r="G423" s="4" t="s">
        <v>14</v>
      </c>
      <c r="H423" s="4" t="s">
        <v>15</v>
      </c>
      <c r="I423" s="4" t="s">
        <v>205</v>
      </c>
      <c r="J423" s="15">
        <v>88.6</v>
      </c>
      <c r="K423" s="63">
        <v>1E-3</v>
      </c>
      <c r="L423" s="38">
        <v>6.766</v>
      </c>
      <c r="M423" s="127" t="s">
        <v>117</v>
      </c>
      <c r="N423" s="4" t="s">
        <v>13</v>
      </c>
      <c r="O423" s="22">
        <v>6.8079999999999998</v>
      </c>
      <c r="P423" s="1" t="s">
        <v>7</v>
      </c>
      <c r="Q423" s="3" t="s">
        <v>205</v>
      </c>
      <c r="R423" s="22">
        <v>6.8220000000000001</v>
      </c>
      <c r="S423" s="22">
        <v>6.3109999999999999</v>
      </c>
      <c r="T423" s="22">
        <v>7.03</v>
      </c>
      <c r="U423" s="22">
        <v>6.8079999999999998</v>
      </c>
      <c r="V423" s="22">
        <v>6.992</v>
      </c>
      <c r="W423" s="22">
        <v>6.8410000000000002</v>
      </c>
      <c r="X423" s="22">
        <v>6.8289999999999997</v>
      </c>
      <c r="Y423" s="22">
        <v>6.8310000000000004</v>
      </c>
      <c r="Z423" s="22">
        <v>6.742</v>
      </c>
      <c r="AA423" s="22">
        <v>6.7409999999999997</v>
      </c>
      <c r="AB423" s="22">
        <v>6.8419999999999996</v>
      </c>
      <c r="AC423" s="22">
        <v>6.9020000000000001</v>
      </c>
      <c r="AD423" s="22">
        <v>6.7089999999999996</v>
      </c>
      <c r="AE423" s="22">
        <v>6.6349999999999998</v>
      </c>
      <c r="AF423" s="22">
        <v>6.2549999999999999</v>
      </c>
      <c r="AG423" s="22">
        <v>7.1989999999999998</v>
      </c>
      <c r="AH423" s="6">
        <f t="shared" si="51"/>
        <v>6.7270000000000003</v>
      </c>
      <c r="AI423" s="7">
        <v>6.17</v>
      </c>
      <c r="AJ423" s="7">
        <v>6.8</v>
      </c>
      <c r="AK423" s="7">
        <v>6.64</v>
      </c>
      <c r="AL423" s="7">
        <v>6.82</v>
      </c>
      <c r="AM423" s="7">
        <v>6.81</v>
      </c>
      <c r="AN423" s="7">
        <v>6.92</v>
      </c>
      <c r="AO423" s="7">
        <v>6.98</v>
      </c>
      <c r="AP423" s="3"/>
      <c r="AQ423" s="8"/>
    </row>
    <row r="424" spans="1:43">
      <c r="A424" s="1">
        <f t="shared" si="49"/>
        <v>422</v>
      </c>
      <c r="B424" s="31"/>
      <c r="C424" s="1">
        <v>3</v>
      </c>
      <c r="D424" s="4">
        <f t="shared" si="46"/>
        <v>35</v>
      </c>
      <c r="E424" s="4" t="s">
        <v>229</v>
      </c>
      <c r="F424" s="4">
        <v>1</v>
      </c>
      <c r="G424" s="4" t="s">
        <v>207</v>
      </c>
      <c r="H424" s="4" t="s">
        <v>271</v>
      </c>
      <c r="I424" s="4" t="s">
        <v>205</v>
      </c>
      <c r="J424" s="15">
        <v>89.6</v>
      </c>
      <c r="K424" s="63">
        <v>0.111</v>
      </c>
      <c r="L424" s="38">
        <v>7.4260000000000002</v>
      </c>
      <c r="M424" s="127" t="s">
        <v>117</v>
      </c>
      <c r="N424" s="4" t="s">
        <v>13</v>
      </c>
      <c r="O424" s="22">
        <v>7.4619999999999997</v>
      </c>
      <c r="P424" s="1" t="s">
        <v>7</v>
      </c>
      <c r="Q424" s="3" t="s">
        <v>205</v>
      </c>
      <c r="R424" s="22">
        <v>6.8869999999999996</v>
      </c>
      <c r="S424" s="22">
        <v>6.8869999999999996</v>
      </c>
      <c r="T424" s="22">
        <v>7.5529999999999999</v>
      </c>
      <c r="U424" s="22">
        <v>7.3360000000000003</v>
      </c>
      <c r="V424" s="22">
        <v>7.548</v>
      </c>
      <c r="W424" s="22">
        <v>7.4390000000000001</v>
      </c>
      <c r="X424" s="22">
        <v>7.4379999999999997</v>
      </c>
      <c r="Y424" s="22">
        <v>7.4589999999999996</v>
      </c>
      <c r="Z424" s="22">
        <v>7.3959999999999999</v>
      </c>
      <c r="AA424" s="22">
        <v>7.383</v>
      </c>
      <c r="AB424" s="22">
        <v>7.3470000000000004</v>
      </c>
      <c r="AC424" s="22">
        <v>7.4359999999999999</v>
      </c>
      <c r="AD424" s="22">
        <v>7.266</v>
      </c>
      <c r="AE424" s="22">
        <v>7.1379999999999999</v>
      </c>
      <c r="AF424" s="22">
        <v>6.8310000000000004</v>
      </c>
      <c r="AG424" s="22">
        <v>7.7990000000000004</v>
      </c>
      <c r="AH424" s="6">
        <f t="shared" si="51"/>
        <v>7.3150000000000004</v>
      </c>
      <c r="AI424" s="7">
        <v>6.74</v>
      </c>
      <c r="AJ424" s="8">
        <v>7.45</v>
      </c>
      <c r="AK424" s="8">
        <v>7.32</v>
      </c>
      <c r="AL424" s="8">
        <v>7.46</v>
      </c>
      <c r="AM424" s="8">
        <v>7.46</v>
      </c>
      <c r="AN424" s="8">
        <v>7.57</v>
      </c>
      <c r="AO424" s="8">
        <v>7.64</v>
      </c>
      <c r="AP424" s="3"/>
      <c r="AQ424" s="8"/>
    </row>
    <row r="425" spans="1:43">
      <c r="A425" s="1">
        <f t="shared" si="49"/>
        <v>423</v>
      </c>
      <c r="B425" s="31"/>
      <c r="C425" s="1">
        <v>3</v>
      </c>
      <c r="D425" s="4">
        <f t="shared" si="46"/>
        <v>35</v>
      </c>
      <c r="E425" s="4" t="s">
        <v>224</v>
      </c>
      <c r="F425" s="4">
        <v>1</v>
      </c>
      <c r="G425" s="4" t="s">
        <v>14</v>
      </c>
      <c r="H425" s="4" t="s">
        <v>23</v>
      </c>
      <c r="I425" s="4"/>
      <c r="J425" s="15">
        <v>91.9</v>
      </c>
      <c r="K425" s="63">
        <v>0</v>
      </c>
      <c r="L425" s="38">
        <v>7.7030000000000003</v>
      </c>
      <c r="M425" s="127" t="s">
        <v>117</v>
      </c>
      <c r="N425" s="4" t="s">
        <v>13</v>
      </c>
      <c r="O425" s="22">
        <v>7.7480000000000002</v>
      </c>
      <c r="P425" s="1" t="s">
        <v>7</v>
      </c>
      <c r="Q425" s="3"/>
      <c r="R425" s="22">
        <v>7.52</v>
      </c>
      <c r="S425" s="22">
        <v>7.5359999999999996</v>
      </c>
      <c r="T425" s="22">
        <v>7.8559999999999999</v>
      </c>
      <c r="U425" s="22">
        <v>7.742</v>
      </c>
      <c r="V425" s="22">
        <v>7.7619999999999996</v>
      </c>
      <c r="W425" s="22">
        <v>7.6950000000000003</v>
      </c>
      <c r="X425" s="22">
        <v>7.702</v>
      </c>
      <c r="Y425" s="22">
        <v>7.7169999999999996</v>
      </c>
      <c r="Z425" s="22">
        <v>7.6840000000000002</v>
      </c>
      <c r="AA425" s="22">
        <v>7.681</v>
      </c>
      <c r="AB425" s="22">
        <v>7.7889999999999997</v>
      </c>
      <c r="AC425" s="22">
        <v>7.7839999999999998</v>
      </c>
      <c r="AD425" s="22">
        <v>7.7009999999999996</v>
      </c>
      <c r="AE425" s="22">
        <v>7.63</v>
      </c>
      <c r="AF425" s="22">
        <v>7.5270000000000001</v>
      </c>
      <c r="AG425" s="22">
        <v>7.7670000000000003</v>
      </c>
      <c r="AH425" s="6">
        <f t="shared" si="51"/>
        <v>7.6470000000000002</v>
      </c>
      <c r="AI425" s="9"/>
      <c r="AJ425" s="9"/>
      <c r="AK425" s="9"/>
      <c r="AL425" s="9"/>
      <c r="AM425" s="9"/>
      <c r="AN425" s="9"/>
      <c r="AO425" s="9"/>
      <c r="AP425" s="3"/>
      <c r="AQ425" s="8"/>
    </row>
    <row r="426" spans="1:43">
      <c r="A426" s="1">
        <f t="shared" si="49"/>
        <v>424</v>
      </c>
      <c r="B426" s="31"/>
      <c r="C426" s="1">
        <v>3</v>
      </c>
      <c r="D426" s="4">
        <f t="shared" si="46"/>
        <v>35</v>
      </c>
      <c r="E426" s="4" t="s">
        <v>229</v>
      </c>
      <c r="F426" s="4">
        <v>1</v>
      </c>
      <c r="G426" s="4" t="s">
        <v>207</v>
      </c>
      <c r="H426" s="4" t="s">
        <v>284</v>
      </c>
      <c r="I426" s="4" t="s">
        <v>205</v>
      </c>
      <c r="J426" s="15">
        <v>89.3</v>
      </c>
      <c r="K426" s="63">
        <v>0.251</v>
      </c>
      <c r="L426" s="38">
        <v>7.6239999999999997</v>
      </c>
      <c r="M426" s="127" t="s">
        <v>117</v>
      </c>
      <c r="N426" s="4" t="s">
        <v>13</v>
      </c>
      <c r="O426" s="22">
        <v>7.4619999999999997</v>
      </c>
      <c r="P426" s="1" t="s">
        <v>7</v>
      </c>
      <c r="Q426" s="3"/>
      <c r="R426" s="22">
        <v>6.8369999999999997</v>
      </c>
      <c r="S426" s="22">
        <v>7.5540000000000003</v>
      </c>
      <c r="T426" s="22">
        <v>7.75</v>
      </c>
      <c r="U426" s="22">
        <v>7.6719999999999997</v>
      </c>
      <c r="V426" s="22">
        <v>7.7789999999999999</v>
      </c>
      <c r="W426" s="22">
        <v>7.66</v>
      </c>
      <c r="X426" s="22">
        <v>7.6470000000000002</v>
      </c>
      <c r="Y426" s="22">
        <v>7.6760000000000002</v>
      </c>
      <c r="Z426" s="22">
        <v>7.62</v>
      </c>
      <c r="AA426" s="22">
        <v>7.609</v>
      </c>
      <c r="AB426" s="22">
        <v>7.5739999999999998</v>
      </c>
      <c r="AC426" s="22">
        <v>7.6890000000000001</v>
      </c>
      <c r="AD426" s="22">
        <v>7.6150000000000002</v>
      </c>
      <c r="AE426" s="22">
        <v>7.3639999999999999</v>
      </c>
      <c r="AF426" s="22">
        <v>7.3890000000000002</v>
      </c>
      <c r="AG426" s="22">
        <v>8.1289999999999996</v>
      </c>
      <c r="AH426" s="6">
        <f t="shared" si="51"/>
        <v>7.7590000000000003</v>
      </c>
      <c r="AI426" s="7">
        <v>8.8000000000000007</v>
      </c>
      <c r="AJ426" s="8">
        <v>7.88</v>
      </c>
      <c r="AK426" s="8">
        <v>7.13</v>
      </c>
      <c r="AL426" s="8">
        <v>7.95</v>
      </c>
      <c r="AM426" s="8">
        <v>7.78</v>
      </c>
      <c r="AN426" s="8">
        <v>8.11</v>
      </c>
      <c r="AO426" s="8">
        <v>7.64</v>
      </c>
      <c r="AP426" s="3"/>
      <c r="AQ426" s="8"/>
    </row>
    <row r="427" spans="1:43">
      <c r="A427" s="1">
        <f t="shared" si="49"/>
        <v>425</v>
      </c>
      <c r="B427" s="31"/>
      <c r="C427" s="1">
        <v>3</v>
      </c>
      <c r="D427" s="4">
        <f t="shared" si="46"/>
        <v>35</v>
      </c>
      <c r="E427" s="4" t="s">
        <v>225</v>
      </c>
      <c r="F427" s="4">
        <v>3</v>
      </c>
      <c r="G427" s="4" t="s">
        <v>11</v>
      </c>
      <c r="H427" s="4" t="s">
        <v>12</v>
      </c>
      <c r="I427" s="4"/>
      <c r="J427" s="15">
        <v>97.7</v>
      </c>
      <c r="K427" s="65"/>
      <c r="L427" s="38">
        <v>5.3679999999999994</v>
      </c>
      <c r="M427" s="127" t="s">
        <v>109</v>
      </c>
      <c r="N427" s="4" t="s">
        <v>13</v>
      </c>
      <c r="O427" s="6">
        <v>5.3769999999999989</v>
      </c>
      <c r="P427" s="1" t="s">
        <v>7</v>
      </c>
      <c r="Q427" s="3" t="s">
        <v>205</v>
      </c>
      <c r="R427" s="22">
        <v>5.3049999999999997</v>
      </c>
      <c r="S427" s="22">
        <v>5.3609999999999998</v>
      </c>
      <c r="T427" s="22">
        <v>5.3520000000000003</v>
      </c>
      <c r="U427" s="22">
        <v>5.2320000000000002</v>
      </c>
      <c r="V427" s="22">
        <v>5.3620000000000001</v>
      </c>
      <c r="W427" s="60"/>
      <c r="X427" s="60"/>
      <c r="Y427" s="60"/>
      <c r="Z427" s="22">
        <v>5.3780000000000001</v>
      </c>
      <c r="AA427" s="60"/>
      <c r="AB427" s="22">
        <v>5.9320000000000004</v>
      </c>
      <c r="AC427" s="22">
        <v>5.569</v>
      </c>
      <c r="AD427" s="22">
        <v>5.4989999999999997</v>
      </c>
      <c r="AE427" s="22">
        <v>5.1929999999999996</v>
      </c>
      <c r="AF427" s="22">
        <v>5.1470000000000002</v>
      </c>
      <c r="AG427" s="22">
        <v>5.42</v>
      </c>
      <c r="AH427" s="6">
        <f>IF((AF427&lt;&gt;0)*AND(AG427&lt;&gt;0),AVERAGE(AF427:AG427),"")</f>
        <v>5.2835000000000001</v>
      </c>
      <c r="AI427" s="7">
        <v>5.89</v>
      </c>
      <c r="AJ427" s="8">
        <v>5.36</v>
      </c>
      <c r="AK427" s="8">
        <v>5.16</v>
      </c>
      <c r="AL427" s="8">
        <v>5.41</v>
      </c>
      <c r="AM427" s="8">
        <v>5.37</v>
      </c>
      <c r="AN427" s="7">
        <v>5.44</v>
      </c>
      <c r="AO427" s="7">
        <v>5.38</v>
      </c>
      <c r="AP427" s="3"/>
      <c r="AQ427" s="8"/>
    </row>
    <row r="428" spans="1:43">
      <c r="A428" s="1">
        <f t="shared" si="49"/>
        <v>426</v>
      </c>
      <c r="B428" s="31"/>
      <c r="C428" s="1">
        <v>3</v>
      </c>
      <c r="D428" s="4">
        <f t="shared" si="46"/>
        <v>35</v>
      </c>
      <c r="E428" s="4" t="s">
        <v>230</v>
      </c>
      <c r="F428" s="4">
        <v>3</v>
      </c>
      <c r="G428" s="4" t="s">
        <v>11</v>
      </c>
      <c r="H428" s="4" t="s">
        <v>17</v>
      </c>
      <c r="I428" s="4"/>
      <c r="J428" s="15">
        <v>98.2</v>
      </c>
      <c r="K428" s="65"/>
      <c r="L428" s="38">
        <v>5.806</v>
      </c>
      <c r="M428" s="127" t="s">
        <v>109</v>
      </c>
      <c r="N428" s="4" t="s">
        <v>13</v>
      </c>
      <c r="O428" s="6">
        <v>5.8199999999999994</v>
      </c>
      <c r="P428" s="1" t="s">
        <v>7</v>
      </c>
      <c r="Q428" s="3" t="s">
        <v>205</v>
      </c>
      <c r="R428" s="22">
        <v>6.0709999999999997</v>
      </c>
      <c r="S428" s="22">
        <v>5.9870000000000001</v>
      </c>
      <c r="T428" s="22">
        <v>5.9109999999999996</v>
      </c>
      <c r="U428" s="22">
        <v>5.6529999999999996</v>
      </c>
      <c r="V428" s="22">
        <v>5.7679999999999998</v>
      </c>
      <c r="W428" s="60"/>
      <c r="X428" s="60"/>
      <c r="Y428" s="60"/>
      <c r="Z428" s="22">
        <v>5.8159999999999998</v>
      </c>
      <c r="AA428" s="60"/>
      <c r="AB428" s="22">
        <v>5.976</v>
      </c>
      <c r="AC428" s="22">
        <v>6.048</v>
      </c>
      <c r="AD428" s="22">
        <v>6.0309999999999997</v>
      </c>
      <c r="AE428" s="22">
        <v>5.819</v>
      </c>
      <c r="AF428" s="22">
        <v>5.8840000000000003</v>
      </c>
      <c r="AG428" s="22">
        <v>5.6340000000000003</v>
      </c>
      <c r="AH428" s="6">
        <f t="shared" si="51"/>
        <v>5.7590000000000003</v>
      </c>
      <c r="AI428" s="7">
        <v>6.1</v>
      </c>
      <c r="AJ428" s="8">
        <v>5.88</v>
      </c>
      <c r="AK428" s="8">
        <v>5.62</v>
      </c>
      <c r="AL428" s="8">
        <v>5.91</v>
      </c>
      <c r="AM428" s="8">
        <v>5.87</v>
      </c>
      <c r="AN428" s="7">
        <v>5.98</v>
      </c>
      <c r="AO428" s="7">
        <v>5.9</v>
      </c>
      <c r="AP428" s="3"/>
      <c r="AQ428" s="8"/>
    </row>
    <row r="429" spans="1:43">
      <c r="A429" s="1">
        <f t="shared" si="49"/>
        <v>427</v>
      </c>
      <c r="B429" s="31"/>
      <c r="C429" s="1">
        <v>3</v>
      </c>
      <c r="D429" s="4">
        <f t="shared" si="46"/>
        <v>35</v>
      </c>
      <c r="E429" s="4" t="s">
        <v>225</v>
      </c>
      <c r="F429" s="4">
        <v>3</v>
      </c>
      <c r="G429" s="4" t="s">
        <v>14</v>
      </c>
      <c r="H429" s="4" t="s">
        <v>22</v>
      </c>
      <c r="I429" s="4"/>
      <c r="J429" s="15">
        <v>97.5</v>
      </c>
      <c r="K429" s="65"/>
      <c r="L429" s="38">
        <v>6.6470000000000002</v>
      </c>
      <c r="M429" s="127" t="s">
        <v>109</v>
      </c>
      <c r="N429" s="4" t="s">
        <v>13</v>
      </c>
      <c r="O429" s="6">
        <v>6.6960000000000006</v>
      </c>
      <c r="P429" s="1" t="s">
        <v>7</v>
      </c>
      <c r="Q429" s="3"/>
      <c r="R429" s="22">
        <v>6.6150000000000002</v>
      </c>
      <c r="S429" s="22">
        <v>6.5730000000000004</v>
      </c>
      <c r="T429" s="22">
        <v>6.8129999999999997</v>
      </c>
      <c r="U429" s="22">
        <v>6.6859999999999999</v>
      </c>
      <c r="V429" s="22">
        <v>6.7110000000000003</v>
      </c>
      <c r="W429" s="60"/>
      <c r="X429" s="60"/>
      <c r="Y429" s="60"/>
      <c r="Z429" s="22">
        <v>6.6420000000000003</v>
      </c>
      <c r="AA429" s="60"/>
      <c r="AB429" s="22">
        <v>6.8209999999999997</v>
      </c>
      <c r="AC429" s="22">
        <v>6.8049999999999997</v>
      </c>
      <c r="AD429" s="22">
        <v>6.7270000000000003</v>
      </c>
      <c r="AE429" s="22">
        <v>6.673</v>
      </c>
      <c r="AF429" s="22">
        <v>6.5720000000000001</v>
      </c>
      <c r="AG429" s="22">
        <v>6.6479999999999997</v>
      </c>
      <c r="AH429" s="6">
        <f t="shared" si="51"/>
        <v>6.6099999999999994</v>
      </c>
      <c r="AI429" s="9"/>
      <c r="AJ429" s="9"/>
      <c r="AK429" s="9"/>
      <c r="AL429" s="9"/>
      <c r="AM429" s="9"/>
      <c r="AN429" s="9"/>
      <c r="AO429" s="9"/>
      <c r="AP429" s="3"/>
      <c r="AQ429" s="8"/>
    </row>
    <row r="430" spans="1:43">
      <c r="A430" s="1">
        <f t="shared" si="49"/>
        <v>428</v>
      </c>
      <c r="B430" s="31"/>
      <c r="C430" s="1">
        <v>3</v>
      </c>
      <c r="D430" s="4">
        <f t="shared" si="46"/>
        <v>35</v>
      </c>
      <c r="E430" s="4" t="s">
        <v>230</v>
      </c>
      <c r="F430" s="4">
        <v>3</v>
      </c>
      <c r="G430" s="4" t="s">
        <v>14</v>
      </c>
      <c r="H430" s="4" t="s">
        <v>15</v>
      </c>
      <c r="I430" s="4"/>
      <c r="J430" s="15">
        <v>95.7</v>
      </c>
      <c r="K430" s="65"/>
      <c r="L430" s="38">
        <v>6.7309999999999999</v>
      </c>
      <c r="M430" s="127" t="s">
        <v>109</v>
      </c>
      <c r="N430" s="4" t="s">
        <v>13</v>
      </c>
      <c r="O430" s="6">
        <v>6.7809999999999997</v>
      </c>
      <c r="P430" s="1" t="s">
        <v>7</v>
      </c>
      <c r="Q430" s="3"/>
      <c r="R430" s="22">
        <v>6.3449999999999998</v>
      </c>
      <c r="S430" s="22">
        <v>6.2619999999999996</v>
      </c>
      <c r="T430" s="22">
        <v>6.9660000000000002</v>
      </c>
      <c r="U430" s="22">
        <v>6.9089999999999998</v>
      </c>
      <c r="V430" s="22">
        <v>6.9340000000000002</v>
      </c>
      <c r="W430" s="60"/>
      <c r="X430" s="60"/>
      <c r="Y430" s="60"/>
      <c r="Z430" s="22">
        <v>6.7229999999999999</v>
      </c>
      <c r="AA430" s="60"/>
      <c r="AB430" s="22">
        <v>6.84</v>
      </c>
      <c r="AC430" s="22">
        <v>6.9050000000000002</v>
      </c>
      <c r="AD430" s="22">
        <v>6.69</v>
      </c>
      <c r="AE430" s="22">
        <v>6.6440000000000001</v>
      </c>
      <c r="AF430" s="22">
        <v>6.2039999999999997</v>
      </c>
      <c r="AG430" s="22">
        <v>7.3140000000000001</v>
      </c>
      <c r="AH430" s="6">
        <f t="shared" si="51"/>
        <v>6.7590000000000003</v>
      </c>
      <c r="AI430" s="9"/>
      <c r="AJ430" s="9"/>
      <c r="AK430" s="9"/>
      <c r="AL430" s="9"/>
      <c r="AM430" s="9"/>
      <c r="AN430" s="9"/>
      <c r="AO430" s="9"/>
      <c r="AP430" s="3"/>
      <c r="AQ430" s="8"/>
    </row>
    <row r="431" spans="1:43">
      <c r="A431" s="1">
        <f t="shared" si="49"/>
        <v>429</v>
      </c>
      <c r="B431" s="31" t="s">
        <v>133</v>
      </c>
      <c r="C431" s="1">
        <v>3</v>
      </c>
      <c r="D431" s="4">
        <f t="shared" si="46"/>
        <v>35</v>
      </c>
      <c r="E431" s="4" t="s">
        <v>224</v>
      </c>
      <c r="F431" s="4">
        <v>1</v>
      </c>
      <c r="G431" s="4" t="s">
        <v>11</v>
      </c>
      <c r="H431" s="4" t="s">
        <v>12</v>
      </c>
      <c r="I431" s="4"/>
      <c r="J431" s="5">
        <v>91.2</v>
      </c>
      <c r="K431" s="68"/>
      <c r="L431" s="38">
        <v>5.9720000000000004</v>
      </c>
      <c r="M431" s="127" t="s">
        <v>216</v>
      </c>
      <c r="N431" s="4" t="s">
        <v>13</v>
      </c>
      <c r="O431" s="6">
        <v>5.9770000000000003</v>
      </c>
      <c r="P431" s="1" t="s">
        <v>7</v>
      </c>
      <c r="Q431" s="3" t="s">
        <v>205</v>
      </c>
      <c r="R431" s="22">
        <v>6.0339999999999998</v>
      </c>
      <c r="S431" s="6">
        <v>6.1459999999999999</v>
      </c>
      <c r="T431" s="6">
        <v>5.9950000000000001</v>
      </c>
      <c r="U431" s="6">
        <v>5.86</v>
      </c>
      <c r="V431" s="6">
        <v>6.016</v>
      </c>
      <c r="W431" s="6">
        <v>5.99</v>
      </c>
      <c r="X431" s="6">
        <v>5.9909999999999997</v>
      </c>
      <c r="Y431" s="6">
        <v>5.9960000000000004</v>
      </c>
      <c r="Z431" s="22">
        <v>5.9880000000000004</v>
      </c>
      <c r="AA431" s="22">
        <v>5.96</v>
      </c>
      <c r="AB431" s="6">
        <v>5.9889999999999999</v>
      </c>
      <c r="AC431" s="6">
        <v>6.1849999999999996</v>
      </c>
      <c r="AD431" s="6">
        <v>6.1719999999999997</v>
      </c>
      <c r="AE431" s="6">
        <v>5.7750000000000004</v>
      </c>
      <c r="AF431" s="6">
        <v>5.91</v>
      </c>
      <c r="AG431" s="6">
        <v>5.9349999999999996</v>
      </c>
      <c r="AH431" s="6">
        <f t="shared" ref="AH431:AH502" si="52">IF((AF431&lt;&gt;0)*AND(AG431&lt;&gt;0),AVERAGE(AF431:AG431),"")</f>
        <v>5.9224999999999994</v>
      </c>
      <c r="AI431" s="9"/>
      <c r="AJ431" s="9"/>
      <c r="AK431" s="9"/>
      <c r="AL431" s="9"/>
      <c r="AM431" s="9"/>
      <c r="AN431" s="9"/>
      <c r="AO431" s="9"/>
      <c r="AP431" s="3"/>
      <c r="AQ431" s="8"/>
    </row>
    <row r="432" spans="1:43">
      <c r="A432" s="1">
        <f t="shared" si="49"/>
        <v>430</v>
      </c>
      <c r="B432" s="31"/>
      <c r="C432" s="1">
        <v>3</v>
      </c>
      <c r="D432" s="4">
        <f t="shared" si="46"/>
        <v>35</v>
      </c>
      <c r="E432" s="4" t="s">
        <v>134</v>
      </c>
      <c r="F432" s="4">
        <v>3</v>
      </c>
      <c r="G432" s="4" t="s">
        <v>11</v>
      </c>
      <c r="H432" s="4" t="s">
        <v>12</v>
      </c>
      <c r="I432" s="4"/>
      <c r="J432" s="5">
        <v>98</v>
      </c>
      <c r="K432" s="135">
        <v>1.5E-3</v>
      </c>
      <c r="L432" s="38">
        <v>5.6109999999999998</v>
      </c>
      <c r="M432" s="127" t="s">
        <v>109</v>
      </c>
      <c r="N432" s="4" t="s">
        <v>13</v>
      </c>
      <c r="O432" s="6">
        <v>5.6219999999999999</v>
      </c>
      <c r="P432" s="1" t="s">
        <v>7</v>
      </c>
      <c r="Q432" s="3" t="s">
        <v>205</v>
      </c>
      <c r="R432" s="22">
        <v>5.6340000000000003</v>
      </c>
      <c r="S432" s="6">
        <v>5.71</v>
      </c>
      <c r="T432" s="6">
        <v>5.5960000000000001</v>
      </c>
      <c r="U432" s="6">
        <v>5.5</v>
      </c>
      <c r="V432" s="6">
        <v>5.5970000000000004</v>
      </c>
      <c r="W432" s="60"/>
      <c r="X432" s="60"/>
      <c r="Y432" s="60"/>
      <c r="Z432" s="22">
        <v>5.6219999999999999</v>
      </c>
      <c r="AA432" s="22">
        <v>5.5960000000000001</v>
      </c>
      <c r="AB432" s="6">
        <v>5.6740000000000004</v>
      </c>
      <c r="AC432" s="6">
        <v>5.8490000000000002</v>
      </c>
      <c r="AD432" s="6">
        <v>5.8019999999999996</v>
      </c>
      <c r="AE432" s="6">
        <v>5.484</v>
      </c>
      <c r="AF432" s="6">
        <v>5.4969999999999999</v>
      </c>
      <c r="AG432" s="6">
        <v>5.54</v>
      </c>
      <c r="AH432" s="6">
        <f t="shared" si="52"/>
        <v>5.5184999999999995</v>
      </c>
      <c r="AI432" s="9"/>
      <c r="AJ432" s="9"/>
      <c r="AK432" s="9"/>
      <c r="AL432" s="9"/>
      <c r="AM432" s="9"/>
      <c r="AN432" s="9"/>
      <c r="AO432" s="9"/>
      <c r="AP432" s="3"/>
      <c r="AQ432" s="8"/>
    </row>
    <row r="433" spans="1:43">
      <c r="A433" s="1">
        <f t="shared" si="49"/>
        <v>431</v>
      </c>
      <c r="B433" s="2" t="s">
        <v>34</v>
      </c>
      <c r="C433" s="1">
        <v>5</v>
      </c>
      <c r="D433" s="4">
        <f t="shared" si="46"/>
        <v>35</v>
      </c>
      <c r="E433" s="4" t="s">
        <v>131</v>
      </c>
      <c r="F433" s="4">
        <v>1</v>
      </c>
      <c r="G433" s="4" t="s">
        <v>14</v>
      </c>
      <c r="H433" s="4" t="s">
        <v>22</v>
      </c>
      <c r="I433" s="4"/>
      <c r="J433" s="5">
        <v>93.8</v>
      </c>
      <c r="K433" s="65"/>
      <c r="L433" s="38">
        <v>6.0969999999999995</v>
      </c>
      <c r="M433" s="127" t="s">
        <v>203</v>
      </c>
      <c r="N433" s="1" t="s">
        <v>13</v>
      </c>
      <c r="O433" s="22">
        <v>6.1230000000000002</v>
      </c>
      <c r="P433" s="1" t="s">
        <v>7</v>
      </c>
      <c r="Q433" s="3" t="s">
        <v>205</v>
      </c>
      <c r="R433" s="22">
        <v>6.1559999999999997</v>
      </c>
      <c r="S433" s="22">
        <v>6.056</v>
      </c>
      <c r="T433" s="22">
        <v>6.3259999999999996</v>
      </c>
      <c r="U433" s="22">
        <v>6.2549999999999999</v>
      </c>
      <c r="V433" s="22">
        <v>6.1680000000000001</v>
      </c>
      <c r="W433" s="22">
        <v>6.0970000000000004</v>
      </c>
      <c r="X433" s="22">
        <v>6.101</v>
      </c>
      <c r="Y433" s="34">
        <v>6.0910000000000002</v>
      </c>
      <c r="Z433" s="34">
        <v>6.0780000000000003</v>
      </c>
      <c r="AA433" s="22">
        <v>6.0869999999999997</v>
      </c>
      <c r="AB433" s="22">
        <v>6.282</v>
      </c>
      <c r="AC433" s="22">
        <v>6.2229999999999999</v>
      </c>
      <c r="AD433" s="22">
        <v>6.1660000000000004</v>
      </c>
      <c r="AE433" s="22">
        <v>6.1760000000000002</v>
      </c>
      <c r="AF433" s="22">
        <v>6.1210000000000004</v>
      </c>
      <c r="AG433" s="22">
        <v>5.9509999999999996</v>
      </c>
      <c r="AH433" s="22">
        <f t="shared" ref="AH433:AH449" si="53">0.5*(AF433+AG433)</f>
        <v>6.0359999999999996</v>
      </c>
      <c r="AI433" s="7">
        <v>5.26</v>
      </c>
      <c r="AJ433" s="7">
        <v>6.16</v>
      </c>
      <c r="AK433" s="7">
        <v>6.04</v>
      </c>
      <c r="AL433" s="7">
        <v>6.06</v>
      </c>
      <c r="AM433" s="7">
        <v>6.02</v>
      </c>
      <c r="AN433" s="7">
        <v>6.27</v>
      </c>
      <c r="AO433" s="7">
        <v>6.28</v>
      </c>
      <c r="AP433" s="3"/>
      <c r="AQ433" s="8"/>
    </row>
    <row r="434" spans="1:43">
      <c r="A434" s="1">
        <f t="shared" si="49"/>
        <v>432</v>
      </c>
      <c r="B434" s="19"/>
      <c r="C434" s="1">
        <v>5</v>
      </c>
      <c r="D434" s="4">
        <f t="shared" si="46"/>
        <v>35</v>
      </c>
      <c r="E434" s="4" t="s">
        <v>137</v>
      </c>
      <c r="F434" s="4">
        <v>1</v>
      </c>
      <c r="G434" s="4" t="s">
        <v>11</v>
      </c>
      <c r="H434" s="4" t="s">
        <v>17</v>
      </c>
      <c r="I434" s="4"/>
      <c r="J434" s="5">
        <v>93</v>
      </c>
      <c r="K434" s="63">
        <v>0.16300000000000001</v>
      </c>
      <c r="L434" s="38">
        <v>6.3460000000000001</v>
      </c>
      <c r="M434" s="127" t="s">
        <v>203</v>
      </c>
      <c r="N434" s="1" t="s">
        <v>13</v>
      </c>
      <c r="O434" s="22">
        <v>6.3420000000000005</v>
      </c>
      <c r="P434" s="1" t="s">
        <v>7</v>
      </c>
      <c r="Q434" s="3" t="s">
        <v>205</v>
      </c>
      <c r="R434" s="22">
        <v>6.59</v>
      </c>
      <c r="S434" s="22">
        <v>6.4509999999999996</v>
      </c>
      <c r="T434" s="22">
        <v>6.6669999999999998</v>
      </c>
      <c r="U434" s="22">
        <v>6.4370000000000003</v>
      </c>
      <c r="V434" s="22">
        <v>6.5060000000000002</v>
      </c>
      <c r="W434" s="22">
        <v>6.391</v>
      </c>
      <c r="X434" s="22">
        <v>6.38</v>
      </c>
      <c r="Y434" s="34">
        <v>6.3719999999999999</v>
      </c>
      <c r="Z434" s="34">
        <v>6.343</v>
      </c>
      <c r="AA434" s="22">
        <v>6.37</v>
      </c>
      <c r="AB434" s="22">
        <v>6.5389999999999997</v>
      </c>
      <c r="AC434" s="22">
        <v>6.5190000000000001</v>
      </c>
      <c r="AD434" s="22">
        <v>6.4960000000000004</v>
      </c>
      <c r="AE434" s="22">
        <v>6.3849999999999998</v>
      </c>
      <c r="AF434" s="22">
        <v>6.4749999999999996</v>
      </c>
      <c r="AG434" s="22">
        <v>6.15</v>
      </c>
      <c r="AH434" s="22">
        <f t="shared" si="53"/>
        <v>6.3125</v>
      </c>
      <c r="AI434" s="7">
        <v>7.78</v>
      </c>
      <c r="AJ434" s="7">
        <v>6.59</v>
      </c>
      <c r="AK434" s="7">
        <v>6.02</v>
      </c>
      <c r="AL434" s="7">
        <v>6.8</v>
      </c>
      <c r="AM434" s="7">
        <v>6.71</v>
      </c>
      <c r="AN434" s="7">
        <v>6.43</v>
      </c>
      <c r="AO434" s="7">
        <v>6.2</v>
      </c>
      <c r="AP434" s="3"/>
      <c r="AQ434" s="8"/>
    </row>
    <row r="435" spans="1:43">
      <c r="A435" s="1">
        <f t="shared" si="49"/>
        <v>433</v>
      </c>
      <c r="B435" s="19"/>
      <c r="C435" s="1">
        <v>5</v>
      </c>
      <c r="D435" s="4">
        <f t="shared" si="46"/>
        <v>35</v>
      </c>
      <c r="E435" s="4" t="s">
        <v>118</v>
      </c>
      <c r="F435" s="4">
        <v>1</v>
      </c>
      <c r="G435" s="4" t="s">
        <v>11</v>
      </c>
      <c r="H435" s="4" t="s">
        <v>17</v>
      </c>
      <c r="I435" s="4"/>
      <c r="J435" s="5">
        <v>92.4</v>
      </c>
      <c r="K435" s="63">
        <v>0</v>
      </c>
      <c r="L435" s="38">
        <v>6.5300000000000011</v>
      </c>
      <c r="M435" s="127" t="s">
        <v>203</v>
      </c>
      <c r="N435" s="1" t="s">
        <v>13</v>
      </c>
      <c r="O435" s="22">
        <v>6.5300000000000011</v>
      </c>
      <c r="P435" s="1" t="s">
        <v>7</v>
      </c>
      <c r="Q435" s="3" t="s">
        <v>205</v>
      </c>
      <c r="R435" s="22">
        <v>7.0090000000000003</v>
      </c>
      <c r="S435" s="22">
        <v>6.7720000000000002</v>
      </c>
      <c r="T435" s="22">
        <v>7.0170000000000003</v>
      </c>
      <c r="U435" s="33"/>
      <c r="V435" s="22">
        <v>6.851</v>
      </c>
      <c r="W435" s="22">
        <v>6.6820000000000004</v>
      </c>
      <c r="X435" s="22">
        <v>6.6769999999999996</v>
      </c>
      <c r="Y435" s="34">
        <v>6.6520000000000001</v>
      </c>
      <c r="Z435" s="34">
        <v>6.5839999999999996</v>
      </c>
      <c r="AA435" s="22">
        <v>6.5629999999999997</v>
      </c>
      <c r="AB435" s="22">
        <v>6.8280000000000003</v>
      </c>
      <c r="AC435" s="22">
        <v>6.827</v>
      </c>
      <c r="AD435" s="22">
        <v>6.806</v>
      </c>
      <c r="AE435" s="22">
        <v>6.6020000000000003</v>
      </c>
      <c r="AF435" s="22">
        <v>6.7590000000000003</v>
      </c>
      <c r="AG435" s="22">
        <v>6.4859999999999998</v>
      </c>
      <c r="AH435" s="22">
        <f t="shared" si="53"/>
        <v>6.6225000000000005</v>
      </c>
      <c r="AI435" s="7">
        <v>6.73</v>
      </c>
      <c r="AJ435" s="7">
        <v>6.66</v>
      </c>
      <c r="AK435" s="7">
        <v>6.1</v>
      </c>
      <c r="AL435" s="7">
        <v>6.69</v>
      </c>
      <c r="AM435" s="7">
        <v>6.62</v>
      </c>
      <c r="AN435" s="7">
        <v>6.83</v>
      </c>
      <c r="AO435" s="7">
        <v>6.77</v>
      </c>
      <c r="AP435" s="3"/>
      <c r="AQ435" s="8"/>
    </row>
    <row r="436" spans="1:43">
      <c r="A436" s="1">
        <f t="shared" si="49"/>
        <v>434</v>
      </c>
      <c r="B436" s="19"/>
      <c r="C436" s="1">
        <v>5</v>
      </c>
      <c r="D436" s="4">
        <f t="shared" si="46"/>
        <v>35</v>
      </c>
      <c r="E436" s="4" t="s">
        <v>128</v>
      </c>
      <c r="F436" s="4">
        <v>1</v>
      </c>
      <c r="G436" s="4" t="s">
        <v>14</v>
      </c>
      <c r="H436" s="4" t="s">
        <v>23</v>
      </c>
      <c r="I436" s="4"/>
      <c r="J436" s="5">
        <v>93.9</v>
      </c>
      <c r="K436" s="63">
        <v>3.7999999999999999E-2</v>
      </c>
      <c r="L436" s="38">
        <v>6.6519999999999992</v>
      </c>
      <c r="M436" s="127" t="s">
        <v>203</v>
      </c>
      <c r="N436" s="1" t="s">
        <v>13</v>
      </c>
      <c r="O436" s="22">
        <v>6.6739999999999995</v>
      </c>
      <c r="P436" s="1" t="s">
        <v>7</v>
      </c>
      <c r="Q436" s="3" t="s">
        <v>205</v>
      </c>
      <c r="R436" s="22">
        <v>6.673</v>
      </c>
      <c r="S436" s="22">
        <v>6.5860000000000003</v>
      </c>
      <c r="T436" s="22">
        <v>6.8639999999999999</v>
      </c>
      <c r="U436" s="22">
        <v>6.702</v>
      </c>
      <c r="V436" s="22">
        <v>6.7080000000000002</v>
      </c>
      <c r="W436" s="22">
        <v>6.6479999999999997</v>
      </c>
      <c r="X436" s="22">
        <v>6.6520000000000001</v>
      </c>
      <c r="Y436" s="34">
        <v>6.6379999999999999</v>
      </c>
      <c r="Z436" s="34">
        <v>6.6289999999999996</v>
      </c>
      <c r="AA436" s="22">
        <v>6.6379999999999999</v>
      </c>
      <c r="AB436" s="22">
        <v>6.806</v>
      </c>
      <c r="AC436" s="22">
        <v>6.7519999999999998</v>
      </c>
      <c r="AD436" s="22">
        <v>6.6950000000000003</v>
      </c>
      <c r="AE436" s="22">
        <v>6.7030000000000003</v>
      </c>
      <c r="AF436" s="22">
        <v>6.6440000000000001</v>
      </c>
      <c r="AG436" s="22">
        <v>6.4939999999999998</v>
      </c>
      <c r="AH436" s="22">
        <f t="shared" si="53"/>
        <v>6.569</v>
      </c>
      <c r="AI436" s="7">
        <v>6.07</v>
      </c>
      <c r="AJ436" s="7">
        <v>6.79</v>
      </c>
      <c r="AK436" s="7">
        <v>6.63</v>
      </c>
      <c r="AL436" s="7">
        <v>6.65</v>
      </c>
      <c r="AM436" s="7">
        <v>6.6</v>
      </c>
      <c r="AN436" s="7">
        <v>6.72</v>
      </c>
      <c r="AO436" s="7">
        <v>6.71</v>
      </c>
      <c r="AP436" s="3"/>
      <c r="AQ436" s="8"/>
    </row>
    <row r="437" spans="1:43">
      <c r="A437" s="1">
        <f t="shared" si="49"/>
        <v>435</v>
      </c>
      <c r="B437" s="19"/>
      <c r="C437" s="1">
        <v>5</v>
      </c>
      <c r="D437" s="4">
        <f t="shared" si="46"/>
        <v>35</v>
      </c>
      <c r="E437" s="4" t="s">
        <v>131</v>
      </c>
      <c r="F437" s="4">
        <v>1</v>
      </c>
      <c r="G437" s="4" t="s">
        <v>14</v>
      </c>
      <c r="H437" s="4" t="s">
        <v>23</v>
      </c>
      <c r="I437" s="4"/>
      <c r="J437" s="5">
        <v>93.6</v>
      </c>
      <c r="K437" s="65"/>
      <c r="L437" s="38">
        <v>6.8219999999999992</v>
      </c>
      <c r="M437" s="127" t="s">
        <v>203</v>
      </c>
      <c r="N437" s="1" t="s">
        <v>13</v>
      </c>
      <c r="O437" s="22">
        <v>6.8389999999999977</v>
      </c>
      <c r="P437" s="1" t="s">
        <v>7</v>
      </c>
      <c r="Q437" s="3" t="s">
        <v>205</v>
      </c>
      <c r="R437" s="22">
        <v>6.84</v>
      </c>
      <c r="S437" s="22">
        <v>6.7510000000000003</v>
      </c>
      <c r="T437" s="22">
        <v>7.0540000000000003</v>
      </c>
      <c r="U437" s="22">
        <v>6.9749999999999996</v>
      </c>
      <c r="V437" s="22">
        <v>6.89</v>
      </c>
      <c r="W437" s="22">
        <v>6.82</v>
      </c>
      <c r="X437" s="22">
        <v>6.8239999999999998</v>
      </c>
      <c r="Y437" s="34">
        <v>6.8129999999999997</v>
      </c>
      <c r="Z437" s="34">
        <v>6.7990000000000004</v>
      </c>
      <c r="AA437" s="22">
        <v>6.81</v>
      </c>
      <c r="AB437" s="22">
        <v>7.0039999999999996</v>
      </c>
      <c r="AC437" s="22">
        <v>6.9409999999999998</v>
      </c>
      <c r="AD437" s="22">
        <v>6.8760000000000003</v>
      </c>
      <c r="AE437" s="22">
        <v>6.899</v>
      </c>
      <c r="AF437" s="22">
        <v>6.8179999999999996</v>
      </c>
      <c r="AG437" s="22">
        <v>6.6760000000000002</v>
      </c>
      <c r="AH437" s="22">
        <f t="shared" si="53"/>
        <v>6.7469999999999999</v>
      </c>
      <c r="AI437" s="7">
        <v>5.87</v>
      </c>
      <c r="AJ437" s="7">
        <v>6.87</v>
      </c>
      <c r="AK437" s="7">
        <v>6.77</v>
      </c>
      <c r="AL437" s="7">
        <v>6.76</v>
      </c>
      <c r="AM437" s="7">
        <v>6.72</v>
      </c>
      <c r="AN437" s="7">
        <v>6.98</v>
      </c>
      <c r="AO437" s="7">
        <v>6.99</v>
      </c>
      <c r="AP437" s="3"/>
      <c r="AQ437" s="8"/>
    </row>
    <row r="438" spans="1:43">
      <c r="A438" s="1">
        <f t="shared" si="49"/>
        <v>436</v>
      </c>
      <c r="B438" s="19"/>
      <c r="C438" s="1">
        <v>5</v>
      </c>
      <c r="D438" s="4">
        <f t="shared" si="46"/>
        <v>35</v>
      </c>
      <c r="E438" s="4" t="s">
        <v>137</v>
      </c>
      <c r="F438" s="4">
        <v>1</v>
      </c>
      <c r="G438" s="4" t="s">
        <v>14</v>
      </c>
      <c r="H438" s="4" t="s">
        <v>23</v>
      </c>
      <c r="I438" s="4"/>
      <c r="J438" s="5">
        <v>93.5</v>
      </c>
      <c r="K438" s="63">
        <v>8.3000000000000001E-3</v>
      </c>
      <c r="L438" s="38">
        <v>7.2469999999999999</v>
      </c>
      <c r="M438" s="127" t="s">
        <v>203</v>
      </c>
      <c r="N438" s="1" t="s">
        <v>13</v>
      </c>
      <c r="O438" s="22">
        <v>7.1439999999999992</v>
      </c>
      <c r="P438" s="1" t="s">
        <v>7</v>
      </c>
      <c r="Q438" s="3" t="s">
        <v>205</v>
      </c>
      <c r="R438" s="22">
        <v>7.3380000000000001</v>
      </c>
      <c r="S438" s="22">
        <v>7.2460000000000004</v>
      </c>
      <c r="T438" s="22">
        <v>7.48</v>
      </c>
      <c r="U438" s="22">
        <v>7.34</v>
      </c>
      <c r="V438" s="22">
        <v>7.3239999999999998</v>
      </c>
      <c r="W438" s="22">
        <v>7.2469999999999999</v>
      </c>
      <c r="X438" s="22">
        <v>7.2539999999999996</v>
      </c>
      <c r="Y438" s="22">
        <v>7.2460000000000004</v>
      </c>
      <c r="Z438" s="22">
        <v>7.2320000000000002</v>
      </c>
      <c r="AA438" s="22">
        <v>7.2430000000000003</v>
      </c>
      <c r="AB438" s="22">
        <v>7.3879999999999999</v>
      </c>
      <c r="AC438" s="22">
        <v>7.3390000000000004</v>
      </c>
      <c r="AD438" s="22">
        <v>7.3070000000000004</v>
      </c>
      <c r="AE438" s="22">
        <v>7.2770000000000001</v>
      </c>
      <c r="AF438" s="22">
        <v>7.2930000000000001</v>
      </c>
      <c r="AG438" s="22">
        <v>7.0910000000000002</v>
      </c>
      <c r="AH438" s="22">
        <f t="shared" si="53"/>
        <v>7.1920000000000002</v>
      </c>
      <c r="AI438" s="7">
        <v>6.54</v>
      </c>
      <c r="AJ438" s="7">
        <v>7.11</v>
      </c>
      <c r="AK438" s="7">
        <v>6.84</v>
      </c>
      <c r="AL438" s="7">
        <v>6.96</v>
      </c>
      <c r="AM438" s="7">
        <v>6.88</v>
      </c>
      <c r="AN438" s="7">
        <v>7.06</v>
      </c>
      <c r="AO438" s="7">
        <v>7.01</v>
      </c>
      <c r="AP438" s="3"/>
      <c r="AQ438" s="8"/>
    </row>
    <row r="439" spans="1:43">
      <c r="A439" s="1">
        <f t="shared" si="49"/>
        <v>437</v>
      </c>
      <c r="B439" s="19"/>
      <c r="C439" s="1">
        <v>5</v>
      </c>
      <c r="D439" s="4">
        <f t="shared" si="46"/>
        <v>35</v>
      </c>
      <c r="E439" s="4" t="s">
        <v>142</v>
      </c>
      <c r="F439" s="4">
        <v>3</v>
      </c>
      <c r="G439" s="4" t="s">
        <v>11</v>
      </c>
      <c r="H439" s="4" t="s">
        <v>17</v>
      </c>
      <c r="I439" s="4"/>
      <c r="J439" s="5">
        <v>98.4</v>
      </c>
      <c r="K439" s="65"/>
      <c r="L439" s="38">
        <v>4.2100000000000009</v>
      </c>
      <c r="M439" s="127" t="s">
        <v>110</v>
      </c>
      <c r="N439" s="1" t="s">
        <v>13</v>
      </c>
      <c r="O439" s="22">
        <v>4.21</v>
      </c>
      <c r="P439" s="1" t="s">
        <v>7</v>
      </c>
      <c r="Q439" s="3" t="s">
        <v>205</v>
      </c>
      <c r="R439" s="22">
        <v>4.5049999999999999</v>
      </c>
      <c r="S439" s="22">
        <v>4.4279999999999999</v>
      </c>
      <c r="T439" s="22">
        <v>4.3929999999999998</v>
      </c>
      <c r="U439" s="22">
        <v>3.9689999999999999</v>
      </c>
      <c r="V439" s="22">
        <v>4.1509999999999998</v>
      </c>
      <c r="W439" s="33"/>
      <c r="X439" s="33"/>
      <c r="Y439" s="33"/>
      <c r="Z439" s="22">
        <v>4.2229999999999999</v>
      </c>
      <c r="AA439" s="35"/>
      <c r="AB439" s="22">
        <v>4.3979999999999997</v>
      </c>
      <c r="AC439" s="22">
        <v>4.407</v>
      </c>
      <c r="AD439" s="22">
        <v>4.4130000000000003</v>
      </c>
      <c r="AE439" s="22">
        <v>4.28</v>
      </c>
      <c r="AF439" s="22">
        <v>4.41</v>
      </c>
      <c r="AG439" s="22">
        <v>3.9060000000000001</v>
      </c>
      <c r="AH439" s="22">
        <f t="shared" si="53"/>
        <v>4.1580000000000004</v>
      </c>
      <c r="AI439" s="7">
        <v>3.94</v>
      </c>
      <c r="AJ439" s="7">
        <v>4.26</v>
      </c>
      <c r="AK439" s="7">
        <v>4.01</v>
      </c>
      <c r="AL439" s="7">
        <v>4.17</v>
      </c>
      <c r="AM439" s="7">
        <v>4.12</v>
      </c>
      <c r="AN439" s="7">
        <v>4.43</v>
      </c>
      <c r="AO439" s="7">
        <v>4.42</v>
      </c>
      <c r="AP439" s="3"/>
      <c r="AQ439" s="8"/>
    </row>
    <row r="440" spans="1:43">
      <c r="A440" s="1">
        <f t="shared" si="49"/>
        <v>438</v>
      </c>
      <c r="B440" s="19"/>
      <c r="C440" s="1">
        <v>5</v>
      </c>
      <c r="D440" s="4">
        <f t="shared" si="46"/>
        <v>35</v>
      </c>
      <c r="E440" s="4" t="s">
        <v>143</v>
      </c>
      <c r="F440" s="4">
        <v>3</v>
      </c>
      <c r="G440" s="4" t="s">
        <v>11</v>
      </c>
      <c r="H440" s="4" t="s">
        <v>17</v>
      </c>
      <c r="I440" s="4"/>
      <c r="J440" s="5">
        <v>98.1</v>
      </c>
      <c r="K440" s="65"/>
      <c r="L440" s="38">
        <v>5.4689999999999994</v>
      </c>
      <c r="M440" s="127" t="s">
        <v>110</v>
      </c>
      <c r="N440" s="1" t="s">
        <v>13</v>
      </c>
      <c r="O440" s="22">
        <v>5.4750000000000005</v>
      </c>
      <c r="P440" s="1" t="s">
        <v>7</v>
      </c>
      <c r="Q440" s="3" t="s">
        <v>205</v>
      </c>
      <c r="R440" s="22">
        <v>5.694</v>
      </c>
      <c r="S440" s="22">
        <v>5.6639999999999997</v>
      </c>
      <c r="T440" s="22">
        <v>5.5910000000000002</v>
      </c>
      <c r="U440" s="22">
        <v>5.1890000000000001</v>
      </c>
      <c r="V440" s="22">
        <v>5.4729999999999999</v>
      </c>
      <c r="W440" s="33"/>
      <c r="X440" s="33"/>
      <c r="Y440" s="33"/>
      <c r="Z440" s="22">
        <v>5.4820000000000002</v>
      </c>
      <c r="AA440" s="35"/>
      <c r="AB440" s="22">
        <v>5.4580000000000002</v>
      </c>
      <c r="AC440" s="22">
        <v>5.4859999999999998</v>
      </c>
      <c r="AD440" s="22">
        <v>5.5460000000000003</v>
      </c>
      <c r="AE440" s="22">
        <v>5.3289999999999997</v>
      </c>
      <c r="AF440" s="22">
        <v>5.5919999999999996</v>
      </c>
      <c r="AG440" s="22">
        <v>5.23</v>
      </c>
      <c r="AH440" s="22">
        <f t="shared" si="53"/>
        <v>5.4109999999999996</v>
      </c>
      <c r="AI440" s="7">
        <v>5.41</v>
      </c>
      <c r="AJ440" s="7">
        <v>5.5</v>
      </c>
      <c r="AK440" s="7">
        <v>5.09</v>
      </c>
      <c r="AL440" s="7">
        <v>5.47</v>
      </c>
      <c r="AM440" s="7">
        <v>5.4</v>
      </c>
      <c r="AN440" s="7">
        <v>5.63</v>
      </c>
      <c r="AO440" s="7">
        <v>5.6</v>
      </c>
      <c r="AP440" s="3"/>
      <c r="AQ440" s="8"/>
    </row>
    <row r="441" spans="1:43">
      <c r="A441" s="1">
        <f t="shared" si="49"/>
        <v>439</v>
      </c>
      <c r="B441" s="19"/>
      <c r="C441" s="1">
        <v>5</v>
      </c>
      <c r="D441" s="4">
        <f t="shared" si="46"/>
        <v>35</v>
      </c>
      <c r="E441" s="4" t="s">
        <v>130</v>
      </c>
      <c r="F441" s="4">
        <v>3</v>
      </c>
      <c r="G441" s="4" t="s">
        <v>14</v>
      </c>
      <c r="H441" s="4" t="s">
        <v>22</v>
      </c>
      <c r="I441" s="4"/>
      <c r="J441" s="5">
        <v>97.9</v>
      </c>
      <c r="K441" s="65"/>
      <c r="L441" s="38">
        <v>6.027000000000001</v>
      </c>
      <c r="M441" s="127" t="s">
        <v>110</v>
      </c>
      <c r="N441" s="1" t="s">
        <v>13</v>
      </c>
      <c r="O441" s="22">
        <v>6.0550000000000006</v>
      </c>
      <c r="P441" s="1" t="s">
        <v>7</v>
      </c>
      <c r="Q441" s="3" t="s">
        <v>205</v>
      </c>
      <c r="R441" s="22">
        <v>6.1260000000000003</v>
      </c>
      <c r="S441" s="22">
        <v>6.0140000000000002</v>
      </c>
      <c r="T441" s="22">
        <v>6.2610000000000001</v>
      </c>
      <c r="U441" s="22">
        <v>6.1989999999999998</v>
      </c>
      <c r="V441" s="22">
        <v>6.1050000000000004</v>
      </c>
      <c r="W441" s="33"/>
      <c r="X441" s="33"/>
      <c r="Y441" s="33"/>
      <c r="Z441" s="22">
        <v>6.024</v>
      </c>
      <c r="AA441" s="35"/>
      <c r="AB441" s="22">
        <v>6.2560000000000002</v>
      </c>
      <c r="AC441" s="22">
        <v>6.1970000000000001</v>
      </c>
      <c r="AD441" s="22">
        <v>6.1349999999999998</v>
      </c>
      <c r="AE441" s="22">
        <v>6.1539999999999999</v>
      </c>
      <c r="AF441" s="22">
        <v>6.077</v>
      </c>
      <c r="AG441" s="22">
        <v>5.8929999999999998</v>
      </c>
      <c r="AH441" s="22">
        <f t="shared" si="53"/>
        <v>5.9849999999999994</v>
      </c>
      <c r="AI441" s="7">
        <v>5.57</v>
      </c>
      <c r="AJ441" s="7">
        <v>6.16</v>
      </c>
      <c r="AK441" s="7">
        <v>5.99</v>
      </c>
      <c r="AL441" s="7">
        <v>6.05</v>
      </c>
      <c r="AM441" s="7">
        <v>5.99</v>
      </c>
      <c r="AN441" s="7">
        <v>6.09</v>
      </c>
      <c r="AO441" s="7">
        <v>6.08</v>
      </c>
      <c r="AP441" s="3"/>
      <c r="AQ441" s="8"/>
    </row>
    <row r="442" spans="1:43">
      <c r="A442" s="1">
        <f t="shared" si="49"/>
        <v>440</v>
      </c>
      <c r="B442" s="19"/>
      <c r="C442" s="1">
        <v>5</v>
      </c>
      <c r="D442" s="4">
        <f t="shared" si="46"/>
        <v>35</v>
      </c>
      <c r="E442" s="4" t="s">
        <v>129</v>
      </c>
      <c r="F442" s="4">
        <v>3</v>
      </c>
      <c r="G442" s="4" t="s">
        <v>14</v>
      </c>
      <c r="H442" s="4" t="s">
        <v>23</v>
      </c>
      <c r="I442" s="4"/>
      <c r="J442" s="5">
        <v>97.9</v>
      </c>
      <c r="K442" s="65"/>
      <c r="L442" s="38">
        <v>6.5890000000000004</v>
      </c>
      <c r="M442" s="127" t="s">
        <v>110</v>
      </c>
      <c r="N442" s="1" t="s">
        <v>13</v>
      </c>
      <c r="O442" s="22">
        <v>6.6130000000000013</v>
      </c>
      <c r="P442" s="1" t="s">
        <v>7</v>
      </c>
      <c r="Q442" s="3" t="s">
        <v>205</v>
      </c>
      <c r="R442" s="22">
        <v>6.64</v>
      </c>
      <c r="S442" s="22">
        <v>6.5490000000000004</v>
      </c>
      <c r="T442" s="22">
        <v>6.8090000000000002</v>
      </c>
      <c r="U442" s="22">
        <v>6.6360000000000001</v>
      </c>
      <c r="V442" s="22">
        <v>6.6550000000000002</v>
      </c>
      <c r="W442" s="33"/>
      <c r="X442" s="33"/>
      <c r="Y442" s="33"/>
      <c r="Z442" s="22">
        <v>6.5860000000000003</v>
      </c>
      <c r="AA442" s="35"/>
      <c r="AB442" s="22">
        <v>6.7809999999999997</v>
      </c>
      <c r="AC442" s="22">
        <v>6.7270000000000003</v>
      </c>
      <c r="AD442" s="22">
        <v>6.6660000000000004</v>
      </c>
      <c r="AE442" s="22">
        <v>6.681</v>
      </c>
      <c r="AF442" s="22">
        <v>6.6059999999999999</v>
      </c>
      <c r="AG442" s="22">
        <v>6.45</v>
      </c>
      <c r="AH442" s="22">
        <f t="shared" si="53"/>
        <v>6.5280000000000005</v>
      </c>
      <c r="AI442" s="7">
        <v>6.04</v>
      </c>
      <c r="AJ442" s="7">
        <v>6.76</v>
      </c>
      <c r="AK442" s="7">
        <v>6.6</v>
      </c>
      <c r="AL442" s="7">
        <v>6.62</v>
      </c>
      <c r="AM442" s="7">
        <v>6.56</v>
      </c>
      <c r="AN442" s="7">
        <v>6.68</v>
      </c>
      <c r="AO442" s="7">
        <v>6.68</v>
      </c>
      <c r="AP442" s="3"/>
      <c r="AQ442" s="8"/>
    </row>
    <row r="443" spans="1:43">
      <c r="A443" s="1">
        <f t="shared" si="49"/>
        <v>441</v>
      </c>
      <c r="B443" s="2" t="s">
        <v>337</v>
      </c>
      <c r="C443" s="1">
        <v>8</v>
      </c>
      <c r="D443" s="4">
        <f t="shared" si="46"/>
        <v>69</v>
      </c>
      <c r="E443" s="4" t="s">
        <v>150</v>
      </c>
      <c r="F443" s="4">
        <v>1</v>
      </c>
      <c r="G443" s="4" t="s">
        <v>14</v>
      </c>
      <c r="H443" s="4" t="s">
        <v>170</v>
      </c>
      <c r="I443" s="4"/>
      <c r="J443" s="12">
        <v>93.4</v>
      </c>
      <c r="K443" s="63">
        <v>1.4999999999999999E-2</v>
      </c>
      <c r="L443" s="38">
        <v>5.4340000000000002</v>
      </c>
      <c r="M443" s="127" t="s">
        <v>110</v>
      </c>
      <c r="N443" s="1" t="s">
        <v>13</v>
      </c>
      <c r="O443" s="54"/>
      <c r="P443" s="14"/>
      <c r="Q443" s="3"/>
      <c r="R443" s="42">
        <v>5.5270000000000001</v>
      </c>
      <c r="S443" s="42">
        <v>5.4160000000000004</v>
      </c>
      <c r="T443" s="42">
        <v>5.7779999999999996</v>
      </c>
      <c r="U443" s="42">
        <v>5.4889999999999999</v>
      </c>
      <c r="V443" s="42">
        <v>5.5220000000000002</v>
      </c>
      <c r="W443" s="42">
        <v>5.46</v>
      </c>
      <c r="X443" s="42">
        <v>5.4660000000000002</v>
      </c>
      <c r="Y443" s="42">
        <v>5.4489999999999998</v>
      </c>
      <c r="Z443" s="22">
        <v>5.43</v>
      </c>
      <c r="AA443" s="35"/>
      <c r="AB443" s="42">
        <v>5.66</v>
      </c>
      <c r="AC443" s="42">
        <v>5.5949999999999998</v>
      </c>
      <c r="AD443" s="42">
        <v>5.5350000000000001</v>
      </c>
      <c r="AE443" s="42">
        <v>5.4560000000000004</v>
      </c>
      <c r="AF443" s="42">
        <v>5.4829999999999997</v>
      </c>
      <c r="AG443" s="42">
        <v>5.2850000000000001</v>
      </c>
      <c r="AH443" s="22">
        <f t="shared" si="53"/>
        <v>5.3840000000000003</v>
      </c>
      <c r="AI443" s="9"/>
      <c r="AJ443" s="9"/>
      <c r="AK443" s="9"/>
      <c r="AL443" s="9"/>
      <c r="AM443" s="9"/>
      <c r="AN443" s="9"/>
      <c r="AO443" s="9"/>
      <c r="AP443" s="3"/>
      <c r="AQ443" s="8"/>
    </row>
    <row r="444" spans="1:43">
      <c r="A444" s="1">
        <f t="shared" si="49"/>
        <v>442</v>
      </c>
      <c r="B444" s="19"/>
      <c r="C444" s="1">
        <v>8</v>
      </c>
      <c r="D444" s="4">
        <f t="shared" si="46"/>
        <v>69</v>
      </c>
      <c r="E444" s="4" t="s">
        <v>223</v>
      </c>
      <c r="F444" s="4">
        <v>1</v>
      </c>
      <c r="G444" s="4" t="s">
        <v>11</v>
      </c>
      <c r="H444" s="4" t="s">
        <v>17</v>
      </c>
      <c r="I444" s="4"/>
      <c r="J444" s="12">
        <v>91.5</v>
      </c>
      <c r="K444" s="63">
        <v>0.34699999999999998</v>
      </c>
      <c r="L444" s="38">
        <v>5.4890000000000008</v>
      </c>
      <c r="M444" s="127" t="s">
        <v>110</v>
      </c>
      <c r="N444" s="1" t="s">
        <v>13</v>
      </c>
      <c r="O444" s="54"/>
      <c r="P444" s="14"/>
      <c r="Q444" s="3"/>
      <c r="R444" s="42">
        <v>5.74</v>
      </c>
      <c r="S444" s="42">
        <v>5.5419999999999998</v>
      </c>
      <c r="T444" s="42">
        <v>5.907</v>
      </c>
      <c r="U444" s="35"/>
      <c r="V444" s="42">
        <v>5.6449999999999996</v>
      </c>
      <c r="W444" s="42">
        <v>5.5220000000000002</v>
      </c>
      <c r="X444" s="42">
        <v>5.5129999999999999</v>
      </c>
      <c r="Y444" s="42">
        <v>5.5</v>
      </c>
      <c r="Z444" s="22">
        <v>5.4630000000000001</v>
      </c>
      <c r="AA444" s="35"/>
      <c r="AB444" s="42">
        <v>5.6130000000000004</v>
      </c>
      <c r="AC444" s="42">
        <v>5.6210000000000004</v>
      </c>
      <c r="AD444" s="42">
        <v>5.5940000000000003</v>
      </c>
      <c r="AE444" s="42">
        <v>5.4249999999999998</v>
      </c>
      <c r="AF444" s="42">
        <v>5.5250000000000004</v>
      </c>
      <c r="AG444" s="42">
        <v>5.27</v>
      </c>
      <c r="AH444" s="22">
        <f t="shared" si="53"/>
        <v>5.3975</v>
      </c>
      <c r="AI444" s="9"/>
      <c r="AJ444" s="9"/>
      <c r="AK444" s="9"/>
      <c r="AL444" s="9"/>
      <c r="AM444" s="9"/>
      <c r="AN444" s="9"/>
      <c r="AO444" s="9"/>
      <c r="AP444" s="3"/>
      <c r="AQ444" s="8"/>
    </row>
    <row r="445" spans="1:43">
      <c r="A445" s="1">
        <f t="shared" si="49"/>
        <v>443</v>
      </c>
      <c r="B445" s="19"/>
      <c r="C445" s="1">
        <v>8</v>
      </c>
      <c r="D445" s="4">
        <f t="shared" si="46"/>
        <v>69</v>
      </c>
      <c r="E445" s="4" t="s">
        <v>219</v>
      </c>
      <c r="F445" s="4">
        <v>1</v>
      </c>
      <c r="G445" s="4" t="s">
        <v>14</v>
      </c>
      <c r="H445" s="4" t="s">
        <v>170</v>
      </c>
      <c r="I445" s="4"/>
      <c r="J445" s="12">
        <v>93.4</v>
      </c>
      <c r="K445" s="65"/>
      <c r="L445" s="38">
        <v>5.8649999999999993</v>
      </c>
      <c r="M445" s="127" t="s">
        <v>110</v>
      </c>
      <c r="N445" s="1" t="s">
        <v>13</v>
      </c>
      <c r="O445" s="54"/>
      <c r="P445" s="14"/>
      <c r="Q445" s="3"/>
      <c r="R445" s="42">
        <v>5.9169999999999998</v>
      </c>
      <c r="S445" s="42">
        <v>5.8070000000000004</v>
      </c>
      <c r="T445" s="42">
        <v>6.1929999999999996</v>
      </c>
      <c r="U445" s="42">
        <v>5.9480000000000004</v>
      </c>
      <c r="V445" s="42">
        <v>5.9530000000000003</v>
      </c>
      <c r="W445" s="42">
        <v>5.891</v>
      </c>
      <c r="X445" s="42">
        <v>5.8949999999999996</v>
      </c>
      <c r="Y445" s="42">
        <v>5.8780000000000001</v>
      </c>
      <c r="Z445" s="22">
        <v>5.859</v>
      </c>
      <c r="AA445" s="35"/>
      <c r="AB445" s="42">
        <v>6.0819999999999999</v>
      </c>
      <c r="AC445" s="42">
        <v>6.0229999999999997</v>
      </c>
      <c r="AD445" s="42">
        <v>5.9509999999999996</v>
      </c>
      <c r="AE445" s="42">
        <v>5.968</v>
      </c>
      <c r="AF445" s="42">
        <v>5.8710000000000004</v>
      </c>
      <c r="AG445" s="42">
        <v>5.71</v>
      </c>
      <c r="AH445" s="22">
        <f t="shared" si="53"/>
        <v>5.7904999999999998</v>
      </c>
      <c r="AI445" s="9"/>
      <c r="AJ445" s="9"/>
      <c r="AK445" s="9"/>
      <c r="AL445" s="9"/>
      <c r="AM445" s="9"/>
      <c r="AN445" s="9"/>
      <c r="AO445" s="9"/>
      <c r="AP445" s="3"/>
      <c r="AQ445" s="8"/>
    </row>
    <row r="446" spans="1:43">
      <c r="A446" s="1">
        <f t="shared" si="49"/>
        <v>444</v>
      </c>
      <c r="B446" s="19"/>
      <c r="C446" s="1">
        <v>8</v>
      </c>
      <c r="D446" s="4">
        <f t="shared" si="46"/>
        <v>69</v>
      </c>
      <c r="E446" s="4" t="s">
        <v>219</v>
      </c>
      <c r="F446" s="4">
        <v>1</v>
      </c>
      <c r="G446" s="4" t="s">
        <v>14</v>
      </c>
      <c r="H446" s="4" t="s">
        <v>170</v>
      </c>
      <c r="I446" s="4"/>
      <c r="J446" s="12">
        <v>93.1</v>
      </c>
      <c r="K446" s="65"/>
      <c r="L446" s="38">
        <v>6.0010000000000003</v>
      </c>
      <c r="M446" s="127" t="s">
        <v>110</v>
      </c>
      <c r="N446" s="1" t="s">
        <v>13</v>
      </c>
      <c r="O446" s="54"/>
      <c r="P446" s="14"/>
      <c r="Q446" s="3"/>
      <c r="R446" s="42">
        <v>6.09</v>
      </c>
      <c r="S446" s="42">
        <v>5.9489999999999998</v>
      </c>
      <c r="T446" s="42">
        <v>6.3659999999999997</v>
      </c>
      <c r="U446" s="42">
        <v>6.1390000000000002</v>
      </c>
      <c r="V446" s="42">
        <v>6.109</v>
      </c>
      <c r="W446" s="42">
        <v>6.032</v>
      </c>
      <c r="X446" s="42">
        <v>6.0369999999999999</v>
      </c>
      <c r="Y446" s="42">
        <v>6.02</v>
      </c>
      <c r="Z446" s="22">
        <v>5.9930000000000003</v>
      </c>
      <c r="AA446" s="35"/>
      <c r="AB446" s="42">
        <v>6.2560000000000002</v>
      </c>
      <c r="AC446" s="42">
        <v>6.1849999999999996</v>
      </c>
      <c r="AD446" s="42">
        <v>6.1059999999999999</v>
      </c>
      <c r="AE446" s="42">
        <v>6.1349999999999998</v>
      </c>
      <c r="AF446" s="42">
        <v>6.024</v>
      </c>
      <c r="AG446" s="42">
        <v>5.8630000000000004</v>
      </c>
      <c r="AH446" s="22">
        <f t="shared" si="53"/>
        <v>5.9435000000000002</v>
      </c>
      <c r="AI446" s="9"/>
      <c r="AJ446" s="9"/>
      <c r="AK446" s="9"/>
      <c r="AL446" s="9"/>
      <c r="AM446" s="9"/>
      <c r="AN446" s="9"/>
      <c r="AO446" s="9"/>
      <c r="AP446" s="3"/>
      <c r="AQ446" s="8"/>
    </row>
    <row r="447" spans="1:43">
      <c r="A447" s="1">
        <f t="shared" si="49"/>
        <v>445</v>
      </c>
      <c r="B447" s="19"/>
      <c r="C447" s="1">
        <v>8</v>
      </c>
      <c r="D447" s="4">
        <f t="shared" si="46"/>
        <v>69</v>
      </c>
      <c r="E447" s="4" t="s">
        <v>120</v>
      </c>
      <c r="F447" s="4">
        <v>1</v>
      </c>
      <c r="G447" s="4" t="s">
        <v>11</v>
      </c>
      <c r="H447" s="4" t="s">
        <v>17</v>
      </c>
      <c r="I447" s="4"/>
      <c r="J447" s="12">
        <v>82.6</v>
      </c>
      <c r="K447" s="65"/>
      <c r="L447" s="38">
        <v>6.0269999999999992</v>
      </c>
      <c r="M447" s="127" t="s">
        <v>110</v>
      </c>
      <c r="N447" s="1" t="s">
        <v>13</v>
      </c>
      <c r="O447" s="54"/>
      <c r="P447" s="14"/>
      <c r="Q447" s="3"/>
      <c r="R447" s="42">
        <v>6.6769999999999996</v>
      </c>
      <c r="S447" s="42">
        <v>6.3</v>
      </c>
      <c r="T447" s="42">
        <v>6.6920000000000002</v>
      </c>
      <c r="U447" s="35"/>
      <c r="V447" s="42">
        <v>6.4329999999999998</v>
      </c>
      <c r="W447" s="42">
        <v>6.2649999999999997</v>
      </c>
      <c r="X447" s="42">
        <v>6.2089999999999996</v>
      </c>
      <c r="Y447" s="42">
        <v>6.1459999999999999</v>
      </c>
      <c r="Z447" s="22">
        <v>6.04</v>
      </c>
      <c r="AA447" s="35"/>
      <c r="AB447" s="42">
        <v>6.4279999999999999</v>
      </c>
      <c r="AC447" s="42">
        <v>6.4189999999999996</v>
      </c>
      <c r="AD447" s="42">
        <v>6.38</v>
      </c>
      <c r="AE447" s="42">
        <v>6.2160000000000002</v>
      </c>
      <c r="AF447" s="42">
        <v>6.319</v>
      </c>
      <c r="AG447" s="42">
        <v>5.6520000000000001</v>
      </c>
      <c r="AH447" s="22">
        <f t="shared" si="53"/>
        <v>5.9855</v>
      </c>
      <c r="AI447" s="9"/>
      <c r="AJ447" s="9"/>
      <c r="AK447" s="9"/>
      <c r="AL447" s="9"/>
      <c r="AM447" s="9"/>
      <c r="AN447" s="9"/>
      <c r="AO447" s="9"/>
      <c r="AP447" s="3"/>
      <c r="AQ447" s="8"/>
    </row>
    <row r="448" spans="1:43">
      <c r="A448" s="1">
        <f t="shared" si="49"/>
        <v>446</v>
      </c>
      <c r="B448" s="19"/>
      <c r="C448" s="1">
        <v>8</v>
      </c>
      <c r="D448" s="4">
        <f t="shared" si="46"/>
        <v>69</v>
      </c>
      <c r="E448" s="4" t="s">
        <v>177</v>
      </c>
      <c r="F448" s="4">
        <v>3</v>
      </c>
      <c r="G448" s="4" t="s">
        <v>11</v>
      </c>
      <c r="H448" s="4" t="s">
        <v>17</v>
      </c>
      <c r="I448" s="4"/>
      <c r="J448" s="12">
        <v>97.9</v>
      </c>
      <c r="K448" s="65"/>
      <c r="L448" s="38">
        <v>3.5649999999999999</v>
      </c>
      <c r="M448" s="127" t="s">
        <v>113</v>
      </c>
      <c r="N448" s="1" t="s">
        <v>13</v>
      </c>
      <c r="O448" s="54"/>
      <c r="P448" s="14"/>
      <c r="Q448" s="3"/>
      <c r="R448" s="42">
        <v>3.9209999999999998</v>
      </c>
      <c r="S448" s="42">
        <v>3.7930000000000001</v>
      </c>
      <c r="T448" s="42">
        <v>3.8580000000000001</v>
      </c>
      <c r="U448" s="42">
        <v>3.4079999999999999</v>
      </c>
      <c r="V448" s="40">
        <v>3.516</v>
      </c>
      <c r="W448" s="35"/>
      <c r="X448" s="35"/>
      <c r="Y448" s="35"/>
      <c r="Z448" s="22">
        <v>3.5779999999999998</v>
      </c>
      <c r="AA448" s="35"/>
      <c r="AB448" s="42">
        <v>3.782</v>
      </c>
      <c r="AC448" s="42">
        <v>3.7989999999999999</v>
      </c>
      <c r="AD448" s="42">
        <v>3.7970000000000002</v>
      </c>
      <c r="AE448" s="42">
        <v>3.6440000000000001</v>
      </c>
      <c r="AF448" s="40">
        <v>3.7730000000000001</v>
      </c>
      <c r="AG448" s="42">
        <v>3.234</v>
      </c>
      <c r="AH448" s="22">
        <f t="shared" si="53"/>
        <v>3.5034999999999998</v>
      </c>
      <c r="AI448" s="9"/>
      <c r="AJ448" s="9"/>
      <c r="AK448" s="9"/>
      <c r="AL448" s="9"/>
      <c r="AM448" s="9"/>
      <c r="AN448" s="9"/>
      <c r="AO448" s="9"/>
      <c r="AP448" s="3"/>
      <c r="AQ448" s="8"/>
    </row>
    <row r="449" spans="1:43">
      <c r="A449" s="1">
        <f t="shared" si="49"/>
        <v>447</v>
      </c>
      <c r="B449" s="19"/>
      <c r="C449" s="1">
        <v>8</v>
      </c>
      <c r="D449" s="4">
        <f t="shared" si="46"/>
        <v>69</v>
      </c>
      <c r="E449" s="4" t="s">
        <v>169</v>
      </c>
      <c r="F449" s="4">
        <v>3</v>
      </c>
      <c r="G449" s="4" t="s">
        <v>11</v>
      </c>
      <c r="H449" s="4" t="s">
        <v>17</v>
      </c>
      <c r="I449" s="4"/>
      <c r="J449" s="12">
        <v>98.2</v>
      </c>
      <c r="K449" s="65"/>
      <c r="L449" s="38">
        <v>4.8639999999999999</v>
      </c>
      <c r="M449" s="127" t="s">
        <v>113</v>
      </c>
      <c r="N449" s="1" t="s">
        <v>13</v>
      </c>
      <c r="O449" s="54"/>
      <c r="P449" s="14"/>
      <c r="Q449" s="3"/>
      <c r="R449" s="42">
        <v>5.1079999999999997</v>
      </c>
      <c r="S449" s="42">
        <v>5.0490000000000004</v>
      </c>
      <c r="T449" s="42">
        <v>5.0449999999999999</v>
      </c>
      <c r="U449" s="22">
        <v>4.9160000000000004</v>
      </c>
      <c r="V449" s="42">
        <v>4.8440000000000003</v>
      </c>
      <c r="W449" s="33"/>
      <c r="X449" s="33"/>
      <c r="Y449" s="33"/>
      <c r="Z449" s="22">
        <v>4.8689999999999998</v>
      </c>
      <c r="AA449" s="35"/>
      <c r="AB449" s="42">
        <v>4.9509999999999996</v>
      </c>
      <c r="AC449" s="42">
        <v>4.968</v>
      </c>
      <c r="AD449" s="42">
        <v>4.9960000000000004</v>
      </c>
      <c r="AE449" s="42">
        <v>4.8259999999999996</v>
      </c>
      <c r="AF449" s="42">
        <v>5.0090000000000003</v>
      </c>
      <c r="AG449" s="42">
        <v>4.569</v>
      </c>
      <c r="AH449" s="22">
        <f t="shared" si="53"/>
        <v>4.7889999999999997</v>
      </c>
      <c r="AI449" s="9"/>
      <c r="AJ449" s="9"/>
      <c r="AK449" s="9"/>
      <c r="AL449" s="9"/>
      <c r="AM449" s="9"/>
      <c r="AN449" s="9"/>
      <c r="AO449" s="9"/>
      <c r="AP449" s="3"/>
      <c r="AQ449" s="8"/>
    </row>
    <row r="450" spans="1:43">
      <c r="A450" s="1">
        <f t="shared" si="49"/>
        <v>448</v>
      </c>
      <c r="B450" s="2" t="s">
        <v>35</v>
      </c>
      <c r="C450" s="1">
        <v>4</v>
      </c>
      <c r="D450" s="4">
        <f t="shared" si="46"/>
        <v>35</v>
      </c>
      <c r="E450" s="4" t="s">
        <v>150</v>
      </c>
      <c r="F450" s="4">
        <v>1</v>
      </c>
      <c r="G450" s="4" t="s">
        <v>11</v>
      </c>
      <c r="H450" s="4" t="s">
        <v>12</v>
      </c>
      <c r="I450" s="4"/>
      <c r="J450" s="5">
        <v>91</v>
      </c>
      <c r="K450" s="63">
        <v>0</v>
      </c>
      <c r="L450" s="38">
        <v>2.8769999999999998</v>
      </c>
      <c r="M450" s="127" t="s">
        <v>203</v>
      </c>
      <c r="N450" s="1" t="s">
        <v>13</v>
      </c>
      <c r="O450" s="6">
        <v>2.8769999999999998</v>
      </c>
      <c r="P450" s="1" t="s">
        <v>7</v>
      </c>
      <c r="Q450" s="3" t="s">
        <v>205</v>
      </c>
      <c r="R450" s="22">
        <v>3.0139999999999998</v>
      </c>
      <c r="S450" s="22">
        <v>2.9119999999999999</v>
      </c>
      <c r="T450" s="22">
        <v>3.0459999999999998</v>
      </c>
      <c r="U450" s="6">
        <v>2.86</v>
      </c>
      <c r="V450" s="22">
        <v>3.0089999999999999</v>
      </c>
      <c r="W450" s="22">
        <v>2.9209999999999998</v>
      </c>
      <c r="X450" s="22">
        <v>2.9169999999999998</v>
      </c>
      <c r="Y450" s="22">
        <v>2.9089999999999998</v>
      </c>
      <c r="Z450" s="22">
        <v>2.8759999999999999</v>
      </c>
      <c r="AA450" s="22">
        <v>2.879</v>
      </c>
      <c r="AB450" s="22">
        <v>3.1269999999999998</v>
      </c>
      <c r="AC450" s="22">
        <v>3.2080000000000002</v>
      </c>
      <c r="AD450" s="22">
        <v>3.1120000000000001</v>
      </c>
      <c r="AE450" s="22">
        <v>2.9119999999999999</v>
      </c>
      <c r="AF450" s="22">
        <v>2.831</v>
      </c>
      <c r="AG450" s="22">
        <v>2.8260000000000001</v>
      </c>
      <c r="AH450" s="6">
        <f t="shared" ref="AH450:AH458" si="54">IF((AF450&lt;&gt;0)*AND(AG450&lt;&gt;0),AVERAGE(AF450:AG450),"")</f>
        <v>2.8285</v>
      </c>
      <c r="AI450" s="7">
        <v>3.42</v>
      </c>
      <c r="AJ450" s="7">
        <v>2.82</v>
      </c>
      <c r="AK450" s="7">
        <v>2.5099999999999998</v>
      </c>
      <c r="AL450" s="4">
        <v>2.97</v>
      </c>
      <c r="AM450" s="4">
        <v>2.94</v>
      </c>
      <c r="AN450" s="7">
        <v>2.99</v>
      </c>
      <c r="AO450" s="7">
        <v>2.9</v>
      </c>
      <c r="AP450" s="3"/>
      <c r="AQ450" s="8"/>
    </row>
    <row r="451" spans="1:43">
      <c r="A451" s="1">
        <f t="shared" si="49"/>
        <v>449</v>
      </c>
      <c r="B451" s="19"/>
      <c r="C451" s="1">
        <v>4</v>
      </c>
      <c r="D451" s="4">
        <f t="shared" si="46"/>
        <v>35</v>
      </c>
      <c r="E451" s="4" t="s">
        <v>219</v>
      </c>
      <c r="F451" s="4">
        <v>1</v>
      </c>
      <c r="G451" s="4" t="s">
        <v>11</v>
      </c>
      <c r="H451" s="4" t="s">
        <v>12</v>
      </c>
      <c r="I451" s="4"/>
      <c r="J451" s="5">
        <v>88.3</v>
      </c>
      <c r="K451" s="65"/>
      <c r="L451" s="38">
        <v>4.2450000000000001</v>
      </c>
      <c r="M451" s="127" t="s">
        <v>203</v>
      </c>
      <c r="N451" s="1" t="s">
        <v>13</v>
      </c>
      <c r="O451" s="22">
        <v>4.25</v>
      </c>
      <c r="P451" s="1" t="s">
        <v>7</v>
      </c>
      <c r="Q451" s="3" t="s">
        <v>205</v>
      </c>
      <c r="R451" s="22">
        <v>4.4569999999999999</v>
      </c>
      <c r="S451" s="22">
        <v>4.4370000000000003</v>
      </c>
      <c r="T451" s="22">
        <v>4.41</v>
      </c>
      <c r="U451" s="6">
        <v>4.2480000000000002</v>
      </c>
      <c r="V451" s="22">
        <v>4.4180000000000001</v>
      </c>
      <c r="W451" s="22">
        <v>4.33</v>
      </c>
      <c r="X451" s="22">
        <v>4.3230000000000004</v>
      </c>
      <c r="Y451" s="22">
        <v>4.3029999999999999</v>
      </c>
      <c r="Z451" s="22">
        <v>4.2690000000000001</v>
      </c>
      <c r="AA451" s="22">
        <v>4.2530000000000001</v>
      </c>
      <c r="AB451" s="22">
        <v>4.4889999999999999</v>
      </c>
      <c r="AC451" s="22">
        <v>4.6340000000000003</v>
      </c>
      <c r="AD451" s="22">
        <v>4.5720000000000001</v>
      </c>
      <c r="AE451" s="22">
        <v>4.2729999999999997</v>
      </c>
      <c r="AF451" s="22">
        <v>4.274</v>
      </c>
      <c r="AG451" s="22">
        <v>4.2300000000000004</v>
      </c>
      <c r="AH451" s="6">
        <f t="shared" si="54"/>
        <v>4.2520000000000007</v>
      </c>
      <c r="AI451" s="7">
        <v>4.68</v>
      </c>
      <c r="AJ451" s="7">
        <v>4.21</v>
      </c>
      <c r="AK451" s="7">
        <v>3.89</v>
      </c>
      <c r="AL451" s="4">
        <v>4.3600000000000003</v>
      </c>
      <c r="AM451" s="4">
        <v>4.3099999999999996</v>
      </c>
      <c r="AN451" s="7">
        <v>4.38</v>
      </c>
      <c r="AO451" s="7">
        <v>4.3</v>
      </c>
      <c r="AP451" s="3"/>
      <c r="AQ451" s="8"/>
    </row>
    <row r="452" spans="1:43">
      <c r="A452" s="1">
        <f t="shared" si="49"/>
        <v>450</v>
      </c>
      <c r="B452" s="19"/>
      <c r="C452" s="1">
        <v>4</v>
      </c>
      <c r="D452" s="4">
        <f t="shared" ref="D452:D515" si="55">_xlfn.SWITCH(C452,1,12,2,12,3,35,4,35,5,35,6,69,7,69,8,69,9,69,1016)</f>
        <v>35</v>
      </c>
      <c r="E452" s="4" t="s">
        <v>120</v>
      </c>
      <c r="F452" s="4">
        <v>1</v>
      </c>
      <c r="G452" s="4" t="s">
        <v>11</v>
      </c>
      <c r="H452" s="4" t="s">
        <v>121</v>
      </c>
      <c r="I452" s="4" t="s">
        <v>321</v>
      </c>
      <c r="J452" s="5">
        <v>0.5</v>
      </c>
      <c r="K452" s="65"/>
      <c r="L452" s="45">
        <v>5.492</v>
      </c>
      <c r="M452" s="127" t="s">
        <v>566</v>
      </c>
      <c r="N452" s="10" t="s">
        <v>111</v>
      </c>
      <c r="O452" s="54"/>
      <c r="P452" s="14"/>
      <c r="Q452" s="3" t="s">
        <v>205</v>
      </c>
      <c r="R452" s="36"/>
      <c r="S452" s="36"/>
      <c r="T452" s="46"/>
      <c r="U452" s="46"/>
      <c r="V452" s="36"/>
      <c r="W452" s="46"/>
      <c r="X452" s="46"/>
      <c r="Y452" s="22">
        <v>7.2629999999999999</v>
      </c>
      <c r="Z452" s="22">
        <v>6.7629999999999999</v>
      </c>
      <c r="AA452" s="22">
        <v>6.3529999999999998</v>
      </c>
      <c r="AB452" s="46"/>
      <c r="AC452" s="46"/>
      <c r="AD452" s="46"/>
      <c r="AE452" s="46"/>
      <c r="AF452" s="46"/>
      <c r="AG452" s="22">
        <v>5.2560000000000002</v>
      </c>
      <c r="AH452" s="46"/>
      <c r="AI452" s="97">
        <v>5.9240000000000004</v>
      </c>
      <c r="AJ452" s="97">
        <v>5.3719999999999999</v>
      </c>
      <c r="AK452" s="97">
        <v>5.2110000000000003</v>
      </c>
      <c r="AL452" s="97">
        <v>5.5490000000000004</v>
      </c>
      <c r="AM452" s="97">
        <v>5.3719999999999999</v>
      </c>
      <c r="AN452" s="97">
        <v>5.5460000000000003</v>
      </c>
      <c r="AO452" s="97">
        <v>5.5179999999999998</v>
      </c>
      <c r="AP452" s="3"/>
      <c r="AQ452" s="8"/>
    </row>
    <row r="453" spans="1:43">
      <c r="A453" s="1">
        <f t="shared" si="49"/>
        <v>451</v>
      </c>
      <c r="B453" s="19"/>
      <c r="C453" s="1">
        <v>4</v>
      </c>
      <c r="D453" s="4">
        <f t="shared" si="55"/>
        <v>35</v>
      </c>
      <c r="E453" s="4" t="s">
        <v>219</v>
      </c>
      <c r="F453" s="4">
        <v>1</v>
      </c>
      <c r="G453" s="4" t="s">
        <v>11</v>
      </c>
      <c r="H453" s="4" t="s">
        <v>12</v>
      </c>
      <c r="I453" s="4"/>
      <c r="J453" s="5">
        <v>83.9</v>
      </c>
      <c r="K453" s="65"/>
      <c r="L453" s="38">
        <v>6.577</v>
      </c>
      <c r="M453" s="127" t="s">
        <v>203</v>
      </c>
      <c r="N453" s="1" t="s">
        <v>13</v>
      </c>
      <c r="O453" s="22">
        <v>6.5860000000000003</v>
      </c>
      <c r="P453" s="1" t="s">
        <v>7</v>
      </c>
      <c r="Q453" s="3" t="s">
        <v>205</v>
      </c>
      <c r="R453" s="22">
        <v>7.0119999999999996</v>
      </c>
      <c r="S453" s="22">
        <v>6.51</v>
      </c>
      <c r="T453" s="22">
        <v>7.157</v>
      </c>
      <c r="U453" s="22">
        <v>6.8170000000000002</v>
      </c>
      <c r="V453" s="22">
        <v>7.1230000000000002</v>
      </c>
      <c r="W453" s="22">
        <v>6.758</v>
      </c>
      <c r="X453" s="22">
        <v>6.7469999999999999</v>
      </c>
      <c r="Y453" s="22">
        <v>6.7309999999999999</v>
      </c>
      <c r="Z453" s="22">
        <v>6.5780000000000003</v>
      </c>
      <c r="AA453" s="22">
        <v>6.6139999999999999</v>
      </c>
      <c r="AB453" s="22">
        <v>7.1980000000000004</v>
      </c>
      <c r="AC453" s="22">
        <v>7.2220000000000004</v>
      </c>
      <c r="AD453" s="22">
        <v>6.9820000000000002</v>
      </c>
      <c r="AE453" s="22">
        <v>6.9409999999999998</v>
      </c>
      <c r="AF453" s="22">
        <v>6.4969999999999999</v>
      </c>
      <c r="AG453" s="22">
        <v>6.7969999999999997</v>
      </c>
      <c r="AH453" s="6">
        <f t="shared" si="54"/>
        <v>6.6470000000000002</v>
      </c>
      <c r="AI453" s="7">
        <v>7.35</v>
      </c>
      <c r="AJ453" s="7">
        <v>6.52</v>
      </c>
      <c r="AK453" s="7">
        <v>5.98</v>
      </c>
      <c r="AL453" s="4">
        <v>6.76</v>
      </c>
      <c r="AM453" s="4">
        <v>6.72</v>
      </c>
      <c r="AN453" s="7">
        <v>6.8</v>
      </c>
      <c r="AO453" s="7">
        <v>6.64</v>
      </c>
      <c r="AP453" s="3"/>
      <c r="AQ453" s="8"/>
    </row>
    <row r="454" spans="1:43">
      <c r="A454" s="1">
        <f t="shared" si="49"/>
        <v>452</v>
      </c>
      <c r="B454" s="19"/>
      <c r="C454" s="1">
        <v>4</v>
      </c>
      <c r="D454" s="4">
        <f t="shared" si="55"/>
        <v>35</v>
      </c>
      <c r="E454" s="4" t="s">
        <v>223</v>
      </c>
      <c r="F454" s="4">
        <v>1</v>
      </c>
      <c r="G454" s="4" t="s">
        <v>14</v>
      </c>
      <c r="H454" s="4" t="s">
        <v>16</v>
      </c>
      <c r="I454" s="4"/>
      <c r="J454" s="5">
        <v>91.7</v>
      </c>
      <c r="K454" s="63">
        <v>9.5000000000000001E-2</v>
      </c>
      <c r="L454" s="38">
        <v>7.72</v>
      </c>
      <c r="M454" s="127" t="s">
        <v>203</v>
      </c>
      <c r="N454" s="1" t="s">
        <v>13</v>
      </c>
      <c r="O454" s="22">
        <v>7.7709999999999999</v>
      </c>
      <c r="P454" s="1" t="s">
        <v>7</v>
      </c>
      <c r="Q454" s="3" t="s">
        <v>205</v>
      </c>
      <c r="R454" s="22">
        <v>7.2480000000000002</v>
      </c>
      <c r="S454" s="22">
        <v>7.1609999999999996</v>
      </c>
      <c r="T454" s="22">
        <v>7.8959999999999999</v>
      </c>
      <c r="U454" s="22">
        <v>7.9370000000000003</v>
      </c>
      <c r="V454" s="22">
        <v>7.8360000000000003</v>
      </c>
      <c r="W454" s="22">
        <v>7.7069999999999999</v>
      </c>
      <c r="X454" s="22">
        <v>7.7089999999999996</v>
      </c>
      <c r="Y454" s="22">
        <v>7.7430000000000003</v>
      </c>
      <c r="Z454" s="22">
        <v>7.673</v>
      </c>
      <c r="AA454" s="22">
        <v>7.69</v>
      </c>
      <c r="AB454" s="22">
        <v>7.8040000000000003</v>
      </c>
      <c r="AC454" s="22">
        <v>7.7779999999999996</v>
      </c>
      <c r="AD454" s="22">
        <v>7.5709999999999997</v>
      </c>
      <c r="AE454" s="22">
        <v>7.617</v>
      </c>
      <c r="AF454" s="22">
        <v>7.1840000000000002</v>
      </c>
      <c r="AG454" s="22">
        <v>8.0470000000000006</v>
      </c>
      <c r="AH454" s="6">
        <f t="shared" si="54"/>
        <v>7.6155000000000008</v>
      </c>
      <c r="AI454" s="7">
        <v>7.04</v>
      </c>
      <c r="AJ454" s="7">
        <v>7.61</v>
      </c>
      <c r="AK454" s="7">
        <v>7.34</v>
      </c>
      <c r="AL454" s="4">
        <v>7.78</v>
      </c>
      <c r="AM454" s="4">
        <v>7.81</v>
      </c>
      <c r="AN454" s="7">
        <v>7.81</v>
      </c>
      <c r="AO454" s="7">
        <v>7.84</v>
      </c>
      <c r="AP454" s="3"/>
      <c r="AQ454" s="8"/>
    </row>
    <row r="455" spans="1:43">
      <c r="A455" s="1">
        <f t="shared" si="49"/>
        <v>453</v>
      </c>
      <c r="B455" s="19"/>
      <c r="C455" s="1">
        <v>4</v>
      </c>
      <c r="D455" s="4">
        <f t="shared" si="55"/>
        <v>35</v>
      </c>
      <c r="E455" s="4" t="s">
        <v>149</v>
      </c>
      <c r="F455" s="4">
        <v>3</v>
      </c>
      <c r="G455" s="4" t="s">
        <v>11</v>
      </c>
      <c r="H455" s="4" t="s">
        <v>12</v>
      </c>
      <c r="I455" s="4"/>
      <c r="J455" s="5">
        <v>97.6</v>
      </c>
      <c r="K455" s="65"/>
      <c r="L455" s="38">
        <v>2.4900000000000002</v>
      </c>
      <c r="M455" s="127" t="s">
        <v>99</v>
      </c>
      <c r="N455" s="1" t="s">
        <v>13</v>
      </c>
      <c r="O455" s="22">
        <v>2.4980000000000002</v>
      </c>
      <c r="P455" s="1" t="s">
        <v>7</v>
      </c>
      <c r="Q455" s="3" t="s">
        <v>205</v>
      </c>
      <c r="R455" s="22">
        <v>2.59</v>
      </c>
      <c r="S455" s="22">
        <v>2.468</v>
      </c>
      <c r="T455" s="22">
        <v>2.6019999999999999</v>
      </c>
      <c r="U455" s="22">
        <v>2.4510000000000001</v>
      </c>
      <c r="V455" s="22">
        <v>2.5579999999999998</v>
      </c>
      <c r="W455" s="46"/>
      <c r="X455" s="46"/>
      <c r="Y455" s="46"/>
      <c r="Z455" s="22">
        <v>2.4860000000000002</v>
      </c>
      <c r="AA455" s="46"/>
      <c r="AB455" s="22">
        <v>2.7650000000000001</v>
      </c>
      <c r="AC455" s="22">
        <v>2.8380000000000001</v>
      </c>
      <c r="AD455" s="22">
        <v>2.7160000000000002</v>
      </c>
      <c r="AE455" s="22">
        <v>2.5710000000000002</v>
      </c>
      <c r="AF455" s="22">
        <v>2.3929999999999998</v>
      </c>
      <c r="AG455" s="22">
        <v>2.403</v>
      </c>
      <c r="AH455" s="6">
        <f t="shared" si="54"/>
        <v>2.3979999999999997</v>
      </c>
      <c r="AI455" s="7">
        <v>3.06</v>
      </c>
      <c r="AJ455" s="7">
        <v>2.41</v>
      </c>
      <c r="AK455" s="7">
        <v>2.12</v>
      </c>
      <c r="AL455" s="4">
        <v>2.57</v>
      </c>
      <c r="AM455" s="4">
        <v>2.5499999999999998</v>
      </c>
      <c r="AN455" s="7">
        <v>2.59</v>
      </c>
      <c r="AO455" s="7">
        <v>2.4900000000000002</v>
      </c>
      <c r="AP455" s="3"/>
      <c r="AQ455" s="8"/>
    </row>
    <row r="456" spans="1:43">
      <c r="A456" s="1">
        <f t="shared" si="49"/>
        <v>454</v>
      </c>
      <c r="B456" s="19"/>
      <c r="C456" s="1">
        <v>4</v>
      </c>
      <c r="D456" s="4">
        <f t="shared" si="55"/>
        <v>35</v>
      </c>
      <c r="E456" s="4" t="s">
        <v>221</v>
      </c>
      <c r="F456" s="4">
        <v>3</v>
      </c>
      <c r="G456" s="4" t="s">
        <v>11</v>
      </c>
      <c r="H456" s="4" t="s">
        <v>12</v>
      </c>
      <c r="I456" s="4"/>
      <c r="J456" s="5">
        <v>97.4</v>
      </c>
      <c r="K456" s="65"/>
      <c r="L456" s="38">
        <v>3.89</v>
      </c>
      <c r="M456" s="127" t="s">
        <v>99</v>
      </c>
      <c r="N456" s="1" t="s">
        <v>13</v>
      </c>
      <c r="O456" s="22">
        <v>3.9020000000000001</v>
      </c>
      <c r="P456" s="1" t="s">
        <v>7</v>
      </c>
      <c r="Q456" s="3" t="s">
        <v>205</v>
      </c>
      <c r="R456" s="22">
        <v>4.0030000000000001</v>
      </c>
      <c r="S456" s="22">
        <v>3.9630000000000001</v>
      </c>
      <c r="T456" s="22">
        <v>3.964</v>
      </c>
      <c r="U456" s="22">
        <v>3.8959999999999999</v>
      </c>
      <c r="V456" s="22">
        <v>3.9590000000000001</v>
      </c>
      <c r="W456" s="46"/>
      <c r="X456" s="46"/>
      <c r="Y456" s="46"/>
      <c r="Z456" s="22">
        <v>3.899</v>
      </c>
      <c r="AA456" s="46"/>
      <c r="AB456" s="22">
        <v>4.117</v>
      </c>
      <c r="AC456" s="22">
        <v>4.2450000000000001</v>
      </c>
      <c r="AD456" s="22">
        <v>4.1529999999999996</v>
      </c>
      <c r="AE456" s="22">
        <v>3.9239999999999999</v>
      </c>
      <c r="AF456" s="22">
        <v>3.819</v>
      </c>
      <c r="AG456" s="22">
        <v>3.8479999999999999</v>
      </c>
      <c r="AH456" s="6">
        <f t="shared" si="54"/>
        <v>3.8334999999999999</v>
      </c>
      <c r="AI456" s="7">
        <v>4.6100000000000003</v>
      </c>
      <c r="AJ456" s="7">
        <v>3.9</v>
      </c>
      <c r="AK456" s="7">
        <v>3.53</v>
      </c>
      <c r="AL456" s="4">
        <v>4.04</v>
      </c>
      <c r="AM456" s="4">
        <v>4.01</v>
      </c>
      <c r="AN456" s="7">
        <v>4.0999999999999996</v>
      </c>
      <c r="AO456" s="7">
        <v>3.99</v>
      </c>
      <c r="AP456" s="3"/>
      <c r="AQ456" s="8"/>
    </row>
    <row r="457" spans="1:43">
      <c r="A457" s="1">
        <f t="shared" si="49"/>
        <v>455</v>
      </c>
      <c r="B457" s="19"/>
      <c r="C457" s="1">
        <v>4</v>
      </c>
      <c r="D457" s="4">
        <f t="shared" si="55"/>
        <v>35</v>
      </c>
      <c r="E457" s="4" t="s">
        <v>177</v>
      </c>
      <c r="F457" s="4">
        <v>3</v>
      </c>
      <c r="G457" s="4" t="s">
        <v>11</v>
      </c>
      <c r="H457" s="4" t="s">
        <v>17</v>
      </c>
      <c r="I457" s="4"/>
      <c r="J457" s="5">
        <v>98.5</v>
      </c>
      <c r="K457" s="65"/>
      <c r="L457" s="38">
        <v>5.1529999999999996</v>
      </c>
      <c r="M457" s="127" t="s">
        <v>99</v>
      </c>
      <c r="N457" s="1" t="s">
        <v>13</v>
      </c>
      <c r="O457" s="22">
        <v>5.165</v>
      </c>
      <c r="P457" s="1" t="s">
        <v>7</v>
      </c>
      <c r="Q457" s="3" t="s">
        <v>205</v>
      </c>
      <c r="R457" s="22">
        <v>5.4740000000000002</v>
      </c>
      <c r="S457" s="22">
        <v>5.4269999999999996</v>
      </c>
      <c r="T457" s="22">
        <v>5.3179999999999996</v>
      </c>
      <c r="U457" s="22">
        <v>4.9240000000000004</v>
      </c>
      <c r="V457" s="22">
        <v>5.0999999999999996</v>
      </c>
      <c r="W457" s="46"/>
      <c r="X457" s="46"/>
      <c r="Y457" s="46"/>
      <c r="Z457" s="22">
        <v>5.1680000000000001</v>
      </c>
      <c r="AA457" s="46"/>
      <c r="AB457" s="22">
        <v>5.3239999999999998</v>
      </c>
      <c r="AC457" s="22">
        <v>5.3949999999999996</v>
      </c>
      <c r="AD457" s="22">
        <v>5.4089999999999998</v>
      </c>
      <c r="AE457" s="22">
        <v>5.194</v>
      </c>
      <c r="AF457" s="22">
        <v>5.33</v>
      </c>
      <c r="AG457" s="22">
        <v>4.8259999999999996</v>
      </c>
      <c r="AH457" s="6">
        <f t="shared" si="54"/>
        <v>5.0779999999999994</v>
      </c>
      <c r="AI457" s="7">
        <v>5.46</v>
      </c>
      <c r="AJ457" s="7">
        <v>5.14</v>
      </c>
      <c r="AK457" s="7">
        <v>4.91</v>
      </c>
      <c r="AL457" s="4">
        <v>5.17</v>
      </c>
      <c r="AM457" s="4">
        <v>5.14</v>
      </c>
      <c r="AN457" s="7">
        <v>5.21</v>
      </c>
      <c r="AO457" s="7">
        <v>5.17</v>
      </c>
      <c r="AP457" s="3"/>
      <c r="AQ457" s="8"/>
    </row>
    <row r="458" spans="1:43">
      <c r="A458" s="1">
        <f t="shared" si="49"/>
        <v>456</v>
      </c>
      <c r="B458" s="19"/>
      <c r="C458" s="1">
        <v>4</v>
      </c>
      <c r="D458" s="4">
        <f t="shared" si="55"/>
        <v>35</v>
      </c>
      <c r="E458" s="4" t="s">
        <v>169</v>
      </c>
      <c r="F458" s="4">
        <v>3</v>
      </c>
      <c r="G458" s="4" t="s">
        <v>11</v>
      </c>
      <c r="H458" s="4" t="s">
        <v>17</v>
      </c>
      <c r="I458" s="4"/>
      <c r="J458" s="5">
        <v>98.8</v>
      </c>
      <c r="K458" s="65"/>
      <c r="L458" s="38">
        <v>6.2969999999999997</v>
      </c>
      <c r="M458" s="127" t="s">
        <v>99</v>
      </c>
      <c r="N458" s="1" t="s">
        <v>13</v>
      </c>
      <c r="O458" s="22">
        <v>6.3070000000000004</v>
      </c>
      <c r="P458" s="1" t="s">
        <v>7</v>
      </c>
      <c r="Q458" s="3" t="s">
        <v>205</v>
      </c>
      <c r="R458" s="22">
        <v>6.5380000000000003</v>
      </c>
      <c r="S458" s="22">
        <v>6.5570000000000004</v>
      </c>
      <c r="T458" s="22">
        <v>6.3840000000000003</v>
      </c>
      <c r="U458" s="22">
        <v>6.1619999999999999</v>
      </c>
      <c r="V458" s="22">
        <v>6.2389999999999999</v>
      </c>
      <c r="W458" s="46"/>
      <c r="X458" s="46"/>
      <c r="Y458" s="46"/>
      <c r="Z458" s="22">
        <v>6.2969999999999997</v>
      </c>
      <c r="AA458" s="46"/>
      <c r="AB458" s="22">
        <v>6.3479999999999999</v>
      </c>
      <c r="AC458" s="22">
        <v>6.4240000000000004</v>
      </c>
      <c r="AD458" s="22">
        <v>6.4720000000000004</v>
      </c>
      <c r="AE458" s="22">
        <v>6.2370000000000001</v>
      </c>
      <c r="AF458" s="22">
        <v>6.4459999999999997</v>
      </c>
      <c r="AG458" s="22">
        <v>5.94</v>
      </c>
      <c r="AH458" s="6">
        <f t="shared" si="54"/>
        <v>6.1929999999999996</v>
      </c>
      <c r="AI458" s="7">
        <v>6.69</v>
      </c>
      <c r="AJ458" s="7">
        <v>6.32</v>
      </c>
      <c r="AK458" s="7">
        <v>6.02</v>
      </c>
      <c r="AL458" s="4">
        <v>6.33</v>
      </c>
      <c r="AM458" s="4">
        <v>6.27</v>
      </c>
      <c r="AN458" s="7">
        <v>6.41</v>
      </c>
      <c r="AO458" s="7">
        <v>6.33</v>
      </c>
      <c r="AP458" s="3"/>
      <c r="AQ458" s="8"/>
    </row>
    <row r="459" spans="1:43">
      <c r="A459" s="1">
        <f t="shared" si="49"/>
        <v>457</v>
      </c>
      <c r="B459" s="31" t="s">
        <v>153</v>
      </c>
      <c r="C459" s="1">
        <v>3</v>
      </c>
      <c r="D459" s="4">
        <f t="shared" si="55"/>
        <v>35</v>
      </c>
      <c r="E459" s="4" t="s">
        <v>147</v>
      </c>
      <c r="F459" s="4">
        <v>1</v>
      </c>
      <c r="G459" s="4" t="s">
        <v>11</v>
      </c>
      <c r="H459" s="4" t="s">
        <v>215</v>
      </c>
      <c r="I459" s="4"/>
      <c r="J459" s="12">
        <v>94.5</v>
      </c>
      <c r="K459" s="64">
        <v>2.5999999999999999E-3</v>
      </c>
      <c r="L459" s="38">
        <v>1.9750000000000001</v>
      </c>
      <c r="M459" s="127" t="s">
        <v>220</v>
      </c>
      <c r="N459" s="4" t="s">
        <v>13</v>
      </c>
      <c r="O459" s="6">
        <v>1.9670000000000001</v>
      </c>
      <c r="P459" s="1" t="s">
        <v>7</v>
      </c>
      <c r="Q459" s="3" t="s">
        <v>205</v>
      </c>
      <c r="R459" s="42">
        <v>1.9530000000000001</v>
      </c>
      <c r="S459" s="42">
        <v>1.9119999999999999</v>
      </c>
      <c r="T459" s="42">
        <v>1.65</v>
      </c>
      <c r="U459" s="22">
        <v>1.7889999999999999</v>
      </c>
      <c r="V459" s="42">
        <v>1.9870000000000001</v>
      </c>
      <c r="W459" s="42">
        <v>1.9550000000000001</v>
      </c>
      <c r="X459" s="42">
        <v>1.9550000000000001</v>
      </c>
      <c r="Y459" s="22">
        <v>1.9770000000000001</v>
      </c>
      <c r="Z459" s="22">
        <v>1.9710000000000001</v>
      </c>
      <c r="AA459" s="22">
        <v>1.9670000000000001</v>
      </c>
      <c r="AB459" s="22">
        <v>2.0089999999999999</v>
      </c>
      <c r="AC459" s="22">
        <v>2.0619999999999998</v>
      </c>
      <c r="AD459" s="22">
        <v>2.0129999999999999</v>
      </c>
      <c r="AE459" s="42">
        <v>1.8819999999999999</v>
      </c>
      <c r="AF459" s="42">
        <v>1.837</v>
      </c>
      <c r="AG459" s="42">
        <v>1.8080000000000001</v>
      </c>
      <c r="AH459" s="6">
        <f t="shared" si="52"/>
        <v>1.8225</v>
      </c>
      <c r="AI459" s="9"/>
      <c r="AJ459" s="9"/>
      <c r="AK459" s="9"/>
      <c r="AL459" s="9"/>
      <c r="AM459" s="9"/>
      <c r="AN459" s="9"/>
      <c r="AO459" s="9"/>
      <c r="AP459" s="3"/>
      <c r="AQ459" s="8"/>
    </row>
    <row r="460" spans="1:43">
      <c r="A460" s="1">
        <f t="shared" si="49"/>
        <v>458</v>
      </c>
      <c r="B460" s="31" t="s">
        <v>146</v>
      </c>
      <c r="C460" s="1">
        <v>3</v>
      </c>
      <c r="D460" s="4">
        <f t="shared" si="55"/>
        <v>35</v>
      </c>
      <c r="E460" s="4" t="s">
        <v>147</v>
      </c>
      <c r="F460" s="4">
        <v>1</v>
      </c>
      <c r="G460" s="4" t="s">
        <v>11</v>
      </c>
      <c r="H460" s="4" t="s">
        <v>215</v>
      </c>
      <c r="I460" s="4"/>
      <c r="J460" s="12">
        <v>95.4</v>
      </c>
      <c r="K460" s="64">
        <v>6.0000000000000001E-3</v>
      </c>
      <c r="L460" s="38">
        <v>2.4980000000000002</v>
      </c>
      <c r="M460" s="127" t="s">
        <v>220</v>
      </c>
      <c r="N460" s="4" t="s">
        <v>13</v>
      </c>
      <c r="O460" s="6">
        <v>2.4910000000000001</v>
      </c>
      <c r="P460" s="1" t="s">
        <v>7</v>
      </c>
      <c r="Q460" s="3" t="s">
        <v>205</v>
      </c>
      <c r="R460" s="22">
        <v>2.456</v>
      </c>
      <c r="S460" s="42">
        <v>2.4359999999999999</v>
      </c>
      <c r="T460" s="22">
        <v>2.1920000000000002</v>
      </c>
      <c r="U460" s="22">
        <v>2.37</v>
      </c>
      <c r="V460" s="42">
        <v>2.5070000000000001</v>
      </c>
      <c r="W460" s="42">
        <v>2.484</v>
      </c>
      <c r="X460" s="42">
        <v>2.484</v>
      </c>
      <c r="Y460" s="42">
        <v>2.5</v>
      </c>
      <c r="Z460" s="22">
        <v>2.496</v>
      </c>
      <c r="AA460" s="22">
        <v>2.4929999999999999</v>
      </c>
      <c r="AB460" s="22">
        <v>2.512</v>
      </c>
      <c r="AC460" s="22">
        <v>2.5790000000000002</v>
      </c>
      <c r="AD460" s="22">
        <v>2.532</v>
      </c>
      <c r="AE460" s="22">
        <v>2.3820000000000001</v>
      </c>
      <c r="AF460" s="22">
        <v>2.3439999999999999</v>
      </c>
      <c r="AG460" s="22">
        <v>2.3039999999999998</v>
      </c>
      <c r="AH460" s="6">
        <f t="shared" si="52"/>
        <v>2.3239999999999998</v>
      </c>
      <c r="AI460" s="9"/>
      <c r="AJ460" s="9"/>
      <c r="AK460" s="9"/>
      <c r="AL460" s="9"/>
      <c r="AM460" s="9"/>
      <c r="AN460" s="9"/>
      <c r="AO460" s="9"/>
      <c r="AP460" s="3"/>
      <c r="AQ460" s="8"/>
    </row>
    <row r="461" spans="1:43">
      <c r="A461" s="1">
        <f t="shared" si="49"/>
        <v>459</v>
      </c>
      <c r="B461" s="31" t="s">
        <v>286</v>
      </c>
      <c r="C461" s="1">
        <v>2</v>
      </c>
      <c r="D461" s="4">
        <f t="shared" si="55"/>
        <v>12</v>
      </c>
      <c r="E461" s="4" t="s">
        <v>243</v>
      </c>
      <c r="F461" s="4">
        <v>1</v>
      </c>
      <c r="G461" s="4" t="s">
        <v>11</v>
      </c>
      <c r="H461" s="4" t="s">
        <v>17</v>
      </c>
      <c r="I461" s="4"/>
      <c r="J461" s="12">
        <v>96.6</v>
      </c>
      <c r="K461" s="65"/>
      <c r="L461" s="38">
        <v>8.2129999999999992</v>
      </c>
      <c r="M461" s="127" t="s">
        <v>220</v>
      </c>
      <c r="N461" s="4" t="s">
        <v>13</v>
      </c>
      <c r="O461" s="6">
        <v>8.2059999999999995</v>
      </c>
      <c r="P461" s="1" t="s">
        <v>7</v>
      </c>
      <c r="Q461" s="3"/>
      <c r="R461" s="22">
        <v>8.5269999999999992</v>
      </c>
      <c r="S461" s="22">
        <v>8.5190000000000001</v>
      </c>
      <c r="T461" s="22">
        <v>8.3420000000000005</v>
      </c>
      <c r="U461" s="22">
        <v>8.1950000000000003</v>
      </c>
      <c r="V461" s="22">
        <v>8.298</v>
      </c>
      <c r="W461" s="22">
        <v>8.2270000000000003</v>
      </c>
      <c r="X461" s="22">
        <v>8.2279999999999998</v>
      </c>
      <c r="Y461" s="22">
        <v>8.2170000000000005</v>
      </c>
      <c r="Z461" s="22">
        <v>8.2149999999999999</v>
      </c>
      <c r="AA461" s="1">
        <v>8.2240000000000002</v>
      </c>
      <c r="AB461" s="22">
        <v>8.4960000000000004</v>
      </c>
      <c r="AC461" s="22">
        <v>8.5519999999999996</v>
      </c>
      <c r="AD461" s="22">
        <v>8.5410000000000004</v>
      </c>
      <c r="AE461" s="22">
        <v>8.3819999999999997</v>
      </c>
      <c r="AF461" s="22">
        <v>8.4600000000000009</v>
      </c>
      <c r="AG461" s="22">
        <v>7.7489999999999997</v>
      </c>
      <c r="AH461" s="6">
        <f t="shared" si="52"/>
        <v>8.1044999999999998</v>
      </c>
      <c r="AI461" s="9"/>
      <c r="AJ461" s="9"/>
      <c r="AK461" s="9"/>
      <c r="AL461" s="9"/>
      <c r="AM461" s="9"/>
      <c r="AN461" s="9"/>
      <c r="AO461" s="9"/>
      <c r="AP461" s="3"/>
      <c r="AQ461" s="8"/>
    </row>
    <row r="462" spans="1:43">
      <c r="A462" s="1">
        <f t="shared" si="49"/>
        <v>460</v>
      </c>
      <c r="B462" s="31"/>
      <c r="C462" s="1">
        <v>2</v>
      </c>
      <c r="D462" s="4">
        <f t="shared" si="55"/>
        <v>12</v>
      </c>
      <c r="E462" s="4" t="s">
        <v>136</v>
      </c>
      <c r="F462" s="4">
        <v>1</v>
      </c>
      <c r="G462" s="4" t="s">
        <v>11</v>
      </c>
      <c r="H462" s="4" t="s">
        <v>17</v>
      </c>
      <c r="I462" s="4"/>
      <c r="J462" s="12">
        <v>95.9</v>
      </c>
      <c r="K462" s="65"/>
      <c r="L462" s="38">
        <v>8.5730000000000004</v>
      </c>
      <c r="M462" s="127" t="s">
        <v>220</v>
      </c>
      <c r="N462" s="4" t="s">
        <v>13</v>
      </c>
      <c r="O462" s="6">
        <v>8.5619999999999994</v>
      </c>
      <c r="P462" s="1" t="s">
        <v>7</v>
      </c>
      <c r="Q462" s="3"/>
      <c r="R462" s="22">
        <v>8.94</v>
      </c>
      <c r="S462" s="22">
        <v>8.93</v>
      </c>
      <c r="T462" s="22">
        <v>8.7080000000000002</v>
      </c>
      <c r="U462" s="22">
        <v>8.6</v>
      </c>
      <c r="V462" s="22">
        <v>8.6669999999999998</v>
      </c>
      <c r="W462" s="22">
        <v>8.59</v>
      </c>
      <c r="X462" s="22">
        <v>8.59</v>
      </c>
      <c r="Y462" s="22">
        <v>8.5760000000000005</v>
      </c>
      <c r="Z462" s="22">
        <v>8.5690000000000008</v>
      </c>
      <c r="AA462" s="1">
        <v>8.5839999999999996</v>
      </c>
      <c r="AB462" s="22">
        <v>8.7880000000000003</v>
      </c>
      <c r="AC462" s="22">
        <v>8.8510000000000009</v>
      </c>
      <c r="AD462" s="22">
        <v>8.8770000000000007</v>
      </c>
      <c r="AE462" s="22">
        <v>8.6669999999999998</v>
      </c>
      <c r="AF462" s="22">
        <v>8.8610000000000007</v>
      </c>
      <c r="AG462" s="22">
        <v>8.1020000000000003</v>
      </c>
      <c r="AH462" s="6">
        <f t="shared" si="52"/>
        <v>8.4815000000000005</v>
      </c>
      <c r="AI462" s="9"/>
      <c r="AJ462" s="9"/>
      <c r="AK462" s="9"/>
      <c r="AL462" s="9"/>
      <c r="AM462" s="9"/>
      <c r="AN462" s="9"/>
      <c r="AO462" s="9"/>
      <c r="AP462" s="3"/>
      <c r="AQ462" s="8"/>
    </row>
    <row r="463" spans="1:43">
      <c r="A463" s="1">
        <f t="shared" si="49"/>
        <v>461</v>
      </c>
      <c r="B463" s="31"/>
      <c r="C463" s="1">
        <v>2</v>
      </c>
      <c r="D463" s="4">
        <f t="shared" si="55"/>
        <v>12</v>
      </c>
      <c r="E463" s="4" t="s">
        <v>242</v>
      </c>
      <c r="F463" s="4">
        <v>1</v>
      </c>
      <c r="G463" s="4" t="s">
        <v>11</v>
      </c>
      <c r="H463" s="4" t="s">
        <v>12</v>
      </c>
      <c r="I463" s="4"/>
      <c r="J463" s="12">
        <v>89.5</v>
      </c>
      <c r="K463" s="64">
        <v>3.7999999999999999E-2</v>
      </c>
      <c r="L463" s="38">
        <v>9.1189999999999998</v>
      </c>
      <c r="M463" s="127" t="s">
        <v>220</v>
      </c>
      <c r="N463" s="4" t="s">
        <v>13</v>
      </c>
      <c r="O463" s="6">
        <v>9.1170000000000009</v>
      </c>
      <c r="P463" s="1" t="s">
        <v>7</v>
      </c>
      <c r="Q463" s="3"/>
      <c r="R463" s="22">
        <v>9.6669999999999998</v>
      </c>
      <c r="S463" s="22">
        <v>9.2010000000000005</v>
      </c>
      <c r="T463" s="22">
        <v>9.3160000000000007</v>
      </c>
      <c r="U463" s="22">
        <v>9.0559999999999992</v>
      </c>
      <c r="V463" s="22">
        <v>9.2390000000000008</v>
      </c>
      <c r="W463" s="22">
        <v>9.1560000000000006</v>
      </c>
      <c r="X463" s="22">
        <v>9.1590000000000007</v>
      </c>
      <c r="Y463" s="22">
        <v>9.1620000000000008</v>
      </c>
      <c r="Z463" s="22">
        <v>9.1419999999999995</v>
      </c>
      <c r="AA463" s="1">
        <v>9.1159999999999997</v>
      </c>
      <c r="AB463" s="22">
        <v>9.3680000000000003</v>
      </c>
      <c r="AC463" s="22">
        <v>9.3710000000000004</v>
      </c>
      <c r="AD463" s="22">
        <v>9.3170000000000002</v>
      </c>
      <c r="AE463" s="22">
        <v>9.1739999999999995</v>
      </c>
      <c r="AF463" s="22">
        <v>9.1980000000000004</v>
      </c>
      <c r="AG463" s="22">
        <v>9.0890000000000004</v>
      </c>
      <c r="AH463" s="6">
        <f t="shared" si="52"/>
        <v>9.1434999999999995</v>
      </c>
      <c r="AI463" s="9"/>
      <c r="AJ463" s="9"/>
      <c r="AK463" s="9"/>
      <c r="AL463" s="9"/>
      <c r="AM463" s="9"/>
      <c r="AN463" s="9"/>
      <c r="AO463" s="9"/>
      <c r="AP463" s="3"/>
      <c r="AQ463" s="8"/>
    </row>
    <row r="464" spans="1:43">
      <c r="A464" s="1">
        <f t="shared" si="49"/>
        <v>462</v>
      </c>
      <c r="B464" s="31"/>
      <c r="C464" s="1">
        <v>2</v>
      </c>
      <c r="D464" s="4">
        <f t="shared" si="55"/>
        <v>12</v>
      </c>
      <c r="E464" s="4" t="s">
        <v>246</v>
      </c>
      <c r="F464" s="4">
        <v>3</v>
      </c>
      <c r="G464" s="4" t="s">
        <v>11</v>
      </c>
      <c r="H464" s="4" t="s">
        <v>17</v>
      </c>
      <c r="I464" s="4"/>
      <c r="J464" s="12">
        <v>99.2</v>
      </c>
      <c r="K464" s="65"/>
      <c r="L464" s="38">
        <v>6.3940000000000001</v>
      </c>
      <c r="M464" s="127" t="s">
        <v>220</v>
      </c>
      <c r="N464" s="4" t="s">
        <v>13</v>
      </c>
      <c r="O464" s="6">
        <v>6.42</v>
      </c>
      <c r="P464" s="1" t="s">
        <v>7</v>
      </c>
      <c r="Q464" s="3"/>
      <c r="R464" s="22">
        <v>6.7789999999999999</v>
      </c>
      <c r="S464" s="22">
        <v>6.7640000000000002</v>
      </c>
      <c r="T464" s="22">
        <v>6.6230000000000002</v>
      </c>
      <c r="U464" s="22">
        <v>6.3890000000000002</v>
      </c>
      <c r="V464" s="22">
        <v>6.3310000000000004</v>
      </c>
      <c r="W464" s="46"/>
      <c r="X464" s="46"/>
      <c r="Y464" s="46"/>
      <c r="Z464" s="22">
        <v>6.3710000000000004</v>
      </c>
      <c r="AA464" s="22">
        <v>6.3819999999999997</v>
      </c>
      <c r="AB464" s="22">
        <v>6.26</v>
      </c>
      <c r="AC464" s="22">
        <v>6.2690000000000001</v>
      </c>
      <c r="AD464" s="22">
        <v>6.4370000000000003</v>
      </c>
      <c r="AE464" s="22">
        <v>6.1849999999999996</v>
      </c>
      <c r="AF464" s="22">
        <v>6.726</v>
      </c>
      <c r="AG464" s="22">
        <v>6.0170000000000003</v>
      </c>
      <c r="AH464" s="6">
        <f t="shared" si="52"/>
        <v>6.3715000000000002</v>
      </c>
      <c r="AI464" s="9"/>
      <c r="AJ464" s="9"/>
      <c r="AK464" s="9"/>
      <c r="AL464" s="9"/>
      <c r="AM464" s="9"/>
      <c r="AN464" s="9"/>
      <c r="AO464" s="9"/>
      <c r="AP464" s="3"/>
      <c r="AQ464" s="8"/>
    </row>
    <row r="465" spans="1:43">
      <c r="A465" s="1">
        <f t="shared" si="49"/>
        <v>463</v>
      </c>
      <c r="B465" s="31"/>
      <c r="C465" s="1">
        <v>2</v>
      </c>
      <c r="D465" s="4">
        <f t="shared" si="55"/>
        <v>12</v>
      </c>
      <c r="E465" s="4" t="s">
        <v>155</v>
      </c>
      <c r="F465" s="4">
        <v>3</v>
      </c>
      <c r="G465" s="4" t="s">
        <v>11</v>
      </c>
      <c r="H465" s="4" t="s">
        <v>17</v>
      </c>
      <c r="I465" s="4"/>
      <c r="J465" s="12">
        <v>99.1</v>
      </c>
      <c r="K465" s="65"/>
      <c r="L465" s="38">
        <v>7.3879999999999999</v>
      </c>
      <c r="M465" s="127" t="s">
        <v>220</v>
      </c>
      <c r="N465" s="4" t="s">
        <v>13</v>
      </c>
      <c r="O465" s="6">
        <v>7.3920000000000003</v>
      </c>
      <c r="P465" s="1" t="s">
        <v>7</v>
      </c>
      <c r="Q465" s="3"/>
      <c r="R465" s="22">
        <v>7.7270000000000003</v>
      </c>
      <c r="S465" s="22">
        <v>7.7160000000000002</v>
      </c>
      <c r="T465" s="22">
        <v>7.55</v>
      </c>
      <c r="U465" s="22">
        <v>7.4580000000000002</v>
      </c>
      <c r="V465" s="22">
        <v>7.4139999999999997</v>
      </c>
      <c r="W465" s="46"/>
      <c r="X465" s="46"/>
      <c r="Y465" s="46"/>
      <c r="Z465" s="22">
        <v>7.3890000000000002</v>
      </c>
      <c r="AA465" s="22">
        <v>7.391</v>
      </c>
      <c r="AB465" s="22">
        <v>7.7750000000000004</v>
      </c>
      <c r="AC465" s="22">
        <v>7.8230000000000004</v>
      </c>
      <c r="AD465" s="22">
        <v>7.7869999999999999</v>
      </c>
      <c r="AE465" s="22">
        <v>7.6790000000000003</v>
      </c>
      <c r="AF465" s="22">
        <v>7.6660000000000004</v>
      </c>
      <c r="AG465" s="22">
        <v>6.9560000000000004</v>
      </c>
      <c r="AH465" s="6">
        <f t="shared" si="52"/>
        <v>7.3109999999999999</v>
      </c>
      <c r="AI465" s="9"/>
      <c r="AJ465" s="9"/>
      <c r="AK465" s="9"/>
      <c r="AL465" s="9"/>
      <c r="AM465" s="9"/>
      <c r="AN465" s="9"/>
      <c r="AO465" s="9"/>
      <c r="AP465" s="3"/>
      <c r="AQ465" s="8"/>
    </row>
    <row r="466" spans="1:43">
      <c r="A466" s="1">
        <f t="shared" si="49"/>
        <v>464</v>
      </c>
      <c r="B466" s="31"/>
      <c r="C466" s="1">
        <v>2</v>
      </c>
      <c r="D466" s="4">
        <f t="shared" si="55"/>
        <v>12</v>
      </c>
      <c r="E466" s="4" t="s">
        <v>245</v>
      </c>
      <c r="F466" s="4">
        <v>3</v>
      </c>
      <c r="G466" s="4" t="s">
        <v>11</v>
      </c>
      <c r="H466" s="4" t="s">
        <v>12</v>
      </c>
      <c r="I466" s="4"/>
      <c r="J466" s="12">
        <v>97.8</v>
      </c>
      <c r="K466" s="65"/>
      <c r="L466" s="38">
        <v>8.016</v>
      </c>
      <c r="M466" s="127" t="s">
        <v>220</v>
      </c>
      <c r="N466" s="4" t="s">
        <v>13</v>
      </c>
      <c r="O466" s="6">
        <v>8.0239999999999991</v>
      </c>
      <c r="P466" s="1" t="s">
        <v>7</v>
      </c>
      <c r="Q466" s="3"/>
      <c r="R466" s="22">
        <v>8.2729999999999997</v>
      </c>
      <c r="S466" s="22">
        <v>8.1039999999999992</v>
      </c>
      <c r="T466" s="22">
        <v>8.1229999999999993</v>
      </c>
      <c r="U466" s="22">
        <v>8.09</v>
      </c>
      <c r="V466" s="22">
        <v>8.07</v>
      </c>
      <c r="W466" s="46"/>
      <c r="X466" s="46"/>
      <c r="Y466" s="46"/>
      <c r="Z466" s="22">
        <v>8.0229999999999997</v>
      </c>
      <c r="AA466" s="22">
        <v>8.016</v>
      </c>
      <c r="AB466" s="22">
        <v>8.3460000000000001</v>
      </c>
      <c r="AC466" s="22">
        <v>8.359</v>
      </c>
      <c r="AD466" s="22">
        <v>8.2750000000000004</v>
      </c>
      <c r="AE466" s="22">
        <v>8.1920000000000002</v>
      </c>
      <c r="AF466" s="22">
        <v>8.0879999999999992</v>
      </c>
      <c r="AG466" s="22">
        <v>7.867</v>
      </c>
      <c r="AH466" s="6">
        <f t="shared" si="52"/>
        <v>7.9774999999999991</v>
      </c>
      <c r="AI466" s="9"/>
      <c r="AJ466" s="9"/>
      <c r="AK466" s="9"/>
      <c r="AL466" s="9"/>
      <c r="AM466" s="9"/>
      <c r="AN466" s="9"/>
      <c r="AO466" s="9"/>
      <c r="AP466" s="3"/>
      <c r="AQ466" s="8"/>
    </row>
    <row r="467" spans="1:43">
      <c r="A467" s="1">
        <f t="shared" ref="A467:A530" si="56">A466+1</f>
        <v>465</v>
      </c>
      <c r="B467" s="31" t="s">
        <v>135</v>
      </c>
      <c r="C467" s="1">
        <v>2</v>
      </c>
      <c r="D467" s="4">
        <f t="shared" si="55"/>
        <v>12</v>
      </c>
      <c r="E467" s="4" t="s">
        <v>243</v>
      </c>
      <c r="F467" s="4">
        <v>1</v>
      </c>
      <c r="G467" s="4" t="s">
        <v>11</v>
      </c>
      <c r="H467" s="4" t="s">
        <v>17</v>
      </c>
      <c r="I467" s="4"/>
      <c r="J467" s="5">
        <v>94.9</v>
      </c>
      <c r="K467" s="65"/>
      <c r="L467" s="38">
        <v>4.8339999999999996</v>
      </c>
      <c r="M467" s="127" t="s">
        <v>220</v>
      </c>
      <c r="N467" s="1" t="s">
        <v>13</v>
      </c>
      <c r="O467" s="22">
        <v>4.8160000000000007</v>
      </c>
      <c r="P467" s="1" t="s">
        <v>7</v>
      </c>
      <c r="Q467" s="3" t="s">
        <v>205</v>
      </c>
      <c r="R467" s="22">
        <v>5.069</v>
      </c>
      <c r="S467" s="42">
        <v>5.0750000000000002</v>
      </c>
      <c r="T467" s="42">
        <v>4.83</v>
      </c>
      <c r="U467" s="22">
        <v>4.798</v>
      </c>
      <c r="V467" s="42">
        <v>4.8680000000000003</v>
      </c>
      <c r="W467" s="42">
        <v>4.8520000000000003</v>
      </c>
      <c r="X467" s="42">
        <v>4.8550000000000004</v>
      </c>
      <c r="Y467" s="42">
        <v>4.84</v>
      </c>
      <c r="Z467" s="22">
        <v>4.8499999999999996</v>
      </c>
      <c r="AA467" s="22">
        <v>4.8449999999999998</v>
      </c>
      <c r="AB467" s="22">
        <v>5.0190000000000001</v>
      </c>
      <c r="AC467" s="22">
        <v>5.0709999999999997</v>
      </c>
      <c r="AD467" s="22">
        <v>5.0720000000000001</v>
      </c>
      <c r="AE467" s="22">
        <v>4.9130000000000003</v>
      </c>
      <c r="AF467" s="22">
        <v>5.016</v>
      </c>
      <c r="AG467" s="22">
        <v>4.3710000000000004</v>
      </c>
      <c r="AH467" s="6">
        <f t="shared" si="52"/>
        <v>4.6935000000000002</v>
      </c>
      <c r="AI467" s="9"/>
      <c r="AJ467" s="9"/>
      <c r="AK467" s="9"/>
      <c r="AL467" s="9"/>
      <c r="AM467" s="9"/>
      <c r="AN467" s="9"/>
      <c r="AO467" s="9"/>
      <c r="AP467" s="3"/>
      <c r="AQ467" s="8"/>
    </row>
    <row r="468" spans="1:43">
      <c r="A468" s="1">
        <f t="shared" si="56"/>
        <v>466</v>
      </c>
      <c r="B468" s="31"/>
      <c r="C468" s="1">
        <v>2</v>
      </c>
      <c r="D468" s="4">
        <f t="shared" si="55"/>
        <v>12</v>
      </c>
      <c r="E468" s="4" t="s">
        <v>136</v>
      </c>
      <c r="F468" s="4">
        <v>1</v>
      </c>
      <c r="G468" s="4" t="s">
        <v>11</v>
      </c>
      <c r="H468" s="4" t="s">
        <v>17</v>
      </c>
      <c r="I468" s="4"/>
      <c r="J468" s="12">
        <v>94</v>
      </c>
      <c r="K468" s="65"/>
      <c r="L468" s="38">
        <v>5.1449999999999987</v>
      </c>
      <c r="M468" s="127" t="s">
        <v>220</v>
      </c>
      <c r="N468" s="1" t="s">
        <v>13</v>
      </c>
      <c r="O468" s="22">
        <v>5.1179999999999986</v>
      </c>
      <c r="P468" s="1" t="s">
        <v>7</v>
      </c>
      <c r="Q468" s="3" t="s">
        <v>205</v>
      </c>
      <c r="R468" s="22">
        <v>5.3970000000000002</v>
      </c>
      <c r="S468" s="42">
        <v>5.4059999999999997</v>
      </c>
      <c r="T468" s="42">
        <v>5.1150000000000002</v>
      </c>
      <c r="U468" s="22">
        <v>5.1310000000000002</v>
      </c>
      <c r="V468" s="42">
        <v>5.1619999999999999</v>
      </c>
      <c r="W468" s="42">
        <v>5.157</v>
      </c>
      <c r="X468" s="42">
        <v>5.1580000000000004</v>
      </c>
      <c r="Y468" s="42">
        <v>5.1390000000000002</v>
      </c>
      <c r="Z468" s="22">
        <v>5.1470000000000002</v>
      </c>
      <c r="AA468" s="22">
        <v>5.1520000000000001</v>
      </c>
      <c r="AB468" s="22">
        <v>5.2320000000000002</v>
      </c>
      <c r="AC468" s="22">
        <v>5.2939999999999996</v>
      </c>
      <c r="AD468" s="22">
        <v>5.3310000000000004</v>
      </c>
      <c r="AE468" s="22">
        <v>5.12</v>
      </c>
      <c r="AF468" s="22">
        <v>5.3339999999999996</v>
      </c>
      <c r="AG468" s="22">
        <v>4.6580000000000004</v>
      </c>
      <c r="AH468" s="6">
        <f t="shared" si="52"/>
        <v>4.9960000000000004</v>
      </c>
      <c r="AI468" s="9"/>
      <c r="AJ468" s="9"/>
      <c r="AK468" s="9"/>
      <c r="AL468" s="9"/>
      <c r="AM468" s="9"/>
      <c r="AN468" s="9"/>
      <c r="AO468" s="9"/>
      <c r="AP468" s="3"/>
      <c r="AQ468" s="8"/>
    </row>
    <row r="469" spans="1:43">
      <c r="A469" s="1">
        <f t="shared" si="56"/>
        <v>467</v>
      </c>
      <c r="B469" s="31"/>
      <c r="C469" s="1">
        <v>2</v>
      </c>
      <c r="D469" s="4">
        <f t="shared" si="55"/>
        <v>12</v>
      </c>
      <c r="E469" s="4" t="s">
        <v>246</v>
      </c>
      <c r="F469" s="4">
        <v>3</v>
      </c>
      <c r="G469" s="4" t="s">
        <v>11</v>
      </c>
      <c r="H469" s="4" t="s">
        <v>17</v>
      </c>
      <c r="I469" s="4"/>
      <c r="J469" s="5">
        <v>98.9</v>
      </c>
      <c r="K469" s="65"/>
      <c r="L469" s="38">
        <v>3.4659999999999997</v>
      </c>
      <c r="M469" s="127" t="s">
        <v>220</v>
      </c>
      <c r="N469" s="1" t="s">
        <v>13</v>
      </c>
      <c r="O469" s="22">
        <v>3.4820000000000002</v>
      </c>
      <c r="P469" s="1" t="s">
        <v>7</v>
      </c>
      <c r="Q469" s="3" t="s">
        <v>205</v>
      </c>
      <c r="R469" s="22">
        <v>3.74</v>
      </c>
      <c r="S469" s="42">
        <v>3.7309999999999999</v>
      </c>
      <c r="T469" s="42">
        <v>3.5459999999999998</v>
      </c>
      <c r="U469" s="22">
        <v>3.4</v>
      </c>
      <c r="V469" s="42">
        <v>3.3620000000000001</v>
      </c>
      <c r="W469" s="46"/>
      <c r="X469" s="46"/>
      <c r="Y469" s="46"/>
      <c r="Z469" s="22">
        <v>3.4470000000000001</v>
      </c>
      <c r="AA469" s="22">
        <v>3.4460000000000002</v>
      </c>
      <c r="AB469" s="22">
        <v>3.367</v>
      </c>
      <c r="AC469" s="22">
        <v>3.3769999999999998</v>
      </c>
      <c r="AD469" s="22">
        <v>3.496</v>
      </c>
      <c r="AE469" s="22">
        <v>3.298</v>
      </c>
      <c r="AF469" s="22">
        <v>3.6930000000000001</v>
      </c>
      <c r="AG469" s="22">
        <v>3.097</v>
      </c>
      <c r="AH469" s="6">
        <f t="shared" si="52"/>
        <v>3.395</v>
      </c>
      <c r="AI469" s="9"/>
      <c r="AJ469" s="9"/>
      <c r="AK469" s="9"/>
      <c r="AL469" s="9"/>
      <c r="AM469" s="9"/>
      <c r="AN469" s="9"/>
      <c r="AO469" s="9"/>
      <c r="AP469" s="3"/>
      <c r="AQ469" s="8"/>
    </row>
    <row r="470" spans="1:43">
      <c r="A470" s="1">
        <f t="shared" si="56"/>
        <v>468</v>
      </c>
      <c r="B470" s="31"/>
      <c r="C470" s="1">
        <v>2</v>
      </c>
      <c r="D470" s="4">
        <f t="shared" si="55"/>
        <v>12</v>
      </c>
      <c r="E470" s="4" t="s">
        <v>155</v>
      </c>
      <c r="F470" s="4">
        <v>3</v>
      </c>
      <c r="G470" s="4" t="s">
        <v>11</v>
      </c>
      <c r="H470" s="4" t="s">
        <v>17</v>
      </c>
      <c r="I470" s="4"/>
      <c r="J470" s="5">
        <v>98.8</v>
      </c>
      <c r="K470" s="65"/>
      <c r="L470" s="38">
        <v>4.2080000000000011</v>
      </c>
      <c r="M470" s="127" t="s">
        <v>220</v>
      </c>
      <c r="N470" s="1" t="s">
        <v>13</v>
      </c>
      <c r="O470" s="22">
        <v>4.2000000000000011</v>
      </c>
      <c r="P470" s="1" t="s">
        <v>7</v>
      </c>
      <c r="Q470" s="3" t="s">
        <v>205</v>
      </c>
      <c r="R470" s="22">
        <v>4.4359999999999999</v>
      </c>
      <c r="S470" s="42">
        <v>4.4329999999999998</v>
      </c>
      <c r="T470" s="42">
        <v>4.2290000000000001</v>
      </c>
      <c r="U470" s="22">
        <v>4.1980000000000004</v>
      </c>
      <c r="V470" s="42">
        <v>4.1740000000000004</v>
      </c>
      <c r="W470" s="46"/>
      <c r="X470" s="46"/>
      <c r="Y470" s="46"/>
      <c r="Z470" s="22">
        <v>4.218</v>
      </c>
      <c r="AA470" s="22">
        <v>4.2060000000000004</v>
      </c>
      <c r="AB470" s="22">
        <v>4.4720000000000004</v>
      </c>
      <c r="AC470" s="22">
        <v>4.5170000000000003</v>
      </c>
      <c r="AD470" s="22">
        <v>4.4870000000000001</v>
      </c>
      <c r="AE470" s="22">
        <v>4.3860000000000001</v>
      </c>
      <c r="AF470" s="22">
        <v>4.3860000000000001</v>
      </c>
      <c r="AG470" s="22">
        <v>3.7869999999999999</v>
      </c>
      <c r="AH470" s="6">
        <f t="shared" si="52"/>
        <v>4.0865</v>
      </c>
      <c r="AI470" s="9"/>
      <c r="AJ470" s="9"/>
      <c r="AK470" s="9"/>
      <c r="AL470" s="9"/>
      <c r="AM470" s="9"/>
      <c r="AN470" s="9"/>
      <c r="AO470" s="9"/>
      <c r="AP470" s="3"/>
      <c r="AQ470" s="8"/>
    </row>
    <row r="471" spans="1:43">
      <c r="A471" s="1">
        <f t="shared" si="56"/>
        <v>469</v>
      </c>
      <c r="B471" s="31" t="s">
        <v>154</v>
      </c>
      <c r="C471" s="1">
        <v>6</v>
      </c>
      <c r="D471" s="4">
        <f t="shared" si="55"/>
        <v>69</v>
      </c>
      <c r="E471" s="4" t="s">
        <v>223</v>
      </c>
      <c r="F471" s="4">
        <v>1</v>
      </c>
      <c r="G471" s="4" t="s">
        <v>11</v>
      </c>
      <c r="H471" s="4" t="s">
        <v>17</v>
      </c>
      <c r="I471" s="4"/>
      <c r="J471" s="5">
        <v>92.2</v>
      </c>
      <c r="K471" s="64">
        <v>1.115</v>
      </c>
      <c r="L471" s="38">
        <v>5.3410000000000011</v>
      </c>
      <c r="M471" s="128" t="s">
        <v>213</v>
      </c>
      <c r="N471" s="4" t="s">
        <v>13</v>
      </c>
      <c r="O471" s="54"/>
      <c r="P471" s="14"/>
      <c r="Q471" s="3" t="s">
        <v>205</v>
      </c>
      <c r="R471" s="22">
        <v>5.3109999999999999</v>
      </c>
      <c r="S471" s="22">
        <v>5.21</v>
      </c>
      <c r="T471" s="22">
        <v>5.4109999999999996</v>
      </c>
      <c r="U471" s="22">
        <v>5.431</v>
      </c>
      <c r="V471" s="22">
        <v>5.47</v>
      </c>
      <c r="W471" s="22">
        <v>5.335</v>
      </c>
      <c r="X471" s="22">
        <v>5.327</v>
      </c>
      <c r="Y471" s="22">
        <v>5.3630000000000004</v>
      </c>
      <c r="Z471" s="6">
        <v>5.3360000000000003</v>
      </c>
      <c r="AA471" s="46"/>
      <c r="AB471" s="22">
        <v>5.3970000000000002</v>
      </c>
      <c r="AC471" s="22">
        <v>5.4480000000000004</v>
      </c>
      <c r="AD471" s="22">
        <v>5.3689999999999998</v>
      </c>
      <c r="AE471" s="22">
        <v>5.2329999999999997</v>
      </c>
      <c r="AF471" s="22">
        <v>5.157</v>
      </c>
      <c r="AG471" s="22">
        <v>5.1239999999999997</v>
      </c>
      <c r="AH471" s="6">
        <f t="shared" si="52"/>
        <v>5.1404999999999994</v>
      </c>
      <c r="AI471" s="9"/>
      <c r="AJ471" s="9"/>
      <c r="AK471" s="9"/>
      <c r="AL471" s="9"/>
      <c r="AM471" s="9"/>
      <c r="AN471" s="9"/>
      <c r="AO471" s="9"/>
      <c r="AP471" s="3"/>
      <c r="AQ471" s="8"/>
    </row>
    <row r="472" spans="1:43">
      <c r="A472" s="1">
        <f t="shared" si="56"/>
        <v>470</v>
      </c>
      <c r="B472" s="31"/>
      <c r="C472" s="1">
        <v>6</v>
      </c>
      <c r="D472" s="4">
        <f t="shared" si="55"/>
        <v>69</v>
      </c>
      <c r="E472" s="4" t="s">
        <v>120</v>
      </c>
      <c r="F472" s="4">
        <v>1</v>
      </c>
      <c r="G472" s="4" t="s">
        <v>11</v>
      </c>
      <c r="H472" s="4" t="s">
        <v>17</v>
      </c>
      <c r="I472" s="4" t="s">
        <v>320</v>
      </c>
      <c r="J472" s="5">
        <v>65.3</v>
      </c>
      <c r="K472" s="65"/>
      <c r="L472" s="45">
        <v>5.4349999999999996</v>
      </c>
      <c r="M472" s="128" t="s">
        <v>568</v>
      </c>
      <c r="N472" s="10" t="s">
        <v>111</v>
      </c>
      <c r="O472" s="54"/>
      <c r="P472" s="14"/>
      <c r="Q472" s="3" t="s">
        <v>205</v>
      </c>
      <c r="R472" s="22">
        <v>6.7729999999999997</v>
      </c>
      <c r="S472" s="22">
        <v>6.4630000000000001</v>
      </c>
      <c r="T472" s="22">
        <v>6.6520000000000001</v>
      </c>
      <c r="U472" s="46"/>
      <c r="V472" s="22">
        <v>6.5709999999999997</v>
      </c>
      <c r="W472" s="22">
        <v>6.2690000000000001</v>
      </c>
      <c r="X472" s="22">
        <v>6.149</v>
      </c>
      <c r="Y472" s="22">
        <v>5.9109999999999996</v>
      </c>
      <c r="Z472" s="6">
        <v>5.7469999999999999</v>
      </c>
      <c r="AA472" s="46"/>
      <c r="AB472" s="22">
        <v>6.8449999999999998</v>
      </c>
      <c r="AC472" s="22">
        <v>6.8159999999999998</v>
      </c>
      <c r="AD472" s="22">
        <v>6.7030000000000003</v>
      </c>
      <c r="AE472" s="22">
        <v>6.6760000000000002</v>
      </c>
      <c r="AF472" s="22">
        <v>6.5250000000000004</v>
      </c>
      <c r="AG472" s="22">
        <v>4.6609999999999996</v>
      </c>
      <c r="AH472" s="6">
        <f t="shared" si="52"/>
        <v>5.593</v>
      </c>
      <c r="AI472" s="9"/>
      <c r="AJ472" s="9"/>
      <c r="AK472" s="9"/>
      <c r="AL472" s="9"/>
      <c r="AM472" s="9"/>
      <c r="AN472" s="9"/>
      <c r="AO472" s="9"/>
      <c r="AP472" s="3"/>
      <c r="AQ472" s="8"/>
    </row>
    <row r="473" spans="1:43">
      <c r="A473" s="1">
        <f t="shared" si="56"/>
        <v>471</v>
      </c>
      <c r="B473" s="31"/>
      <c r="C473" s="1">
        <v>6</v>
      </c>
      <c r="D473" s="4">
        <f t="shared" si="55"/>
        <v>69</v>
      </c>
      <c r="E473" s="4" t="s">
        <v>150</v>
      </c>
      <c r="F473" s="4">
        <v>1</v>
      </c>
      <c r="G473" s="4" t="s">
        <v>14</v>
      </c>
      <c r="H473" s="4" t="s">
        <v>22</v>
      </c>
      <c r="I473" s="4"/>
      <c r="J473" s="5">
        <v>93.6</v>
      </c>
      <c r="K473" s="64">
        <v>8.9999999999999993E-3</v>
      </c>
      <c r="L473" s="38">
        <v>5.793000000000001</v>
      </c>
      <c r="M473" s="128" t="s">
        <v>213</v>
      </c>
      <c r="N473" s="1" t="s">
        <v>13</v>
      </c>
      <c r="O473" s="54"/>
      <c r="P473" s="14"/>
      <c r="Q473" s="3" t="s">
        <v>205</v>
      </c>
      <c r="R473" s="22">
        <v>5.798</v>
      </c>
      <c r="S473" s="22">
        <v>5.702</v>
      </c>
      <c r="T473" s="22">
        <v>5.9530000000000003</v>
      </c>
      <c r="U473" s="22">
        <v>5.88</v>
      </c>
      <c r="V473" s="22">
        <v>5.8540000000000001</v>
      </c>
      <c r="W473" s="22">
        <v>5.7889999999999997</v>
      </c>
      <c r="X473" s="22">
        <v>5.7930000000000001</v>
      </c>
      <c r="Y473" s="22">
        <v>5.7990000000000004</v>
      </c>
      <c r="Z473" s="6">
        <v>5.7809999999999997</v>
      </c>
      <c r="AA473" s="46"/>
      <c r="AB473" s="22">
        <v>6.0279999999999996</v>
      </c>
      <c r="AC473" s="22">
        <v>5.976</v>
      </c>
      <c r="AD473" s="22">
        <v>5.8840000000000003</v>
      </c>
      <c r="AE473" s="22">
        <v>5.9279999999999999</v>
      </c>
      <c r="AF473" s="22">
        <v>5.766</v>
      </c>
      <c r="AG473" s="22">
        <v>5.5549999999999997</v>
      </c>
      <c r="AH473" s="6">
        <f t="shared" si="52"/>
        <v>5.6604999999999999</v>
      </c>
      <c r="AI473" s="9"/>
      <c r="AJ473" s="9"/>
      <c r="AK473" s="9"/>
      <c r="AL473" s="9"/>
      <c r="AM473" s="9"/>
      <c r="AN473" s="9"/>
      <c r="AO473" s="9"/>
      <c r="AP473" s="3"/>
      <c r="AQ473" s="8"/>
    </row>
    <row r="474" spans="1:43">
      <c r="A474" s="1">
        <f t="shared" si="56"/>
        <v>472</v>
      </c>
      <c r="B474" s="31"/>
      <c r="C474" s="1">
        <v>6</v>
      </c>
      <c r="D474" s="4">
        <f t="shared" si="55"/>
        <v>69</v>
      </c>
      <c r="E474" s="4" t="s">
        <v>219</v>
      </c>
      <c r="F474" s="4">
        <v>1</v>
      </c>
      <c r="G474" s="4" t="s">
        <v>14</v>
      </c>
      <c r="H474" s="4" t="s">
        <v>23</v>
      </c>
      <c r="I474" s="4"/>
      <c r="J474" s="5">
        <v>93.5</v>
      </c>
      <c r="K474" s="65"/>
      <c r="L474" s="38">
        <v>5.93</v>
      </c>
      <c r="M474" s="128" t="s">
        <v>213</v>
      </c>
      <c r="N474" s="1" t="s">
        <v>13</v>
      </c>
      <c r="O474" s="54"/>
      <c r="P474" s="14"/>
      <c r="Q474" s="3" t="s">
        <v>205</v>
      </c>
      <c r="R474" s="22">
        <v>5.9390000000000001</v>
      </c>
      <c r="S474" s="22">
        <v>5.8449999999999998</v>
      </c>
      <c r="T474" s="22">
        <v>6.0869999999999997</v>
      </c>
      <c r="U474" s="22">
        <v>6.1070000000000002</v>
      </c>
      <c r="V474" s="22">
        <v>5.9969999999999999</v>
      </c>
      <c r="W474" s="22">
        <v>5.9260000000000002</v>
      </c>
      <c r="X474" s="22">
        <v>5.9290000000000003</v>
      </c>
      <c r="Y474" s="22">
        <v>5.9379999999999997</v>
      </c>
      <c r="Z474" s="6">
        <v>5.9169999999999998</v>
      </c>
      <c r="AA474" s="46"/>
      <c r="AB474" s="22">
        <v>6.2039999999999997</v>
      </c>
      <c r="AC474" s="22">
        <v>6.1550000000000002</v>
      </c>
      <c r="AD474" s="22">
        <v>6.0510000000000002</v>
      </c>
      <c r="AE474" s="22">
        <v>6.101</v>
      </c>
      <c r="AF474" s="22">
        <v>5.9089999999999998</v>
      </c>
      <c r="AG474" s="22">
        <v>5.6970000000000001</v>
      </c>
      <c r="AH474" s="6">
        <f t="shared" si="52"/>
        <v>5.8029999999999999</v>
      </c>
      <c r="AI474" s="9"/>
      <c r="AJ474" s="9"/>
      <c r="AK474" s="9"/>
      <c r="AL474" s="9"/>
      <c r="AM474" s="9"/>
      <c r="AN474" s="9"/>
      <c r="AO474" s="9"/>
      <c r="AP474" s="3"/>
      <c r="AQ474" s="8"/>
    </row>
    <row r="475" spans="1:43">
      <c r="A475" s="1">
        <f t="shared" si="56"/>
        <v>473</v>
      </c>
      <c r="B475" s="31"/>
      <c r="C475" s="1">
        <v>6</v>
      </c>
      <c r="D475" s="4">
        <f t="shared" si="55"/>
        <v>69</v>
      </c>
      <c r="E475" s="4" t="s">
        <v>177</v>
      </c>
      <c r="F475" s="4">
        <v>3</v>
      </c>
      <c r="G475" s="4" t="s">
        <v>11</v>
      </c>
      <c r="H475" s="4" t="s">
        <v>17</v>
      </c>
      <c r="I475" s="4"/>
      <c r="J475" s="5">
        <v>97.9</v>
      </c>
      <c r="K475" s="65"/>
      <c r="L475" s="38">
        <v>2.734</v>
      </c>
      <c r="M475" s="128" t="s">
        <v>113</v>
      </c>
      <c r="N475" s="1" t="s">
        <v>13</v>
      </c>
      <c r="O475" s="54"/>
      <c r="P475" s="14"/>
      <c r="Q475" s="3" t="s">
        <v>205</v>
      </c>
      <c r="R475" s="22">
        <v>2.9780000000000002</v>
      </c>
      <c r="S475" s="22">
        <v>2.839</v>
      </c>
      <c r="T475" s="22">
        <v>2.8290000000000002</v>
      </c>
      <c r="U475" s="22">
        <v>2.5</v>
      </c>
      <c r="V475" s="22">
        <v>2.6760000000000002</v>
      </c>
      <c r="W475" s="46"/>
      <c r="X475" s="46"/>
      <c r="Y475" s="46"/>
      <c r="Z475" s="6">
        <v>2.734</v>
      </c>
      <c r="AA475" s="46"/>
      <c r="AB475" s="22">
        <v>2.9780000000000002</v>
      </c>
      <c r="AC475" s="22">
        <v>2.9780000000000002</v>
      </c>
      <c r="AD475" s="22">
        <v>2.9329999999999998</v>
      </c>
      <c r="AE475" s="22">
        <v>2.859</v>
      </c>
      <c r="AF475" s="22">
        <v>2.855</v>
      </c>
      <c r="AG475" s="22">
        <v>2.4449999999999998</v>
      </c>
      <c r="AH475" s="6">
        <f t="shared" si="52"/>
        <v>2.65</v>
      </c>
      <c r="AI475" s="9"/>
      <c r="AJ475" s="9"/>
      <c r="AK475" s="9"/>
      <c r="AL475" s="9"/>
      <c r="AM475" s="9"/>
      <c r="AN475" s="9"/>
      <c r="AO475" s="9"/>
      <c r="AP475" s="3"/>
      <c r="AQ475" s="8"/>
    </row>
    <row r="476" spans="1:43">
      <c r="A476" s="1">
        <f t="shared" si="56"/>
        <v>474</v>
      </c>
      <c r="B476" s="31"/>
      <c r="C476" s="1">
        <v>6</v>
      </c>
      <c r="D476" s="4">
        <f t="shared" si="55"/>
        <v>69</v>
      </c>
      <c r="E476" s="4" t="s">
        <v>169</v>
      </c>
      <c r="F476" s="4">
        <v>3</v>
      </c>
      <c r="G476" s="4" t="s">
        <v>11</v>
      </c>
      <c r="H476" s="4" t="s">
        <v>17</v>
      </c>
      <c r="I476" s="4"/>
      <c r="J476" s="5">
        <v>98.3</v>
      </c>
      <c r="K476" s="65"/>
      <c r="L476" s="38">
        <v>4.3640000000000017</v>
      </c>
      <c r="M476" s="128" t="s">
        <v>113</v>
      </c>
      <c r="N476" s="1" t="s">
        <v>13</v>
      </c>
      <c r="O476" s="54"/>
      <c r="P476" s="14"/>
      <c r="Q476" s="3" t="s">
        <v>205</v>
      </c>
      <c r="R476" s="22">
        <v>4.5270000000000001</v>
      </c>
      <c r="S476" s="22">
        <v>4.46</v>
      </c>
      <c r="T476" s="22">
        <v>4.3650000000000002</v>
      </c>
      <c r="U476" s="22">
        <v>4.1500000000000004</v>
      </c>
      <c r="V476" s="22">
        <v>4.32</v>
      </c>
      <c r="W476" s="46"/>
      <c r="X476" s="46"/>
      <c r="Y476" s="46"/>
      <c r="Z476" s="6">
        <v>4.3630000000000004</v>
      </c>
      <c r="AA476" s="46"/>
      <c r="AB476" s="22">
        <v>4.4260000000000002</v>
      </c>
      <c r="AC476" s="22">
        <v>4.4279999999999999</v>
      </c>
      <c r="AD476" s="22">
        <v>4.4390000000000001</v>
      </c>
      <c r="AE476" s="22">
        <v>4.3230000000000004</v>
      </c>
      <c r="AF476" s="22">
        <v>4.4450000000000003</v>
      </c>
      <c r="AG476" s="22">
        <v>4.0709999999999997</v>
      </c>
      <c r="AH476" s="6">
        <f t="shared" si="52"/>
        <v>4.258</v>
      </c>
      <c r="AI476" s="9"/>
      <c r="AJ476" s="9"/>
      <c r="AK476" s="9"/>
      <c r="AL476" s="9"/>
      <c r="AM476" s="9"/>
      <c r="AN476" s="9"/>
      <c r="AO476" s="9"/>
      <c r="AP476" s="3"/>
      <c r="AQ476" s="8"/>
    </row>
    <row r="477" spans="1:43">
      <c r="A477" s="1">
        <f t="shared" si="56"/>
        <v>475</v>
      </c>
      <c r="B477" s="31" t="s">
        <v>287</v>
      </c>
      <c r="C477" s="1">
        <v>2</v>
      </c>
      <c r="D477" s="4">
        <f t="shared" si="55"/>
        <v>12</v>
      </c>
      <c r="E477" s="4" t="s">
        <v>242</v>
      </c>
      <c r="F477" s="4">
        <v>1</v>
      </c>
      <c r="G477" s="4" t="s">
        <v>11</v>
      </c>
      <c r="H477" s="4" t="s">
        <v>12</v>
      </c>
      <c r="I477" s="4"/>
      <c r="J477" s="5">
        <v>91.2</v>
      </c>
      <c r="K477" s="64">
        <v>0.185</v>
      </c>
      <c r="L477" s="38">
        <v>8.1140000000000008</v>
      </c>
      <c r="M477" s="127" t="s">
        <v>220</v>
      </c>
      <c r="N477" s="1" t="s">
        <v>13</v>
      </c>
      <c r="O477" s="22">
        <v>8.1</v>
      </c>
      <c r="P477" s="1" t="s">
        <v>7</v>
      </c>
      <c r="Q477" s="3"/>
      <c r="R477" s="22">
        <v>8.5329999999999995</v>
      </c>
      <c r="S477" s="22">
        <v>8.3559999999999999</v>
      </c>
      <c r="T477" s="22">
        <v>8.2569999999999997</v>
      </c>
      <c r="U477" s="22">
        <v>8.077</v>
      </c>
      <c r="V477" s="22">
        <v>8.2530000000000001</v>
      </c>
      <c r="W477" s="22">
        <v>8.1660000000000004</v>
      </c>
      <c r="X477" s="22">
        <v>8.1660000000000004</v>
      </c>
      <c r="Y477" s="22">
        <v>8.1660000000000004</v>
      </c>
      <c r="Z477" s="22">
        <v>8.141</v>
      </c>
      <c r="AA477" s="22">
        <v>8.1370000000000005</v>
      </c>
      <c r="AB477" s="22">
        <v>8.532</v>
      </c>
      <c r="AC477" s="22">
        <v>8.4169999999999998</v>
      </c>
      <c r="AD477" s="22">
        <v>8.3970000000000002</v>
      </c>
      <c r="AE477" s="22">
        <v>8.391</v>
      </c>
      <c r="AF477" s="22">
        <v>8.4730000000000008</v>
      </c>
      <c r="AG477" s="22">
        <v>7.8819999999999997</v>
      </c>
      <c r="AH477" s="6">
        <f t="shared" si="52"/>
        <v>8.1775000000000002</v>
      </c>
      <c r="AI477" s="9"/>
      <c r="AJ477" s="9"/>
      <c r="AK477" s="9"/>
      <c r="AL477" s="9"/>
      <c r="AM477" s="9"/>
      <c r="AN477" s="9"/>
      <c r="AO477" s="9"/>
      <c r="AP477" s="3"/>
      <c r="AQ477" s="8"/>
    </row>
    <row r="478" spans="1:43">
      <c r="A478" s="1">
        <f t="shared" si="56"/>
        <v>476</v>
      </c>
      <c r="B478" s="31"/>
      <c r="C478" s="1">
        <v>2</v>
      </c>
      <c r="D478" s="4">
        <f t="shared" si="55"/>
        <v>12</v>
      </c>
      <c r="E478" s="4" t="s">
        <v>244</v>
      </c>
      <c r="F478" s="4">
        <v>1</v>
      </c>
      <c r="G478" s="4" t="s">
        <v>14</v>
      </c>
      <c r="H478" s="4" t="s">
        <v>15</v>
      </c>
      <c r="I478" s="4"/>
      <c r="J478" s="5">
        <v>87.8</v>
      </c>
      <c r="K478" s="64">
        <v>1.7000000000000001E-2</v>
      </c>
      <c r="L478" s="38">
        <v>8.42</v>
      </c>
      <c r="M478" s="127" t="s">
        <v>220</v>
      </c>
      <c r="N478" s="1" t="s">
        <v>13</v>
      </c>
      <c r="O478" s="22">
        <v>8.4540000000000006</v>
      </c>
      <c r="P478" s="1" t="s">
        <v>7</v>
      </c>
      <c r="Q478" s="3"/>
      <c r="R478" s="22">
        <v>9.0519999999999996</v>
      </c>
      <c r="S478" s="22">
        <v>8.5</v>
      </c>
      <c r="T478" s="22">
        <v>8.8469999999999995</v>
      </c>
      <c r="U478" s="22">
        <v>8.7690000000000001</v>
      </c>
      <c r="V478" s="22">
        <v>8.7189999999999994</v>
      </c>
      <c r="W478" s="22">
        <v>8.5039999999999996</v>
      </c>
      <c r="X478" s="22">
        <v>8.5139999999999993</v>
      </c>
      <c r="Y478" s="22">
        <v>8.5419999999999998</v>
      </c>
      <c r="Z478" s="22">
        <v>8.4570000000000007</v>
      </c>
      <c r="AA478" s="22">
        <v>8.4649999999999999</v>
      </c>
      <c r="AB478" s="22">
        <v>9.2629999999999999</v>
      </c>
      <c r="AC478" s="22">
        <v>8.9670000000000005</v>
      </c>
      <c r="AD478" s="22">
        <v>8.8149999999999995</v>
      </c>
      <c r="AE478" s="22">
        <v>9.11</v>
      </c>
      <c r="AF478" s="22">
        <v>8.8059999999999992</v>
      </c>
      <c r="AG478" s="22">
        <v>8.4209999999999994</v>
      </c>
      <c r="AH478" s="6">
        <f t="shared" si="52"/>
        <v>8.6134999999999984</v>
      </c>
      <c r="AI478" s="9"/>
      <c r="AJ478" s="9"/>
      <c r="AK478" s="9"/>
      <c r="AL478" s="9"/>
      <c r="AM478" s="9"/>
      <c r="AN478" s="9"/>
      <c r="AO478" s="9"/>
      <c r="AP478" s="3"/>
      <c r="AQ478" s="8"/>
    </row>
    <row r="479" spans="1:43">
      <c r="A479" s="1">
        <f t="shared" si="56"/>
        <v>477</v>
      </c>
      <c r="B479" s="31"/>
      <c r="C479" s="1">
        <v>2</v>
      </c>
      <c r="D479" s="4">
        <f t="shared" si="55"/>
        <v>12</v>
      </c>
      <c r="E479" s="4" t="s">
        <v>243</v>
      </c>
      <c r="F479" s="4">
        <v>1</v>
      </c>
      <c r="G479" s="4" t="s">
        <v>11</v>
      </c>
      <c r="H479" s="4" t="s">
        <v>17</v>
      </c>
      <c r="I479" s="4"/>
      <c r="J479" s="5">
        <v>94.1</v>
      </c>
      <c r="K479" s="65"/>
      <c r="L479" s="38">
        <v>8.6270000000000007</v>
      </c>
      <c r="M479" s="127" t="s">
        <v>220</v>
      </c>
      <c r="N479" s="1" t="s">
        <v>13</v>
      </c>
      <c r="O479" s="22">
        <v>8.6270000000000007</v>
      </c>
      <c r="P479" s="1" t="s">
        <v>7</v>
      </c>
      <c r="Q479" s="3"/>
      <c r="R479" s="22">
        <v>8.8719999999999999</v>
      </c>
      <c r="S479" s="22">
        <v>8.9309999999999992</v>
      </c>
      <c r="T479" s="22">
        <v>8.6289999999999996</v>
      </c>
      <c r="U479" s="22">
        <v>8.5540000000000003</v>
      </c>
      <c r="V479" s="22">
        <v>8.6829999999999998</v>
      </c>
      <c r="W479" s="22">
        <v>8.6630000000000003</v>
      </c>
      <c r="X479" s="22">
        <v>8.6620000000000008</v>
      </c>
      <c r="Y479" s="22">
        <v>8.6620000000000008</v>
      </c>
      <c r="Z479" s="22">
        <v>8.6679999999999993</v>
      </c>
      <c r="AA479" s="22">
        <v>8.64</v>
      </c>
      <c r="AB479" s="22">
        <v>8.7919999999999998</v>
      </c>
      <c r="AC479" s="22">
        <v>8.91</v>
      </c>
      <c r="AD479" s="22">
        <v>8.9169999999999998</v>
      </c>
      <c r="AE479" s="22">
        <v>8.6539999999999999</v>
      </c>
      <c r="AF479" s="22">
        <v>8.798</v>
      </c>
      <c r="AG479" s="22">
        <v>8.34</v>
      </c>
      <c r="AH479" s="6">
        <f t="shared" si="52"/>
        <v>8.5689999999999991</v>
      </c>
      <c r="AI479" s="9"/>
      <c r="AJ479" s="9"/>
      <c r="AK479" s="9"/>
      <c r="AL479" s="9"/>
      <c r="AM479" s="9"/>
      <c r="AN479" s="9"/>
      <c r="AO479" s="9"/>
      <c r="AP479" s="3"/>
      <c r="AQ479" s="8"/>
    </row>
    <row r="480" spans="1:43">
      <c r="A480" s="1">
        <f t="shared" si="56"/>
        <v>478</v>
      </c>
      <c r="B480" s="31"/>
      <c r="C480" s="1">
        <v>2</v>
      </c>
      <c r="D480" s="4">
        <f t="shared" si="55"/>
        <v>12</v>
      </c>
      <c r="E480" s="4" t="s">
        <v>136</v>
      </c>
      <c r="F480" s="4">
        <v>1</v>
      </c>
      <c r="G480" s="4" t="s">
        <v>11</v>
      </c>
      <c r="H480" s="4" t="s">
        <v>17</v>
      </c>
      <c r="I480" s="4"/>
      <c r="J480" s="5">
        <v>92.6</v>
      </c>
      <c r="K480" s="65"/>
      <c r="L480" s="38">
        <v>8.7949999999999999</v>
      </c>
      <c r="M480" s="127" t="s">
        <v>220</v>
      </c>
      <c r="N480" s="1" t="s">
        <v>13</v>
      </c>
      <c r="O480" s="22">
        <v>8.7910000000000004</v>
      </c>
      <c r="P480" s="1" t="s">
        <v>7</v>
      </c>
      <c r="Q480" s="3"/>
      <c r="R480" s="22">
        <v>9.16</v>
      </c>
      <c r="S480" s="22">
        <v>9.2270000000000003</v>
      </c>
      <c r="T480" s="22">
        <v>8.7949999999999999</v>
      </c>
      <c r="U480" s="22">
        <v>8.7479999999999993</v>
      </c>
      <c r="V480" s="22">
        <v>8.8450000000000006</v>
      </c>
      <c r="W480" s="22">
        <v>8.8309999999999995</v>
      </c>
      <c r="X480" s="22">
        <v>8.83</v>
      </c>
      <c r="Y480" s="22">
        <v>8.827</v>
      </c>
      <c r="Z480" s="22">
        <v>8.8279999999999994</v>
      </c>
      <c r="AA480" s="22">
        <v>8.8070000000000004</v>
      </c>
      <c r="AB480" s="22">
        <v>8.9570000000000007</v>
      </c>
      <c r="AC480" s="22">
        <v>9.0920000000000005</v>
      </c>
      <c r="AD480" s="22">
        <v>9.1370000000000005</v>
      </c>
      <c r="AE480" s="22">
        <v>8.8089999999999993</v>
      </c>
      <c r="AF480" s="22">
        <v>9.0719999999999992</v>
      </c>
      <c r="AG480" s="22">
        <v>8.4719999999999995</v>
      </c>
      <c r="AH480" s="6">
        <f t="shared" si="52"/>
        <v>8.7719999999999985</v>
      </c>
      <c r="AI480" s="9"/>
      <c r="AJ480" s="9"/>
      <c r="AK480" s="9"/>
      <c r="AL480" s="9"/>
      <c r="AM480" s="9"/>
      <c r="AN480" s="9"/>
      <c r="AO480" s="9"/>
      <c r="AP480" s="3"/>
      <c r="AQ480" s="8"/>
    </row>
    <row r="481" spans="1:43">
      <c r="A481" s="1">
        <f t="shared" si="56"/>
        <v>479</v>
      </c>
      <c r="B481" s="31"/>
      <c r="C481" s="1">
        <v>2</v>
      </c>
      <c r="D481" s="4">
        <f t="shared" si="55"/>
        <v>12</v>
      </c>
      <c r="E481" s="4" t="s">
        <v>244</v>
      </c>
      <c r="F481" s="4">
        <v>1</v>
      </c>
      <c r="G481" s="4" t="s">
        <v>14</v>
      </c>
      <c r="H481" s="4" t="s">
        <v>170</v>
      </c>
      <c r="I481" s="4"/>
      <c r="J481" s="5">
        <v>90.1</v>
      </c>
      <c r="K481" s="64">
        <v>0.17100000000000001</v>
      </c>
      <c r="L481" s="38">
        <v>9.6579999999999995</v>
      </c>
      <c r="M481" s="127" t="s">
        <v>220</v>
      </c>
      <c r="N481" s="1" t="s">
        <v>13</v>
      </c>
      <c r="O481" s="22">
        <v>9.5519999999999996</v>
      </c>
      <c r="P481" s="1" t="s">
        <v>7</v>
      </c>
      <c r="Q481" s="3"/>
      <c r="R481" s="22">
        <v>9.9329999999999998</v>
      </c>
      <c r="S481" s="22">
        <v>9.8469999999999995</v>
      </c>
      <c r="T481" s="22">
        <v>9.9420000000000002</v>
      </c>
      <c r="U481" s="22">
        <v>9.8350000000000009</v>
      </c>
      <c r="V481" s="22">
        <v>9.8989999999999991</v>
      </c>
      <c r="W481" s="22">
        <v>9.7110000000000003</v>
      </c>
      <c r="X481" s="22">
        <v>9.7170000000000005</v>
      </c>
      <c r="Y481" s="22">
        <v>9.7370000000000001</v>
      </c>
      <c r="Z481" s="22">
        <v>9.6750000000000007</v>
      </c>
      <c r="AA481" s="22">
        <v>9.69</v>
      </c>
      <c r="AB481" s="22">
        <v>10.25</v>
      </c>
      <c r="AC481" s="22">
        <v>10.047000000000001</v>
      </c>
      <c r="AD481" s="22">
        <v>9.9819999999999993</v>
      </c>
      <c r="AE481" s="22">
        <v>10.122</v>
      </c>
      <c r="AF481" s="22">
        <v>10.06</v>
      </c>
      <c r="AG481" s="22">
        <v>9.5559999999999992</v>
      </c>
      <c r="AH481" s="6">
        <f t="shared" si="52"/>
        <v>9.8079999999999998</v>
      </c>
      <c r="AI481" s="9"/>
      <c r="AJ481" s="9"/>
      <c r="AK481" s="9"/>
      <c r="AL481" s="9"/>
      <c r="AM481" s="9"/>
      <c r="AN481" s="9"/>
      <c r="AO481" s="9"/>
      <c r="AP481" s="3"/>
      <c r="AQ481" s="8"/>
    </row>
    <row r="482" spans="1:43">
      <c r="A482" s="1">
        <f t="shared" si="56"/>
        <v>480</v>
      </c>
      <c r="B482" s="31"/>
      <c r="C482" s="1">
        <v>2</v>
      </c>
      <c r="D482" s="4">
        <f t="shared" si="55"/>
        <v>12</v>
      </c>
      <c r="E482" s="4" t="s">
        <v>245</v>
      </c>
      <c r="F482" s="4">
        <v>3</v>
      </c>
      <c r="G482" s="4" t="s">
        <v>11</v>
      </c>
      <c r="H482" s="4" t="s">
        <v>12</v>
      </c>
      <c r="I482" s="4"/>
      <c r="J482" s="5">
        <v>98.5</v>
      </c>
      <c r="K482" s="65"/>
      <c r="L482" s="38">
        <v>6.0460000000000003</v>
      </c>
      <c r="M482" s="127" t="s">
        <v>220</v>
      </c>
      <c r="N482" s="1" t="s">
        <v>13</v>
      </c>
      <c r="O482" s="22">
        <v>6.0469999999999997</v>
      </c>
      <c r="P482" s="1" t="s">
        <v>7</v>
      </c>
      <c r="Q482" s="3"/>
      <c r="R482" s="22">
        <v>6.3040000000000003</v>
      </c>
      <c r="S482" s="22">
        <v>6.1959999999999997</v>
      </c>
      <c r="T482" s="22">
        <v>6.069</v>
      </c>
      <c r="U482" s="22">
        <v>5.968</v>
      </c>
      <c r="V482" s="22">
        <v>6.1280000000000001</v>
      </c>
      <c r="W482" s="46"/>
      <c r="X482" s="46"/>
      <c r="Y482" s="46"/>
      <c r="Z482" s="6">
        <v>6.0759999999999996</v>
      </c>
      <c r="AA482" s="6">
        <v>6.0659999999999998</v>
      </c>
      <c r="AB482" s="22">
        <v>6.4260000000000002</v>
      </c>
      <c r="AC482" s="22">
        <v>6.3680000000000003</v>
      </c>
      <c r="AD482" s="22">
        <v>6.3109999999999999</v>
      </c>
      <c r="AE482" s="22">
        <v>6.3330000000000002</v>
      </c>
      <c r="AF482" s="22">
        <v>6.2480000000000002</v>
      </c>
      <c r="AG482" s="22">
        <v>5.7789999999999999</v>
      </c>
      <c r="AH482" s="6">
        <f t="shared" si="52"/>
        <v>6.0135000000000005</v>
      </c>
      <c r="AI482" s="9"/>
      <c r="AJ482" s="9"/>
      <c r="AK482" s="9"/>
      <c r="AL482" s="9"/>
      <c r="AM482" s="9"/>
      <c r="AN482" s="9"/>
      <c r="AO482" s="9"/>
      <c r="AP482" s="3"/>
      <c r="AQ482" s="8"/>
    </row>
    <row r="483" spans="1:43">
      <c r="A483" s="1">
        <f t="shared" si="56"/>
        <v>481</v>
      </c>
      <c r="B483" s="31"/>
      <c r="C483" s="1">
        <v>2</v>
      </c>
      <c r="D483" s="4">
        <f t="shared" si="55"/>
        <v>12</v>
      </c>
      <c r="E483" s="4" t="s">
        <v>246</v>
      </c>
      <c r="F483" s="4">
        <v>3</v>
      </c>
      <c r="G483" s="4" t="s">
        <v>11</v>
      </c>
      <c r="H483" s="4" t="s">
        <v>17</v>
      </c>
      <c r="I483" s="4"/>
      <c r="J483" s="5">
        <v>98.8</v>
      </c>
      <c r="K483" s="65"/>
      <c r="L483" s="38">
        <v>7.1859999999999999</v>
      </c>
      <c r="M483" s="127" t="s">
        <v>220</v>
      </c>
      <c r="N483" s="1" t="s">
        <v>13</v>
      </c>
      <c r="O483" s="22">
        <v>7.2130000000000001</v>
      </c>
      <c r="P483" s="1" t="s">
        <v>7</v>
      </c>
      <c r="Q483" s="3"/>
      <c r="R483" s="22">
        <v>7.423</v>
      </c>
      <c r="S483" s="22">
        <v>7.4329999999999998</v>
      </c>
      <c r="T483" s="22">
        <v>7.2220000000000004</v>
      </c>
      <c r="U483" s="22">
        <v>7.069</v>
      </c>
      <c r="V483" s="22">
        <v>7.1109999999999998</v>
      </c>
      <c r="W483" s="46"/>
      <c r="X483" s="46"/>
      <c r="Y483" s="46"/>
      <c r="Z483" s="6">
        <v>7.1870000000000003</v>
      </c>
      <c r="AA483" s="22">
        <v>7.1779999999999999</v>
      </c>
      <c r="AB483" s="22">
        <v>7.1779999999999999</v>
      </c>
      <c r="AC483" s="22">
        <v>7.2169999999999996</v>
      </c>
      <c r="AD483" s="22">
        <v>7.2919999999999998</v>
      </c>
      <c r="AE483" s="22">
        <v>7.0990000000000002</v>
      </c>
      <c r="AF483" s="22">
        <v>7.3520000000000003</v>
      </c>
      <c r="AG483" s="22">
        <v>6.9290000000000003</v>
      </c>
      <c r="AH483" s="6">
        <f t="shared" si="52"/>
        <v>7.1405000000000003</v>
      </c>
      <c r="AI483" s="9"/>
      <c r="AJ483" s="9"/>
      <c r="AK483" s="9"/>
      <c r="AL483" s="9"/>
      <c r="AM483" s="9"/>
      <c r="AN483" s="9"/>
      <c r="AO483" s="9"/>
      <c r="AP483" s="3"/>
      <c r="AQ483" s="8"/>
    </row>
    <row r="484" spans="1:43">
      <c r="A484" s="1">
        <f t="shared" si="56"/>
        <v>482</v>
      </c>
      <c r="B484" s="31"/>
      <c r="C484" s="1">
        <v>2</v>
      </c>
      <c r="D484" s="4">
        <f t="shared" si="55"/>
        <v>12</v>
      </c>
      <c r="E484" s="4" t="s">
        <v>155</v>
      </c>
      <c r="F484" s="4">
        <v>3</v>
      </c>
      <c r="G484" s="4" t="s">
        <v>11</v>
      </c>
      <c r="H484" s="4" t="s">
        <v>17</v>
      </c>
      <c r="I484" s="4"/>
      <c r="J484" s="5">
        <v>98.6</v>
      </c>
      <c r="K484" s="65"/>
      <c r="L484" s="38">
        <v>7.992</v>
      </c>
      <c r="M484" s="127" t="s">
        <v>220</v>
      </c>
      <c r="N484" s="1" t="s">
        <v>13</v>
      </c>
      <c r="O484" s="22">
        <v>7.9989999999999997</v>
      </c>
      <c r="P484" s="1" t="s">
        <v>7</v>
      </c>
      <c r="Q484" s="3"/>
      <c r="R484" s="22">
        <v>8.2100000000000009</v>
      </c>
      <c r="S484" s="22">
        <v>8.2449999999999992</v>
      </c>
      <c r="T484" s="22">
        <v>7.9880000000000004</v>
      </c>
      <c r="U484" s="22">
        <v>7.899</v>
      </c>
      <c r="V484" s="22">
        <v>7.98</v>
      </c>
      <c r="W484" s="46"/>
      <c r="X484" s="46"/>
      <c r="Y484" s="46"/>
      <c r="Z484" s="6">
        <v>8.0150000000000006</v>
      </c>
      <c r="AA484" s="6">
        <v>7.9939999999999998</v>
      </c>
      <c r="AB484" s="22">
        <v>8.2080000000000002</v>
      </c>
      <c r="AC484" s="22">
        <v>8.3059999999999992</v>
      </c>
      <c r="AD484" s="22">
        <v>8.2859999999999996</v>
      </c>
      <c r="AE484" s="22">
        <v>8.09</v>
      </c>
      <c r="AF484" s="22">
        <v>8.1370000000000005</v>
      </c>
      <c r="AG484" s="22">
        <v>7.7030000000000003</v>
      </c>
      <c r="AH484" s="6">
        <f t="shared" si="52"/>
        <v>7.92</v>
      </c>
      <c r="AI484" s="9"/>
      <c r="AJ484" s="9"/>
      <c r="AK484" s="9"/>
      <c r="AL484" s="9"/>
      <c r="AM484" s="9"/>
      <c r="AN484" s="9"/>
      <c r="AO484" s="9"/>
      <c r="AP484" s="3"/>
      <c r="AQ484" s="8"/>
    </row>
    <row r="485" spans="1:43">
      <c r="A485" s="1">
        <f t="shared" si="56"/>
        <v>483</v>
      </c>
      <c r="B485" s="31"/>
      <c r="C485" s="1">
        <v>2</v>
      </c>
      <c r="D485" s="4">
        <f t="shared" si="55"/>
        <v>12</v>
      </c>
      <c r="E485" s="4" t="s">
        <v>246</v>
      </c>
      <c r="F485" s="4">
        <v>3</v>
      </c>
      <c r="G485" s="4" t="s">
        <v>14</v>
      </c>
      <c r="H485" s="4" t="s">
        <v>15</v>
      </c>
      <c r="I485" s="4"/>
      <c r="J485" s="5">
        <v>96.3</v>
      </c>
      <c r="K485" s="65"/>
      <c r="L485" s="38">
        <v>8.343</v>
      </c>
      <c r="M485" s="127" t="s">
        <v>220</v>
      </c>
      <c r="N485" s="1" t="s">
        <v>13</v>
      </c>
      <c r="O485" s="22">
        <v>8.3770000000000007</v>
      </c>
      <c r="P485" s="1" t="s">
        <v>7</v>
      </c>
      <c r="Q485" s="3"/>
      <c r="R485" s="22">
        <v>9.2409999999999997</v>
      </c>
      <c r="S485" s="22">
        <v>8.4239999999999995</v>
      </c>
      <c r="T485" s="22">
        <v>8.75</v>
      </c>
      <c r="U485" s="22">
        <v>8.6940000000000008</v>
      </c>
      <c r="V485" s="22">
        <v>8.6180000000000003</v>
      </c>
      <c r="W485" s="46"/>
      <c r="X485" s="46"/>
      <c r="Y485" s="46"/>
      <c r="Z485" s="6">
        <v>8.3729999999999993</v>
      </c>
      <c r="AA485" s="6">
        <v>8.3849999999999998</v>
      </c>
      <c r="AB485" s="22">
        <v>9.2080000000000002</v>
      </c>
      <c r="AC485" s="22">
        <v>8.9139999999999997</v>
      </c>
      <c r="AD485" s="22">
        <v>8.7539999999999996</v>
      </c>
      <c r="AE485" s="22">
        <v>9.07</v>
      </c>
      <c r="AF485" s="22">
        <v>8.7330000000000005</v>
      </c>
      <c r="AG485" s="22">
        <v>8.3010000000000002</v>
      </c>
      <c r="AH485" s="6">
        <f t="shared" si="52"/>
        <v>8.5169999999999995</v>
      </c>
      <c r="AI485" s="9"/>
      <c r="AJ485" s="9"/>
      <c r="AK485" s="9"/>
      <c r="AL485" s="9"/>
      <c r="AM485" s="9"/>
      <c r="AN485" s="9"/>
      <c r="AO485" s="9"/>
      <c r="AP485" s="3"/>
      <c r="AQ485" s="8"/>
    </row>
    <row r="486" spans="1:43">
      <c r="A486" s="1">
        <f t="shared" si="56"/>
        <v>484</v>
      </c>
      <c r="B486" s="31"/>
      <c r="C486" s="1">
        <v>2</v>
      </c>
      <c r="D486" s="4">
        <f t="shared" si="55"/>
        <v>12</v>
      </c>
      <c r="E486" s="4" t="s">
        <v>247</v>
      </c>
      <c r="F486" s="4">
        <v>3</v>
      </c>
      <c r="G486" s="4" t="s">
        <v>11</v>
      </c>
      <c r="H486" s="4" t="s">
        <v>17</v>
      </c>
      <c r="I486" s="4"/>
      <c r="J486" s="5">
        <v>97.8</v>
      </c>
      <c r="K486" s="65"/>
      <c r="L486" s="58">
        <v>8.5129999999999999</v>
      </c>
      <c r="M486" s="127" t="s">
        <v>220</v>
      </c>
      <c r="N486" s="4" t="s">
        <v>13</v>
      </c>
      <c r="O486" s="6">
        <v>8.5169999999999995</v>
      </c>
      <c r="P486" s="4" t="s">
        <v>7</v>
      </c>
      <c r="Q486" s="3"/>
      <c r="R486" s="22">
        <v>8.8759999999999994</v>
      </c>
      <c r="S486" s="22">
        <v>8.9329999999999998</v>
      </c>
      <c r="T486" s="22">
        <v>8.5380000000000003</v>
      </c>
      <c r="U486" s="22">
        <v>8.5299999999999994</v>
      </c>
      <c r="V486" s="22">
        <v>8.5670000000000002</v>
      </c>
      <c r="W486" s="46"/>
      <c r="X486" s="46"/>
      <c r="Y486" s="46"/>
      <c r="Z486" s="6">
        <v>8.5500000000000007</v>
      </c>
      <c r="AA486" s="6">
        <v>8.5229999999999997</v>
      </c>
      <c r="AB486" s="22">
        <v>8.7989999999999995</v>
      </c>
      <c r="AC486" s="22">
        <v>8.9139999999999997</v>
      </c>
      <c r="AD486" s="22">
        <v>8.92</v>
      </c>
      <c r="AE486" s="22">
        <v>8.6620000000000008</v>
      </c>
      <c r="AF486" s="22">
        <v>8.8030000000000008</v>
      </c>
      <c r="AG486" s="22">
        <v>8.2089999999999996</v>
      </c>
      <c r="AH486" s="6">
        <f t="shared" si="52"/>
        <v>8.5060000000000002</v>
      </c>
      <c r="AI486" s="9"/>
      <c r="AJ486" s="9"/>
      <c r="AK486" s="9"/>
      <c r="AL486" s="9"/>
      <c r="AM486" s="9"/>
      <c r="AN486" s="9"/>
      <c r="AO486" s="9"/>
      <c r="AP486" s="3"/>
      <c r="AQ486" s="8"/>
    </row>
    <row r="487" spans="1:43">
      <c r="A487" s="1">
        <f t="shared" si="56"/>
        <v>485</v>
      </c>
      <c r="B487" s="31" t="s">
        <v>138</v>
      </c>
      <c r="C487" s="1">
        <v>2</v>
      </c>
      <c r="D487" s="4">
        <f t="shared" si="55"/>
        <v>12</v>
      </c>
      <c r="E487" s="4" t="s">
        <v>224</v>
      </c>
      <c r="F487" s="4">
        <v>1</v>
      </c>
      <c r="G487" s="4" t="s">
        <v>11</v>
      </c>
      <c r="H487" s="4" t="s">
        <v>12</v>
      </c>
      <c r="I487" s="4"/>
      <c r="J487" s="5">
        <v>90.9</v>
      </c>
      <c r="K487" s="63">
        <v>3.0000000000000001E-3</v>
      </c>
      <c r="L487" s="38">
        <v>2.4630000000000001</v>
      </c>
      <c r="M487" s="127" t="s">
        <v>220</v>
      </c>
      <c r="N487" s="1" t="s">
        <v>13</v>
      </c>
      <c r="O487" s="22">
        <v>2.472</v>
      </c>
      <c r="P487" s="1" t="s">
        <v>7</v>
      </c>
      <c r="Q487" s="3" t="s">
        <v>205</v>
      </c>
      <c r="R487" s="42">
        <v>2.5350000000000001</v>
      </c>
      <c r="S487" s="42">
        <v>2.4950000000000001</v>
      </c>
      <c r="T487" s="42">
        <v>2.444</v>
      </c>
      <c r="U487" s="42">
        <v>2.4500000000000002</v>
      </c>
      <c r="V487" s="42">
        <v>2.5390000000000001</v>
      </c>
      <c r="W487" s="42">
        <v>2.4820000000000002</v>
      </c>
      <c r="X487" s="42">
        <v>2.4820000000000002</v>
      </c>
      <c r="Y487" s="42">
        <v>2.4780000000000002</v>
      </c>
      <c r="Z487" s="22">
        <v>2.4649999999999999</v>
      </c>
      <c r="AA487" s="22">
        <v>2.4550000000000001</v>
      </c>
      <c r="AB487" s="22">
        <v>2.5649999999999999</v>
      </c>
      <c r="AC487" s="22">
        <v>2.68</v>
      </c>
      <c r="AD487" s="22">
        <v>2.6179999999999999</v>
      </c>
      <c r="AE487" s="22">
        <v>2.387</v>
      </c>
      <c r="AF487" s="22">
        <v>2.3530000000000002</v>
      </c>
      <c r="AG487" s="22">
        <v>2.3460000000000001</v>
      </c>
      <c r="AH487" s="6">
        <f t="shared" si="52"/>
        <v>2.3494999999999999</v>
      </c>
      <c r="AI487" s="9"/>
      <c r="AJ487" s="9"/>
      <c r="AK487" s="9"/>
      <c r="AL487" s="9"/>
      <c r="AM487" s="9"/>
      <c r="AN487" s="9"/>
      <c r="AO487" s="9"/>
      <c r="AP487" s="3"/>
      <c r="AQ487" s="8"/>
    </row>
    <row r="488" spans="1:43">
      <c r="A488" s="1">
        <f t="shared" si="56"/>
        <v>486</v>
      </c>
      <c r="B488" s="31" t="s">
        <v>139</v>
      </c>
      <c r="C488" s="1">
        <v>2</v>
      </c>
      <c r="D488" s="4">
        <f t="shared" si="55"/>
        <v>12</v>
      </c>
      <c r="E488" s="4" t="s">
        <v>224</v>
      </c>
      <c r="F488" s="4">
        <v>1</v>
      </c>
      <c r="G488" s="4" t="s">
        <v>11</v>
      </c>
      <c r="H488" s="4" t="s">
        <v>12</v>
      </c>
      <c r="I488" s="4"/>
      <c r="J488" s="5">
        <v>90.3</v>
      </c>
      <c r="K488" s="135">
        <v>5.0000000000000001E-4</v>
      </c>
      <c r="L488" s="38">
        <v>1.579</v>
      </c>
      <c r="M488" s="127" t="s">
        <v>220</v>
      </c>
      <c r="N488" s="1" t="s">
        <v>13</v>
      </c>
      <c r="O488" s="22">
        <v>1.591</v>
      </c>
      <c r="P488" s="1" t="s">
        <v>7</v>
      </c>
      <c r="Q488" s="3" t="s">
        <v>205</v>
      </c>
      <c r="R488" s="22">
        <v>1.6819999999999999</v>
      </c>
      <c r="S488" s="22">
        <v>1.6779999999999999</v>
      </c>
      <c r="T488" s="22">
        <v>1.393</v>
      </c>
      <c r="U488" s="22">
        <v>1.5549999999999999</v>
      </c>
      <c r="V488" s="22">
        <v>1.673</v>
      </c>
      <c r="W488" s="22">
        <v>1.59</v>
      </c>
      <c r="X488" s="22">
        <v>1.591</v>
      </c>
      <c r="Y488" s="22">
        <v>1.605</v>
      </c>
      <c r="Z488" s="22">
        <v>1.591</v>
      </c>
      <c r="AA488" s="22">
        <v>1.58</v>
      </c>
      <c r="AB488" s="22">
        <v>1.738</v>
      </c>
      <c r="AC488" s="22">
        <v>1.7909999999999999</v>
      </c>
      <c r="AD488" s="22">
        <v>1.7529999999999999</v>
      </c>
      <c r="AE488" s="22">
        <v>1.5960000000000001</v>
      </c>
      <c r="AF488" s="22">
        <v>1.621</v>
      </c>
      <c r="AG488" s="22">
        <v>1.3879999999999999</v>
      </c>
      <c r="AH488" s="6">
        <f t="shared" si="52"/>
        <v>1.5044999999999999</v>
      </c>
      <c r="AI488" s="9"/>
      <c r="AJ488" s="9"/>
      <c r="AK488" s="9"/>
      <c r="AL488" s="9"/>
      <c r="AM488" s="9"/>
      <c r="AN488" s="9"/>
      <c r="AO488" s="9"/>
      <c r="AP488" s="3"/>
      <c r="AQ488" s="8"/>
    </row>
    <row r="489" spans="1:43">
      <c r="A489" s="1">
        <f t="shared" si="56"/>
        <v>487</v>
      </c>
      <c r="B489" s="31" t="s">
        <v>151</v>
      </c>
      <c r="C489" s="1">
        <v>2</v>
      </c>
      <c r="D489" s="4">
        <f t="shared" si="55"/>
        <v>12</v>
      </c>
      <c r="E489" s="4" t="s">
        <v>224</v>
      </c>
      <c r="F489" s="4">
        <v>1</v>
      </c>
      <c r="G489" s="4" t="s">
        <v>11</v>
      </c>
      <c r="H489" s="4" t="s">
        <v>140</v>
      </c>
      <c r="I489" s="4"/>
      <c r="J489" s="5">
        <v>93.1</v>
      </c>
      <c r="K489" s="63">
        <v>2.4E-2</v>
      </c>
      <c r="L489" s="38">
        <v>3.0590000000000002</v>
      </c>
      <c r="M489" s="127" t="s">
        <v>220</v>
      </c>
      <c r="N489" s="1" t="s">
        <v>13</v>
      </c>
      <c r="O489" s="22">
        <v>3.056</v>
      </c>
      <c r="P489" s="1" t="s">
        <v>7</v>
      </c>
      <c r="Q489" s="3" t="s">
        <v>205</v>
      </c>
      <c r="R489" s="22">
        <v>3.1560000000000001</v>
      </c>
      <c r="S489" s="22">
        <v>3.1429999999999998</v>
      </c>
      <c r="T489" s="22">
        <v>2.7759999999999998</v>
      </c>
      <c r="U489" s="22">
        <v>3.0430000000000001</v>
      </c>
      <c r="V489" s="6">
        <v>3.12</v>
      </c>
      <c r="W489" s="22">
        <v>3.07</v>
      </c>
      <c r="X489" s="22">
        <v>3.069</v>
      </c>
      <c r="Y489" s="22">
        <v>3.08</v>
      </c>
      <c r="Z489" s="22">
        <v>3.07</v>
      </c>
      <c r="AA489" s="22">
        <v>3.06</v>
      </c>
      <c r="AB489" s="22">
        <v>3.22</v>
      </c>
      <c r="AC489" s="22">
        <v>3.242</v>
      </c>
      <c r="AD489" s="22">
        <v>3.2090000000000001</v>
      </c>
      <c r="AE489" s="22">
        <v>3.125</v>
      </c>
      <c r="AF489" s="22">
        <v>3.113</v>
      </c>
      <c r="AG489" s="22">
        <v>2.879</v>
      </c>
      <c r="AH489" s="6">
        <f t="shared" si="52"/>
        <v>2.996</v>
      </c>
      <c r="AI489" s="9"/>
      <c r="AJ489" s="9"/>
      <c r="AK489" s="9"/>
      <c r="AL489" s="9"/>
      <c r="AM489" s="9"/>
      <c r="AN489" s="9"/>
      <c r="AO489" s="9"/>
      <c r="AP489" s="3"/>
      <c r="AQ489" s="8"/>
    </row>
    <row r="490" spans="1:43">
      <c r="A490" s="1">
        <f t="shared" si="56"/>
        <v>488</v>
      </c>
      <c r="B490" s="31" t="s">
        <v>78</v>
      </c>
      <c r="C490" s="1">
        <v>1</v>
      </c>
      <c r="D490" s="4">
        <f t="shared" si="55"/>
        <v>12</v>
      </c>
      <c r="E490" s="4" t="s">
        <v>242</v>
      </c>
      <c r="F490" s="4">
        <v>1</v>
      </c>
      <c r="G490" s="4" t="s">
        <v>11</v>
      </c>
      <c r="H490" s="4" t="s">
        <v>289</v>
      </c>
      <c r="I490" s="4" t="s">
        <v>208</v>
      </c>
      <c r="J490" s="15">
        <v>94.3</v>
      </c>
      <c r="K490" s="63">
        <v>5.5E-2</v>
      </c>
      <c r="L490" s="38">
        <v>7.8369999999999997</v>
      </c>
      <c r="M490" s="127" t="s">
        <v>103</v>
      </c>
      <c r="N490" s="4" t="s">
        <v>13</v>
      </c>
      <c r="O490" s="6">
        <v>7.883</v>
      </c>
      <c r="P490" s="1" t="s">
        <v>184</v>
      </c>
      <c r="Q490" s="3" t="s">
        <v>205</v>
      </c>
      <c r="R490" s="22">
        <v>7.9820000000000002</v>
      </c>
      <c r="S490" s="6">
        <v>7.9580000000000002</v>
      </c>
      <c r="T490" s="6">
        <v>7.726</v>
      </c>
      <c r="U490" s="22">
        <v>7.9080000000000004</v>
      </c>
      <c r="V490" s="22">
        <v>7.9059999999999997</v>
      </c>
      <c r="W490" s="22">
        <v>7.8230000000000004</v>
      </c>
      <c r="X490" s="22">
        <v>7.8360000000000003</v>
      </c>
      <c r="Y490" s="6">
        <v>7.8520000000000003</v>
      </c>
      <c r="Z490" s="6">
        <v>7.84</v>
      </c>
      <c r="AA490" s="6">
        <v>7.8339999999999996</v>
      </c>
      <c r="AB490" s="6">
        <v>7.9809999999999999</v>
      </c>
      <c r="AC490" s="6">
        <v>7.9779999999999998</v>
      </c>
      <c r="AD490" s="6">
        <v>7.9720000000000004</v>
      </c>
      <c r="AE490" s="6">
        <v>7.87</v>
      </c>
      <c r="AF490" s="6">
        <v>7.9720000000000004</v>
      </c>
      <c r="AG490" s="6">
        <v>7.7919999999999998</v>
      </c>
      <c r="AH490" s="6">
        <f t="shared" si="52"/>
        <v>7.8819999999999997</v>
      </c>
      <c r="AI490" s="9"/>
      <c r="AJ490" s="9"/>
      <c r="AK490" s="9"/>
      <c r="AL490" s="9"/>
      <c r="AM490" s="9"/>
      <c r="AN490" s="9"/>
      <c r="AO490" s="9"/>
      <c r="AP490" s="3"/>
      <c r="AQ490" s="8"/>
    </row>
    <row r="491" spans="1:43">
      <c r="A491" s="1">
        <f t="shared" si="56"/>
        <v>489</v>
      </c>
      <c r="B491" s="31" t="s">
        <v>288</v>
      </c>
      <c r="C491" s="1">
        <v>2</v>
      </c>
      <c r="D491" s="4">
        <f t="shared" si="55"/>
        <v>12</v>
      </c>
      <c r="E491" s="4" t="s">
        <v>290</v>
      </c>
      <c r="F491" s="4">
        <v>1</v>
      </c>
      <c r="G491" s="4" t="s">
        <v>11</v>
      </c>
      <c r="H491" s="4" t="s">
        <v>289</v>
      </c>
      <c r="I491" s="4"/>
      <c r="J491" s="15">
        <v>93.2</v>
      </c>
      <c r="K491" s="63">
        <v>4.0000000000000001E-3</v>
      </c>
      <c r="L491" s="38">
        <v>6.0330000000000004</v>
      </c>
      <c r="M491" s="127" t="s">
        <v>556</v>
      </c>
      <c r="N491" s="1" t="s">
        <v>13</v>
      </c>
      <c r="O491" s="22">
        <v>6.0420000000000016</v>
      </c>
      <c r="P491" s="1" t="s">
        <v>7</v>
      </c>
      <c r="Q491" s="3"/>
      <c r="R491" s="22">
        <v>6.2409999999999997</v>
      </c>
      <c r="S491" s="22">
        <v>6.0570000000000004</v>
      </c>
      <c r="T491" s="22">
        <v>6.1509999999999998</v>
      </c>
      <c r="U491" s="22">
        <v>5.8979999999999997</v>
      </c>
      <c r="V491" s="22">
        <v>6.109</v>
      </c>
      <c r="W491" s="22">
        <v>6.056</v>
      </c>
      <c r="X491" s="22">
        <v>6.056</v>
      </c>
      <c r="Y491" s="22">
        <v>6.0679999999999996</v>
      </c>
      <c r="Z491" s="22">
        <v>6.0519999999999996</v>
      </c>
      <c r="AA491" s="22">
        <v>6.0350000000000001</v>
      </c>
      <c r="AB491" s="22">
        <v>6.3250000000000002</v>
      </c>
      <c r="AC491" s="22">
        <v>6.3220000000000001</v>
      </c>
      <c r="AD491" s="22">
        <v>6.2359999999999998</v>
      </c>
      <c r="AE491" s="22">
        <v>6.1159999999999997</v>
      </c>
      <c r="AF491" s="22">
        <v>6.0609999999999999</v>
      </c>
      <c r="AG491" s="22">
        <v>5.9189999999999996</v>
      </c>
      <c r="AH491" s="6">
        <f t="shared" si="52"/>
        <v>5.99</v>
      </c>
      <c r="AI491" s="9"/>
      <c r="AJ491" s="9"/>
      <c r="AK491" s="9"/>
      <c r="AL491" s="9"/>
      <c r="AM491" s="9"/>
      <c r="AN491" s="9"/>
      <c r="AO491" s="9"/>
      <c r="AP491" s="3"/>
      <c r="AQ491" s="8"/>
    </row>
    <row r="492" spans="1:43">
      <c r="A492" s="1">
        <f t="shared" si="56"/>
        <v>490</v>
      </c>
      <c r="B492" s="31"/>
      <c r="C492" s="1">
        <v>2</v>
      </c>
      <c r="D492" s="4">
        <f t="shared" si="55"/>
        <v>12</v>
      </c>
      <c r="E492" s="4" t="s">
        <v>291</v>
      </c>
      <c r="F492" s="4">
        <v>1</v>
      </c>
      <c r="G492" s="4" t="s">
        <v>14</v>
      </c>
      <c r="H492" s="4" t="s">
        <v>15</v>
      </c>
      <c r="I492" s="4"/>
      <c r="J492" s="15">
        <v>92.2</v>
      </c>
      <c r="K492" s="63">
        <v>1.2999999999999999E-2</v>
      </c>
      <c r="L492" s="38">
        <v>7.0970000000000004</v>
      </c>
      <c r="M492" s="127" t="s">
        <v>556</v>
      </c>
      <c r="N492" s="1" t="s">
        <v>13</v>
      </c>
      <c r="O492" s="22">
        <v>7.1960000000000006</v>
      </c>
      <c r="P492" s="1" t="s">
        <v>7</v>
      </c>
      <c r="Q492" s="3"/>
      <c r="R492" s="22">
        <v>6.601</v>
      </c>
      <c r="S492" s="22">
        <v>6.6210000000000004</v>
      </c>
      <c r="T492" s="22">
        <v>7.1369999999999996</v>
      </c>
      <c r="U492" s="22">
        <v>7.101</v>
      </c>
      <c r="V492" s="22">
        <v>7.1159999999999997</v>
      </c>
      <c r="W492" s="22">
        <v>7.109</v>
      </c>
      <c r="X492" s="22">
        <v>7.1070000000000002</v>
      </c>
      <c r="Y492" s="22">
        <v>7.1269999999999998</v>
      </c>
      <c r="Z492" s="22">
        <v>7.1040000000000001</v>
      </c>
      <c r="AA492" s="22">
        <v>7.08</v>
      </c>
      <c r="AB492" s="22">
        <v>7.0860000000000003</v>
      </c>
      <c r="AC492" s="22">
        <v>7.11</v>
      </c>
      <c r="AD492" s="22">
        <v>6.9489999999999998</v>
      </c>
      <c r="AE492" s="22">
        <v>6.8890000000000002</v>
      </c>
      <c r="AF492" s="22">
        <v>6.5890000000000004</v>
      </c>
      <c r="AG492" s="22">
        <v>7.3769999999999998</v>
      </c>
      <c r="AH492" s="6">
        <f>IF((AF492&lt;&gt;0)*AND(AG492&lt;&gt;0),AVERAGE(AF492:AG492),"")</f>
        <v>6.9830000000000005</v>
      </c>
      <c r="AI492" s="9"/>
      <c r="AJ492" s="9"/>
      <c r="AK492" s="9"/>
      <c r="AL492" s="9"/>
      <c r="AM492" s="9"/>
      <c r="AN492" s="9"/>
      <c r="AO492" s="9"/>
      <c r="AP492" s="3"/>
      <c r="AQ492" s="8"/>
    </row>
    <row r="493" spans="1:43">
      <c r="A493" s="1">
        <f t="shared" si="56"/>
        <v>491</v>
      </c>
      <c r="B493" s="31"/>
      <c r="C493" s="1">
        <v>2</v>
      </c>
      <c r="D493" s="4">
        <f t="shared" si="55"/>
        <v>12</v>
      </c>
      <c r="E493" s="4" t="s">
        <v>291</v>
      </c>
      <c r="F493" s="4">
        <v>1</v>
      </c>
      <c r="G493" s="4" t="s">
        <v>11</v>
      </c>
      <c r="H493" s="4" t="s">
        <v>289</v>
      </c>
      <c r="I493" s="4"/>
      <c r="J493" s="15">
        <v>91.9</v>
      </c>
      <c r="K493" s="63">
        <v>2E-3</v>
      </c>
      <c r="L493" s="38">
        <v>7.1630000000000003</v>
      </c>
      <c r="M493" s="127" t="s">
        <v>556</v>
      </c>
      <c r="N493" s="1" t="s">
        <v>13</v>
      </c>
      <c r="O493" s="22">
        <v>7.1260000000000003</v>
      </c>
      <c r="P493" s="1" t="s">
        <v>7</v>
      </c>
      <c r="Q493" s="3"/>
      <c r="R493" s="22">
        <v>7.3760000000000003</v>
      </c>
      <c r="S493" s="22">
        <v>7.2</v>
      </c>
      <c r="T493" s="22">
        <v>7.2759999999999998</v>
      </c>
      <c r="U493" s="22">
        <v>7.0019999999999998</v>
      </c>
      <c r="V493" s="22">
        <v>7.25</v>
      </c>
      <c r="W493" s="22">
        <v>7.1740000000000004</v>
      </c>
      <c r="X493" s="22">
        <v>7.1790000000000003</v>
      </c>
      <c r="Y493" s="22">
        <v>7.2009999999999996</v>
      </c>
      <c r="Z493" s="22">
        <v>7.1749999999999998</v>
      </c>
      <c r="AA493" s="22">
        <v>7.1539999999999999</v>
      </c>
      <c r="AB493" s="22">
        <v>7.468</v>
      </c>
      <c r="AC493" s="22">
        <v>7.47</v>
      </c>
      <c r="AD493" s="22">
        <v>7.38</v>
      </c>
      <c r="AE493" s="22">
        <v>7.2569999999999997</v>
      </c>
      <c r="AF493" s="22">
        <v>7.1989999999999998</v>
      </c>
      <c r="AG493" s="22">
        <v>7.02</v>
      </c>
      <c r="AH493" s="6">
        <f t="shared" si="52"/>
        <v>7.1094999999999997</v>
      </c>
      <c r="AI493" s="9"/>
      <c r="AJ493" s="9"/>
      <c r="AK493" s="9"/>
      <c r="AL493" s="9"/>
      <c r="AM493" s="9"/>
      <c r="AN493" s="9"/>
      <c r="AO493" s="9"/>
      <c r="AP493" s="3"/>
      <c r="AQ493" s="8"/>
    </row>
    <row r="494" spans="1:43">
      <c r="A494" s="1">
        <f t="shared" si="56"/>
        <v>492</v>
      </c>
      <c r="B494" s="31"/>
      <c r="C494" s="1">
        <v>2</v>
      </c>
      <c r="D494" s="4">
        <f t="shared" si="55"/>
        <v>12</v>
      </c>
      <c r="E494" s="4" t="s">
        <v>290</v>
      </c>
      <c r="F494" s="4">
        <v>1</v>
      </c>
      <c r="G494" s="4" t="s">
        <v>14</v>
      </c>
      <c r="H494" s="4" t="s">
        <v>15</v>
      </c>
      <c r="I494" s="4"/>
      <c r="J494" s="15">
        <v>92.7</v>
      </c>
      <c r="K494" s="63">
        <v>1.4E-2</v>
      </c>
      <c r="L494" s="38">
        <v>8.0730000000000004</v>
      </c>
      <c r="M494" s="127" t="s">
        <v>556</v>
      </c>
      <c r="N494" s="1" t="s">
        <v>13</v>
      </c>
      <c r="O494" s="22">
        <v>8.1210000000000004</v>
      </c>
      <c r="P494" s="1" t="s">
        <v>7</v>
      </c>
      <c r="Q494" s="3"/>
      <c r="R494" s="22">
        <v>7.5860000000000003</v>
      </c>
      <c r="S494" s="22">
        <v>7.6109999999999998</v>
      </c>
      <c r="T494" s="22">
        <v>8.07</v>
      </c>
      <c r="U494" s="22">
        <v>8.0020000000000007</v>
      </c>
      <c r="V494" s="22">
        <v>8.0649999999999995</v>
      </c>
      <c r="W494" s="22">
        <v>8.0619999999999994</v>
      </c>
      <c r="X494" s="22">
        <v>8.0649999999999995</v>
      </c>
      <c r="Y494" s="22">
        <v>8.0920000000000005</v>
      </c>
      <c r="Z494" s="22">
        <v>8.0709999999999997</v>
      </c>
      <c r="AA494" s="22">
        <v>8.0449999999999999</v>
      </c>
      <c r="AB494" s="22">
        <v>8.0229999999999997</v>
      </c>
      <c r="AC494" s="22">
        <v>8.0540000000000003</v>
      </c>
      <c r="AD494" s="22">
        <v>7.9089999999999998</v>
      </c>
      <c r="AE494" s="22">
        <v>7.8360000000000003</v>
      </c>
      <c r="AF494" s="22">
        <v>7.5720000000000001</v>
      </c>
      <c r="AG494" s="22">
        <v>8.2639999999999993</v>
      </c>
      <c r="AH494" s="6">
        <f t="shared" si="52"/>
        <v>7.9179999999999993</v>
      </c>
      <c r="AI494" s="9"/>
      <c r="AJ494" s="9"/>
      <c r="AK494" s="9"/>
      <c r="AL494" s="9"/>
      <c r="AM494" s="9"/>
      <c r="AN494" s="9"/>
      <c r="AO494" s="9"/>
      <c r="AP494" s="3"/>
      <c r="AQ494" s="8"/>
    </row>
    <row r="495" spans="1:43">
      <c r="A495" s="1">
        <f t="shared" si="56"/>
        <v>493</v>
      </c>
      <c r="B495" s="31"/>
      <c r="C495" s="1">
        <v>2</v>
      </c>
      <c r="D495" s="4">
        <f t="shared" si="55"/>
        <v>12</v>
      </c>
      <c r="E495" s="4" t="s">
        <v>292</v>
      </c>
      <c r="F495" s="4">
        <v>3</v>
      </c>
      <c r="G495" s="4" t="s">
        <v>11</v>
      </c>
      <c r="H495" s="4" t="s">
        <v>289</v>
      </c>
      <c r="I495" s="4"/>
      <c r="J495" s="15">
        <v>98.1</v>
      </c>
      <c r="K495" s="65"/>
      <c r="L495" s="38">
        <v>5.0060000000000002</v>
      </c>
      <c r="M495" s="127" t="s">
        <v>117</v>
      </c>
      <c r="N495" s="1" t="s">
        <v>13</v>
      </c>
      <c r="O495" s="22">
        <v>5.024</v>
      </c>
      <c r="P495" s="1" t="s">
        <v>7</v>
      </c>
      <c r="Q495" s="3"/>
      <c r="R495" s="22">
        <v>5.2030000000000003</v>
      </c>
      <c r="S495" s="22">
        <v>5.069</v>
      </c>
      <c r="T495" s="22">
        <v>5.0960000000000001</v>
      </c>
      <c r="U495" s="22">
        <v>4.6660000000000004</v>
      </c>
      <c r="V495" s="22">
        <v>5.0540000000000003</v>
      </c>
      <c r="W495" s="46"/>
      <c r="X495" s="46"/>
      <c r="Y495" s="46"/>
      <c r="Z495" s="22">
        <v>5.0250000000000004</v>
      </c>
      <c r="AA495" s="22">
        <v>5.0090000000000003</v>
      </c>
      <c r="AB495" s="22">
        <v>5.3810000000000002</v>
      </c>
      <c r="AC495" s="22">
        <v>5.3869999999999996</v>
      </c>
      <c r="AD495" s="22">
        <v>5.2809999999999997</v>
      </c>
      <c r="AE495" s="22">
        <v>5.1929999999999996</v>
      </c>
      <c r="AF495" s="22">
        <v>5.0650000000000004</v>
      </c>
      <c r="AG495" s="22">
        <v>4.859</v>
      </c>
      <c r="AH495" s="6">
        <f>IF((AF495&lt;&gt;0)*AND(AG495&lt;&gt;0),AVERAGE(AF495:AG495),"")</f>
        <v>4.9619999999999997</v>
      </c>
      <c r="AI495" s="9"/>
      <c r="AJ495" s="9"/>
      <c r="AK495" s="9"/>
      <c r="AL495" s="9"/>
      <c r="AM495" s="9"/>
      <c r="AN495" s="9"/>
      <c r="AO495" s="9"/>
      <c r="AP495" s="3"/>
      <c r="AQ495" s="8"/>
    </row>
    <row r="496" spans="1:43">
      <c r="A496" s="1">
        <f t="shared" si="56"/>
        <v>494</v>
      </c>
      <c r="B496" s="31"/>
      <c r="C496" s="1">
        <v>2</v>
      </c>
      <c r="D496" s="4">
        <f t="shared" si="55"/>
        <v>12</v>
      </c>
      <c r="E496" s="4" t="s">
        <v>293</v>
      </c>
      <c r="F496" s="4">
        <v>3</v>
      </c>
      <c r="G496" s="4" t="s">
        <v>11</v>
      </c>
      <c r="H496" s="4" t="s">
        <v>289</v>
      </c>
      <c r="I496" s="4"/>
      <c r="J496" s="15">
        <v>98.1</v>
      </c>
      <c r="K496" s="65"/>
      <c r="L496" s="38">
        <v>6.0350000000000001</v>
      </c>
      <c r="M496" s="127" t="s">
        <v>117</v>
      </c>
      <c r="N496" s="1" t="s">
        <v>13</v>
      </c>
      <c r="O496" s="22">
        <v>6.05</v>
      </c>
      <c r="P496" s="1" t="s">
        <v>7</v>
      </c>
      <c r="Q496" s="3"/>
      <c r="R496" s="22">
        <v>6.484</v>
      </c>
      <c r="S496" s="22">
        <v>6.1120000000000001</v>
      </c>
      <c r="T496" s="22">
        <v>6.1319999999999997</v>
      </c>
      <c r="U496" s="22">
        <v>5.9320000000000004</v>
      </c>
      <c r="V496" s="22">
        <v>6.08</v>
      </c>
      <c r="W496" s="46"/>
      <c r="X496" s="46"/>
      <c r="Y496" s="46"/>
      <c r="Z496" s="22">
        <v>6.056</v>
      </c>
      <c r="AA496" s="22">
        <v>6.0380000000000003</v>
      </c>
      <c r="AB496" s="22">
        <v>6.3840000000000003</v>
      </c>
      <c r="AC496" s="22">
        <v>6.3890000000000002</v>
      </c>
      <c r="AD496" s="22">
        <v>6.2990000000000004</v>
      </c>
      <c r="AE496" s="22">
        <v>6.202</v>
      </c>
      <c r="AF496" s="22">
        <v>6.1059999999999999</v>
      </c>
      <c r="AG496" s="22">
        <v>5.8769999999999998</v>
      </c>
      <c r="AH496" s="6">
        <f t="shared" si="52"/>
        <v>5.9915000000000003</v>
      </c>
      <c r="AI496" s="9"/>
      <c r="AJ496" s="9"/>
      <c r="AK496" s="9"/>
      <c r="AL496" s="9"/>
      <c r="AM496" s="9"/>
      <c r="AN496" s="9"/>
      <c r="AO496" s="9"/>
      <c r="AP496" s="3"/>
      <c r="AQ496" s="8"/>
    </row>
    <row r="497" spans="1:43">
      <c r="A497" s="1">
        <f t="shared" si="56"/>
        <v>495</v>
      </c>
      <c r="B497" s="31"/>
      <c r="C497" s="1">
        <v>2</v>
      </c>
      <c r="D497" s="4">
        <f t="shared" si="55"/>
        <v>12</v>
      </c>
      <c r="E497" s="4" t="s">
        <v>293</v>
      </c>
      <c r="F497" s="4">
        <v>3</v>
      </c>
      <c r="G497" s="4" t="s">
        <v>14</v>
      </c>
      <c r="H497" s="4" t="s">
        <v>15</v>
      </c>
      <c r="I497" s="4"/>
      <c r="J497" s="15">
        <v>97.4</v>
      </c>
      <c r="K497" s="65"/>
      <c r="L497" s="38">
        <v>6.93</v>
      </c>
      <c r="M497" s="127" t="s">
        <v>117</v>
      </c>
      <c r="N497" s="1" t="s">
        <v>13</v>
      </c>
      <c r="O497" s="22">
        <v>6.9850000000000003</v>
      </c>
      <c r="P497" s="1" t="s">
        <v>7</v>
      </c>
      <c r="Q497" s="3"/>
      <c r="R497" s="22">
        <v>6.5720000000000001</v>
      </c>
      <c r="S497" s="22">
        <v>6.4710000000000001</v>
      </c>
      <c r="T497" s="22">
        <v>6.9359999999999999</v>
      </c>
      <c r="U497" s="22">
        <v>6.9539999999999997</v>
      </c>
      <c r="V497" s="22">
        <v>6.915</v>
      </c>
      <c r="W497" s="46"/>
      <c r="X497" s="46"/>
      <c r="Y497" s="46"/>
      <c r="Z497" s="22">
        <v>6.9240000000000004</v>
      </c>
      <c r="AA497" s="22">
        <v>6.9</v>
      </c>
      <c r="AB497" s="22">
        <v>6.952</v>
      </c>
      <c r="AC497" s="22">
        <v>6.976</v>
      </c>
      <c r="AD497" s="22">
        <v>6.8090000000000002</v>
      </c>
      <c r="AE497" s="22">
        <v>6.766</v>
      </c>
      <c r="AF497" s="22">
        <v>6.4409999999999998</v>
      </c>
      <c r="AG497" s="22">
        <v>7.1239999999999997</v>
      </c>
      <c r="AH497" s="6">
        <f t="shared" si="52"/>
        <v>6.7824999999999998</v>
      </c>
      <c r="AI497" s="9"/>
      <c r="AJ497" s="9"/>
      <c r="AK497" s="9"/>
      <c r="AL497" s="9"/>
      <c r="AM497" s="9"/>
      <c r="AN497" s="9"/>
      <c r="AO497" s="9"/>
      <c r="AP497" s="3"/>
      <c r="AQ497" s="8"/>
    </row>
    <row r="498" spans="1:43">
      <c r="A498" s="1">
        <f t="shared" si="56"/>
        <v>496</v>
      </c>
      <c r="B498" s="31"/>
      <c r="C498" s="1">
        <v>2</v>
      </c>
      <c r="D498" s="4">
        <f t="shared" si="55"/>
        <v>12</v>
      </c>
      <c r="E498" s="4" t="s">
        <v>292</v>
      </c>
      <c r="F498" s="4">
        <v>3</v>
      </c>
      <c r="G498" s="4" t="s">
        <v>14</v>
      </c>
      <c r="H498" s="4" t="s">
        <v>15</v>
      </c>
      <c r="I498" s="4"/>
      <c r="J498" s="15">
        <v>97.6</v>
      </c>
      <c r="K498" s="65"/>
      <c r="L498" s="38">
        <v>7.8220000000000001</v>
      </c>
      <c r="M498" s="127" t="s">
        <v>117</v>
      </c>
      <c r="N498" s="1" t="s">
        <v>13</v>
      </c>
      <c r="O498" s="22">
        <v>7.8730000000000002</v>
      </c>
      <c r="P498" s="1" t="s">
        <v>7</v>
      </c>
      <c r="Q498" s="3"/>
      <c r="R498" s="22">
        <v>7.4930000000000003</v>
      </c>
      <c r="S498" s="22">
        <v>7.415</v>
      </c>
      <c r="T498" s="22">
        <v>7.8120000000000003</v>
      </c>
      <c r="U498" s="22">
        <v>7.8019999999999996</v>
      </c>
      <c r="V498" s="22">
        <v>7.8040000000000003</v>
      </c>
      <c r="W498" s="46"/>
      <c r="X498" s="46"/>
      <c r="Y498" s="46"/>
      <c r="Z498" s="22">
        <v>7.8209999999999997</v>
      </c>
      <c r="AA498" s="22">
        <v>7.7949999999999999</v>
      </c>
      <c r="AB498" s="22">
        <v>7.8339999999999996</v>
      </c>
      <c r="AC498" s="22">
        <v>7.8650000000000002</v>
      </c>
      <c r="AD498" s="22">
        <v>7.7160000000000002</v>
      </c>
      <c r="AE498" s="22">
        <v>7.6580000000000004</v>
      </c>
      <c r="AF498" s="22">
        <v>7.3760000000000003</v>
      </c>
      <c r="AG498" s="22">
        <v>7.9660000000000002</v>
      </c>
      <c r="AH498" s="6">
        <f t="shared" si="52"/>
        <v>7.6710000000000003</v>
      </c>
      <c r="AI498" s="9"/>
      <c r="AJ498" s="9"/>
      <c r="AK498" s="9"/>
      <c r="AL498" s="9"/>
      <c r="AM498" s="9"/>
      <c r="AN498" s="9"/>
      <c r="AO498" s="9"/>
      <c r="AP498" s="3"/>
      <c r="AQ498" s="8"/>
    </row>
    <row r="499" spans="1:43">
      <c r="A499" s="1">
        <f t="shared" si="56"/>
        <v>497</v>
      </c>
      <c r="B499" s="31" t="s">
        <v>79</v>
      </c>
      <c r="C499" s="1">
        <v>1</v>
      </c>
      <c r="D499" s="4">
        <f t="shared" si="55"/>
        <v>12</v>
      </c>
      <c r="E499" s="4" t="s">
        <v>131</v>
      </c>
      <c r="F499" s="4">
        <v>1</v>
      </c>
      <c r="G499" s="4" t="s">
        <v>14</v>
      </c>
      <c r="H499" s="4" t="s">
        <v>16</v>
      </c>
      <c r="I499" s="4"/>
      <c r="J499" s="15">
        <v>94.6</v>
      </c>
      <c r="K499" s="65"/>
      <c r="L499" s="38">
        <v>6.181</v>
      </c>
      <c r="M499" s="127" t="s">
        <v>103</v>
      </c>
      <c r="N499" s="4" t="s">
        <v>13</v>
      </c>
      <c r="O499" s="6">
        <v>6.149</v>
      </c>
      <c r="P499" s="4" t="s">
        <v>184</v>
      </c>
      <c r="Q499" s="3" t="s">
        <v>205</v>
      </c>
      <c r="R499" s="22">
        <v>6.3780000000000001</v>
      </c>
      <c r="S499" s="22">
        <v>6.3449999999999998</v>
      </c>
      <c r="T499" s="6">
        <v>6.0030000000000001</v>
      </c>
      <c r="U499" s="22">
        <v>6.3819999999999997</v>
      </c>
      <c r="V499" s="22">
        <v>6.2460000000000004</v>
      </c>
      <c r="W499" s="22">
        <v>6.2149999999999999</v>
      </c>
      <c r="X499" s="22">
        <v>6.1849999999999996</v>
      </c>
      <c r="Y499" s="22">
        <v>6.2270000000000003</v>
      </c>
      <c r="Z499" s="22">
        <v>6.1920000000000002</v>
      </c>
      <c r="AA499" s="22">
        <v>6.1849999999999996</v>
      </c>
      <c r="AB499" s="6">
        <v>6.2969999999999997</v>
      </c>
      <c r="AC499" s="6">
        <v>6.2830000000000004</v>
      </c>
      <c r="AD499" s="6">
        <v>6.3040000000000003</v>
      </c>
      <c r="AE499" s="6">
        <v>6.1950000000000003</v>
      </c>
      <c r="AF499" s="6">
        <v>6.3650000000000002</v>
      </c>
      <c r="AG499" s="6">
        <v>6.048</v>
      </c>
      <c r="AH499" s="6">
        <f t="shared" si="52"/>
        <v>6.2065000000000001</v>
      </c>
      <c r="AI499" s="9"/>
      <c r="AJ499" s="9"/>
      <c r="AK499" s="9"/>
      <c r="AL499" s="9"/>
      <c r="AM499" s="9"/>
      <c r="AN499" s="9"/>
      <c r="AO499" s="9"/>
      <c r="AP499" s="3"/>
      <c r="AQ499" s="8"/>
    </row>
    <row r="500" spans="1:43">
      <c r="A500" s="1">
        <f t="shared" si="56"/>
        <v>498</v>
      </c>
      <c r="B500" s="31"/>
      <c r="C500" s="1">
        <v>1</v>
      </c>
      <c r="D500" s="4">
        <f t="shared" si="55"/>
        <v>12</v>
      </c>
      <c r="E500" s="4" t="s">
        <v>128</v>
      </c>
      <c r="F500" s="4">
        <v>1</v>
      </c>
      <c r="G500" s="4" t="s">
        <v>14</v>
      </c>
      <c r="H500" s="4" t="s">
        <v>15</v>
      </c>
      <c r="I500" s="4"/>
      <c r="J500" s="15">
        <v>94.3</v>
      </c>
      <c r="K500" s="63">
        <v>6.3E-2</v>
      </c>
      <c r="L500" s="38">
        <v>6.24</v>
      </c>
      <c r="M500" s="127" t="s">
        <v>103</v>
      </c>
      <c r="N500" s="4" t="s">
        <v>13</v>
      </c>
      <c r="O500" s="6">
        <v>6.2910000000000004</v>
      </c>
      <c r="P500" s="4" t="s">
        <v>184</v>
      </c>
      <c r="Q500" s="3" t="s">
        <v>205</v>
      </c>
      <c r="R500" s="22">
        <v>6.3310000000000004</v>
      </c>
      <c r="S500" s="22">
        <v>6.3040000000000003</v>
      </c>
      <c r="T500" s="6">
        <v>6.1360000000000001</v>
      </c>
      <c r="U500" s="22">
        <v>6.3090000000000002</v>
      </c>
      <c r="V500" s="6">
        <v>6.2939999999999996</v>
      </c>
      <c r="W500" s="22">
        <v>6.2649999999999997</v>
      </c>
      <c r="X500" s="22">
        <v>6.2380000000000004</v>
      </c>
      <c r="Y500" s="22">
        <v>6.2789999999999999</v>
      </c>
      <c r="Z500" s="22">
        <v>6.24</v>
      </c>
      <c r="AA500" s="22">
        <v>6.2370000000000001</v>
      </c>
      <c r="AB500" s="6">
        <v>6.3929999999999998</v>
      </c>
      <c r="AC500" s="6">
        <v>6.3689999999999998</v>
      </c>
      <c r="AD500" s="6">
        <v>6.3470000000000004</v>
      </c>
      <c r="AE500" s="6">
        <v>6.3019999999999996</v>
      </c>
      <c r="AF500" s="6">
        <v>6.3360000000000003</v>
      </c>
      <c r="AG500" s="6">
        <v>6.1790000000000003</v>
      </c>
      <c r="AH500" s="6">
        <f t="shared" si="52"/>
        <v>6.2575000000000003</v>
      </c>
      <c r="AI500" s="9"/>
      <c r="AJ500" s="9"/>
      <c r="AK500" s="9"/>
      <c r="AL500" s="9"/>
      <c r="AM500" s="9"/>
      <c r="AN500" s="9"/>
      <c r="AO500" s="9"/>
      <c r="AP500" s="3"/>
      <c r="AQ500" s="8"/>
    </row>
    <row r="501" spans="1:43">
      <c r="A501" s="1">
        <f t="shared" si="56"/>
        <v>499</v>
      </c>
      <c r="B501" s="31"/>
      <c r="C501" s="1">
        <v>1</v>
      </c>
      <c r="D501" s="4">
        <f t="shared" si="55"/>
        <v>12</v>
      </c>
      <c r="E501" s="4" t="s">
        <v>130</v>
      </c>
      <c r="F501" s="4">
        <v>3</v>
      </c>
      <c r="G501" s="4" t="s">
        <v>14</v>
      </c>
      <c r="H501" s="4" t="s">
        <v>16</v>
      </c>
      <c r="I501" s="4"/>
      <c r="J501" s="5">
        <v>98.7</v>
      </c>
      <c r="K501" s="65"/>
      <c r="L501" s="38">
        <v>5.81</v>
      </c>
      <c r="M501" s="127" t="s">
        <v>103</v>
      </c>
      <c r="N501" s="4" t="s">
        <v>13</v>
      </c>
      <c r="O501" s="6">
        <v>5.79</v>
      </c>
      <c r="P501" s="4" t="s">
        <v>184</v>
      </c>
      <c r="Q501" s="3" t="s">
        <v>205</v>
      </c>
      <c r="R501" s="22">
        <v>5.94</v>
      </c>
      <c r="S501" s="6">
        <v>5.9039999999999999</v>
      </c>
      <c r="T501" s="6">
        <v>5.6109999999999998</v>
      </c>
      <c r="U501" s="22">
        <v>5.9889999999999999</v>
      </c>
      <c r="V501" s="22">
        <v>5.8520000000000003</v>
      </c>
      <c r="W501" s="46"/>
      <c r="X501" s="46"/>
      <c r="Y501" s="46"/>
      <c r="Z501" s="22">
        <v>5.819</v>
      </c>
      <c r="AA501" s="22">
        <v>5.8120000000000003</v>
      </c>
      <c r="AB501" s="6">
        <v>5.9349999999999996</v>
      </c>
      <c r="AC501" s="6">
        <v>5.9260000000000002</v>
      </c>
      <c r="AD501" s="6">
        <v>5.9189999999999996</v>
      </c>
      <c r="AE501" s="6">
        <v>5.8520000000000003</v>
      </c>
      <c r="AF501" s="6">
        <v>5.9130000000000003</v>
      </c>
      <c r="AG501" s="6">
        <v>5.6760000000000002</v>
      </c>
      <c r="AH501" s="6">
        <f t="shared" si="52"/>
        <v>5.7945000000000002</v>
      </c>
      <c r="AI501" s="9"/>
      <c r="AJ501" s="9"/>
      <c r="AK501" s="9"/>
      <c r="AL501" s="9"/>
      <c r="AM501" s="9"/>
      <c r="AN501" s="9"/>
      <c r="AO501" s="9"/>
      <c r="AP501" s="3"/>
      <c r="AQ501" s="8"/>
    </row>
    <row r="502" spans="1:43">
      <c r="A502" s="1">
        <f t="shared" si="56"/>
        <v>500</v>
      </c>
      <c r="B502" s="31"/>
      <c r="C502" s="1">
        <v>1</v>
      </c>
      <c r="D502" s="4">
        <f t="shared" si="55"/>
        <v>12</v>
      </c>
      <c r="E502" s="4" t="s">
        <v>129</v>
      </c>
      <c r="F502" s="4">
        <v>3</v>
      </c>
      <c r="G502" s="4" t="s">
        <v>14</v>
      </c>
      <c r="H502" s="4" t="s">
        <v>15</v>
      </c>
      <c r="I502" s="4"/>
      <c r="J502" s="5">
        <v>98.4</v>
      </c>
      <c r="K502" s="65"/>
      <c r="L502" s="38">
        <v>5.883</v>
      </c>
      <c r="M502" s="127" t="s">
        <v>103</v>
      </c>
      <c r="N502" s="4" t="s">
        <v>13</v>
      </c>
      <c r="O502" s="6">
        <v>5.931</v>
      </c>
      <c r="P502" s="4" t="s">
        <v>184</v>
      </c>
      <c r="Q502" s="3" t="s">
        <v>205</v>
      </c>
      <c r="R502" s="22">
        <v>5.9859999999999998</v>
      </c>
      <c r="S502" s="6">
        <v>5.9359999999999999</v>
      </c>
      <c r="T502" s="6">
        <v>5.7539999999999996</v>
      </c>
      <c r="U502" s="22">
        <v>6.0339999999999998</v>
      </c>
      <c r="V502" s="22">
        <v>5.9219999999999997</v>
      </c>
      <c r="W502" s="46"/>
      <c r="X502" s="46"/>
      <c r="Y502" s="46"/>
      <c r="Z502" s="22">
        <v>5.8849999999999998</v>
      </c>
      <c r="AA502" s="22">
        <v>5.8810000000000002</v>
      </c>
      <c r="AB502" s="6">
        <v>6.0529999999999999</v>
      </c>
      <c r="AC502" s="6">
        <v>6.0339999999999998</v>
      </c>
      <c r="AD502" s="6">
        <v>6.0010000000000003</v>
      </c>
      <c r="AE502" s="6">
        <v>5.9720000000000004</v>
      </c>
      <c r="AF502" s="6">
        <v>5.9630000000000001</v>
      </c>
      <c r="AG502" s="6">
        <v>5.8109999999999999</v>
      </c>
      <c r="AH502" s="6">
        <f t="shared" si="52"/>
        <v>5.8870000000000005</v>
      </c>
      <c r="AI502" s="9"/>
      <c r="AJ502" s="9"/>
      <c r="AK502" s="9"/>
      <c r="AL502" s="9"/>
      <c r="AM502" s="9"/>
      <c r="AN502" s="9"/>
      <c r="AO502" s="9"/>
      <c r="AP502" s="3"/>
      <c r="AQ502" s="8"/>
    </row>
    <row r="503" spans="1:43">
      <c r="A503" s="1">
        <f t="shared" si="56"/>
        <v>501</v>
      </c>
      <c r="B503" s="2" t="s">
        <v>36</v>
      </c>
      <c r="C503" s="1">
        <v>5</v>
      </c>
      <c r="D503" s="4">
        <f t="shared" si="55"/>
        <v>35</v>
      </c>
      <c r="E503" s="4" t="s">
        <v>224</v>
      </c>
      <c r="F503" s="4">
        <v>1</v>
      </c>
      <c r="G503" s="4" t="s">
        <v>14</v>
      </c>
      <c r="H503" s="4" t="s">
        <v>22</v>
      </c>
      <c r="I503" s="4"/>
      <c r="J503" s="5">
        <v>93</v>
      </c>
      <c r="K503" s="63">
        <v>1E-3</v>
      </c>
      <c r="L503" s="38">
        <v>5.6949999999999994</v>
      </c>
      <c r="M503" s="127" t="s">
        <v>212</v>
      </c>
      <c r="N503" s="1" t="s">
        <v>13</v>
      </c>
      <c r="O503" s="22">
        <v>5.7249999999999996</v>
      </c>
      <c r="P503" s="1" t="s">
        <v>7</v>
      </c>
      <c r="Q503" s="3" t="s">
        <v>205</v>
      </c>
      <c r="R503" s="22">
        <v>5.8109999999999999</v>
      </c>
      <c r="S503" s="22">
        <v>5.6920000000000002</v>
      </c>
      <c r="T503" s="22">
        <v>6.0039999999999996</v>
      </c>
      <c r="U503" s="22">
        <v>5.9480000000000004</v>
      </c>
      <c r="V503" s="22">
        <v>5.8070000000000004</v>
      </c>
      <c r="W503" s="22">
        <v>5.73</v>
      </c>
      <c r="X503" s="22">
        <v>5.734</v>
      </c>
      <c r="Y503" s="22">
        <v>5.7220000000000004</v>
      </c>
      <c r="Z503" s="22">
        <v>5.7009999999999996</v>
      </c>
      <c r="AA503" s="1">
        <v>5.7009999999999996</v>
      </c>
      <c r="AB503" s="22">
        <v>5.9509999999999996</v>
      </c>
      <c r="AC503" s="22">
        <v>5.9029999999999996</v>
      </c>
      <c r="AD503" s="22">
        <v>5.8319999999999999</v>
      </c>
      <c r="AE503" s="22">
        <v>5.8360000000000003</v>
      </c>
      <c r="AF503" s="22">
        <v>5.7480000000000002</v>
      </c>
      <c r="AG503" s="22">
        <v>5.6059999999999999</v>
      </c>
      <c r="AH503" s="22">
        <f t="shared" ref="AH503:AH512" si="57">0.5*(AF503+AG503)</f>
        <v>5.6769999999999996</v>
      </c>
      <c r="AI503" s="8">
        <v>5.04</v>
      </c>
      <c r="AJ503" s="8">
        <v>5.88</v>
      </c>
      <c r="AK503" s="8">
        <v>5.66</v>
      </c>
      <c r="AL503" s="8">
        <v>5.74</v>
      </c>
      <c r="AM503" s="8">
        <v>5.68</v>
      </c>
      <c r="AN503" s="8">
        <v>5.92</v>
      </c>
      <c r="AO503" s="8">
        <v>5.93</v>
      </c>
      <c r="AP503" s="3"/>
      <c r="AQ503" s="8"/>
    </row>
    <row r="504" spans="1:43">
      <c r="A504" s="1">
        <f t="shared" si="56"/>
        <v>502</v>
      </c>
      <c r="B504" s="19"/>
      <c r="C504" s="1">
        <v>5</v>
      </c>
      <c r="D504" s="4">
        <f t="shared" si="55"/>
        <v>35</v>
      </c>
      <c r="E504" s="4" t="s">
        <v>229</v>
      </c>
      <c r="F504" s="4">
        <v>1</v>
      </c>
      <c r="G504" s="4" t="s">
        <v>14</v>
      </c>
      <c r="H504" s="4" t="s">
        <v>23</v>
      </c>
      <c r="I504" s="4"/>
      <c r="J504" s="5">
        <v>90</v>
      </c>
      <c r="K504" s="63">
        <v>0.124</v>
      </c>
      <c r="L504" s="38">
        <v>6.391</v>
      </c>
      <c r="M504" s="127" t="s">
        <v>212</v>
      </c>
      <c r="N504" s="1" t="s">
        <v>13</v>
      </c>
      <c r="O504" s="22">
        <v>6.3879999999999999</v>
      </c>
      <c r="P504" s="1" t="s">
        <v>7</v>
      </c>
      <c r="Q504" s="3" t="s">
        <v>205</v>
      </c>
      <c r="R504" s="22">
        <v>6.734</v>
      </c>
      <c r="S504" s="22">
        <v>6.508</v>
      </c>
      <c r="T504" s="22">
        <v>6.8</v>
      </c>
      <c r="U504" s="22">
        <v>6.4359999999999999</v>
      </c>
      <c r="V504" s="22">
        <v>6.585</v>
      </c>
      <c r="W504" s="22">
        <v>6.4950000000000001</v>
      </c>
      <c r="X504" s="22">
        <v>6.4710000000000001</v>
      </c>
      <c r="Y504" s="22">
        <v>6.4550000000000001</v>
      </c>
      <c r="Z504" s="22">
        <v>6.415</v>
      </c>
      <c r="AA504" s="42">
        <v>6.415</v>
      </c>
      <c r="AB504" s="22">
        <v>6.5650000000000004</v>
      </c>
      <c r="AC504" s="22">
        <v>6.55</v>
      </c>
      <c r="AD504" s="22">
        <v>6.532</v>
      </c>
      <c r="AE504" s="22">
        <v>6.3689999999999998</v>
      </c>
      <c r="AF504" s="22">
        <v>6.4980000000000002</v>
      </c>
      <c r="AG504" s="22">
        <v>6.3070000000000004</v>
      </c>
      <c r="AH504" s="22">
        <f t="shared" si="57"/>
        <v>6.4024999999999999</v>
      </c>
      <c r="AI504" s="8">
        <v>6.18</v>
      </c>
      <c r="AJ504" s="8">
        <v>6.69</v>
      </c>
      <c r="AK504" s="8">
        <v>6.45</v>
      </c>
      <c r="AL504" s="8">
        <v>6.61</v>
      </c>
      <c r="AM504" s="8">
        <v>6.56</v>
      </c>
      <c r="AN504" s="8">
        <v>6.77</v>
      </c>
      <c r="AO504" s="8">
        <v>6.73</v>
      </c>
      <c r="AP504" s="3"/>
      <c r="AQ504" s="8"/>
    </row>
    <row r="505" spans="1:43">
      <c r="A505" s="1">
        <f t="shared" si="56"/>
        <v>503</v>
      </c>
      <c r="B505" s="19"/>
      <c r="C505" s="1">
        <v>5</v>
      </c>
      <c r="D505" s="4">
        <f t="shared" si="55"/>
        <v>35</v>
      </c>
      <c r="E505" s="4" t="s">
        <v>224</v>
      </c>
      <c r="F505" s="4">
        <v>1</v>
      </c>
      <c r="G505" s="4" t="s">
        <v>14</v>
      </c>
      <c r="H505" s="4" t="s">
        <v>23</v>
      </c>
      <c r="I505" s="4"/>
      <c r="J505" s="5">
        <v>93.6</v>
      </c>
      <c r="K505" s="63">
        <v>2.8000000000000001E-2</v>
      </c>
      <c r="L505" s="38">
        <v>6.5030000000000001</v>
      </c>
      <c r="M505" s="127" t="s">
        <v>212</v>
      </c>
      <c r="N505" s="1" t="s">
        <v>13</v>
      </c>
      <c r="O505" s="22">
        <v>6.5270000000000001</v>
      </c>
      <c r="P505" s="1" t="s">
        <v>7</v>
      </c>
      <c r="Q505" s="3" t="s">
        <v>205</v>
      </c>
      <c r="R505" s="22">
        <v>6.5209999999999999</v>
      </c>
      <c r="S505" s="22">
        <v>6.468</v>
      </c>
      <c r="T505" s="22">
        <v>6.7640000000000002</v>
      </c>
      <c r="U505" s="22">
        <v>6.6280000000000001</v>
      </c>
      <c r="V505" s="22">
        <v>6.5789999999999997</v>
      </c>
      <c r="W505" s="22">
        <v>6.524</v>
      </c>
      <c r="X505" s="22">
        <v>6.5279999999999996</v>
      </c>
      <c r="Y505" s="22">
        <v>6.5110000000000001</v>
      </c>
      <c r="Z505" s="22">
        <v>6.5039999999999996</v>
      </c>
      <c r="AA505" s="80">
        <v>6.5030000000000001</v>
      </c>
      <c r="AB505" s="22">
        <v>6.673</v>
      </c>
      <c r="AC505" s="22">
        <v>6.6310000000000002</v>
      </c>
      <c r="AD505" s="22">
        <v>6.5759999999999996</v>
      </c>
      <c r="AE505" s="22">
        <v>6.5650000000000004</v>
      </c>
      <c r="AF505" s="22">
        <v>6.5140000000000002</v>
      </c>
      <c r="AG505" s="22">
        <v>6.3860000000000001</v>
      </c>
      <c r="AH505" s="22">
        <f t="shared" si="57"/>
        <v>6.45</v>
      </c>
      <c r="AI505" s="8">
        <v>5.43</v>
      </c>
      <c r="AJ505" s="8">
        <v>6.57</v>
      </c>
      <c r="AK505" s="8">
        <v>6.47</v>
      </c>
      <c r="AL505" s="8">
        <v>6.47</v>
      </c>
      <c r="AM505" s="8">
        <v>6.44</v>
      </c>
      <c r="AN505" s="8">
        <v>6.8</v>
      </c>
      <c r="AO505" s="8">
        <v>6.83</v>
      </c>
      <c r="AP505" s="3"/>
      <c r="AQ505" s="8"/>
    </row>
    <row r="506" spans="1:43">
      <c r="A506" s="1">
        <f t="shared" si="56"/>
        <v>504</v>
      </c>
      <c r="B506" s="19"/>
      <c r="C506" s="1">
        <v>5</v>
      </c>
      <c r="D506" s="4">
        <f t="shared" si="55"/>
        <v>35</v>
      </c>
      <c r="E506" s="4" t="s">
        <v>224</v>
      </c>
      <c r="F506" s="4">
        <v>1</v>
      </c>
      <c r="G506" s="4" t="s">
        <v>11</v>
      </c>
      <c r="H506" s="4" t="s">
        <v>12</v>
      </c>
      <c r="I506" s="4"/>
      <c r="J506" s="5">
        <v>89</v>
      </c>
      <c r="K506" s="63">
        <v>4.0000000000000001E-3</v>
      </c>
      <c r="L506" s="38">
        <v>6.7149999999999999</v>
      </c>
      <c r="M506" s="127" t="s">
        <v>212</v>
      </c>
      <c r="N506" s="1" t="s">
        <v>13</v>
      </c>
      <c r="O506" s="54"/>
      <c r="P506" s="14"/>
      <c r="Q506" s="3"/>
      <c r="R506" s="22">
        <v>7.0910000000000002</v>
      </c>
      <c r="S506" s="22">
        <v>6.7229999999999999</v>
      </c>
      <c r="T506" s="22">
        <v>7.0540000000000003</v>
      </c>
      <c r="U506" s="22">
        <v>6.66</v>
      </c>
      <c r="V506" s="22">
        <v>6.92</v>
      </c>
      <c r="W506" s="22">
        <v>6.7990000000000004</v>
      </c>
      <c r="X506" s="22">
        <v>6.7919999999999998</v>
      </c>
      <c r="Y506" s="22">
        <v>6.7969999999999997</v>
      </c>
      <c r="Z506" s="22">
        <v>6.7309999999999999</v>
      </c>
      <c r="AA506" s="42">
        <v>6.7190000000000003</v>
      </c>
      <c r="AB506" s="22">
        <v>6.9080000000000004</v>
      </c>
      <c r="AC506" s="22">
        <v>6.9370000000000003</v>
      </c>
      <c r="AD506" s="22">
        <v>6.87</v>
      </c>
      <c r="AE506" s="22">
        <v>6.6909999999999998</v>
      </c>
      <c r="AF506" s="22">
        <v>6.6790000000000003</v>
      </c>
      <c r="AG506" s="22">
        <v>6.8280000000000003</v>
      </c>
      <c r="AH506" s="22">
        <f t="shared" si="57"/>
        <v>6.7535000000000007</v>
      </c>
      <c r="AI506" s="8">
        <v>7.13</v>
      </c>
      <c r="AJ506" s="8">
        <v>6.94</v>
      </c>
      <c r="AK506" s="8">
        <v>6.57</v>
      </c>
      <c r="AL506" s="8">
        <v>6.92</v>
      </c>
      <c r="AM506" s="8">
        <v>6.85</v>
      </c>
      <c r="AN506" s="8">
        <v>7.01</v>
      </c>
      <c r="AO506" s="8">
        <v>6.96</v>
      </c>
      <c r="AP506" s="3"/>
      <c r="AQ506" s="8"/>
    </row>
    <row r="507" spans="1:43">
      <c r="A507" s="1">
        <f t="shared" si="56"/>
        <v>505</v>
      </c>
      <c r="B507" s="19"/>
      <c r="C507" s="1">
        <v>5</v>
      </c>
      <c r="D507" s="4">
        <f t="shared" si="55"/>
        <v>35</v>
      </c>
      <c r="E507" s="4" t="s">
        <v>229</v>
      </c>
      <c r="F507" s="4">
        <v>1</v>
      </c>
      <c r="G507" s="4" t="s">
        <v>11</v>
      </c>
      <c r="H507" s="4" t="s">
        <v>17</v>
      </c>
      <c r="I507" s="4"/>
      <c r="J507" s="5">
        <v>88.9</v>
      </c>
      <c r="K507" s="63">
        <v>3.5000000000000003E-2</v>
      </c>
      <c r="L507" s="38">
        <v>6.8440000000000003</v>
      </c>
      <c r="M507" s="127" t="s">
        <v>212</v>
      </c>
      <c r="N507" s="1" t="s">
        <v>13</v>
      </c>
      <c r="O507" s="22">
        <v>6.8289999999999997</v>
      </c>
      <c r="P507" s="1" t="s">
        <v>7</v>
      </c>
      <c r="Q507" s="3"/>
      <c r="R507" s="22">
        <v>7.2030000000000003</v>
      </c>
      <c r="S507" s="33"/>
      <c r="T507" s="22">
        <v>7.2380000000000004</v>
      </c>
      <c r="U507" s="33"/>
      <c r="V507" s="22">
        <v>7.02</v>
      </c>
      <c r="W507" s="22">
        <v>6.9260000000000002</v>
      </c>
      <c r="X507" s="22">
        <v>6.9290000000000003</v>
      </c>
      <c r="Y507" s="22">
        <v>6.9050000000000002</v>
      </c>
      <c r="Z507" s="22">
        <v>6.8730000000000002</v>
      </c>
      <c r="AA507" s="132">
        <v>6.8630000000000004</v>
      </c>
      <c r="AB507" s="22">
        <v>6.9550000000000001</v>
      </c>
      <c r="AC507" s="33"/>
      <c r="AD507" s="22">
        <v>6.9749999999999996</v>
      </c>
      <c r="AE507" s="34">
        <v>6.7709999999999999</v>
      </c>
      <c r="AF507" s="33"/>
      <c r="AG507" s="22">
        <v>6.7889999999999997</v>
      </c>
      <c r="AH507" s="33"/>
      <c r="AI507" s="8">
        <v>6.73</v>
      </c>
      <c r="AJ507" s="8">
        <v>6.88</v>
      </c>
      <c r="AK507" s="8">
        <v>6.46</v>
      </c>
      <c r="AL507" s="8">
        <v>6.89</v>
      </c>
      <c r="AM507" s="8">
        <v>6.83</v>
      </c>
      <c r="AN507" s="8">
        <v>7.06</v>
      </c>
      <c r="AO507" s="8">
        <v>7</v>
      </c>
      <c r="AP507" s="3"/>
      <c r="AQ507" s="8"/>
    </row>
    <row r="508" spans="1:43">
      <c r="A508" s="1">
        <f t="shared" si="56"/>
        <v>506</v>
      </c>
      <c r="B508" s="19"/>
      <c r="C508" s="1">
        <v>5</v>
      </c>
      <c r="D508" s="4">
        <f t="shared" si="55"/>
        <v>35</v>
      </c>
      <c r="E508" s="4" t="s">
        <v>229</v>
      </c>
      <c r="F508" s="4">
        <v>1</v>
      </c>
      <c r="G508" s="4" t="s">
        <v>14</v>
      </c>
      <c r="H508" s="4" t="s">
        <v>15</v>
      </c>
      <c r="I508" s="4"/>
      <c r="J508" s="5">
        <v>98.3</v>
      </c>
      <c r="K508" s="63">
        <v>2.9000000000000001E-2</v>
      </c>
      <c r="L508" s="38">
        <v>7.0390000000000006</v>
      </c>
      <c r="M508" s="127" t="s">
        <v>212</v>
      </c>
      <c r="N508" s="1" t="s">
        <v>13</v>
      </c>
      <c r="O508" s="54"/>
      <c r="P508" s="14"/>
      <c r="Q508" s="3" t="s">
        <v>205</v>
      </c>
      <c r="R508" s="22">
        <v>6.9130000000000003</v>
      </c>
      <c r="S508" s="22">
        <v>6.452</v>
      </c>
      <c r="T508" s="22">
        <v>7.4180000000000001</v>
      </c>
      <c r="U508" s="22">
        <v>7.25</v>
      </c>
      <c r="V508" s="22">
        <v>7.242</v>
      </c>
      <c r="W508" s="22">
        <v>7.0940000000000003</v>
      </c>
      <c r="X508" s="22">
        <v>7.1029999999999998</v>
      </c>
      <c r="Y508" s="22">
        <v>7.1269999999999998</v>
      </c>
      <c r="Z508" s="22">
        <v>7.0170000000000003</v>
      </c>
      <c r="AA508" s="48">
        <v>7.0170000000000003</v>
      </c>
      <c r="AB508" s="22">
        <v>7.266</v>
      </c>
      <c r="AC508" s="22">
        <v>7.1980000000000004</v>
      </c>
      <c r="AD508" s="22">
        <v>6.9409999999999998</v>
      </c>
      <c r="AE508" s="22">
        <v>7.0709999999999997</v>
      </c>
      <c r="AF508" s="22">
        <v>6.5410000000000004</v>
      </c>
      <c r="AG508" s="22">
        <v>7.5430000000000001</v>
      </c>
      <c r="AH508" s="22">
        <f t="shared" si="57"/>
        <v>7.0419999999999998</v>
      </c>
      <c r="AI508" s="8">
        <v>6.36</v>
      </c>
      <c r="AJ508" s="8">
        <v>7.1</v>
      </c>
      <c r="AK508" s="8">
        <v>6.91</v>
      </c>
      <c r="AL508" s="8">
        <v>7.09</v>
      </c>
      <c r="AM508" s="8">
        <v>7.07</v>
      </c>
      <c r="AN508" s="8">
        <v>7.2</v>
      </c>
      <c r="AO508" s="8">
        <v>7.2</v>
      </c>
      <c r="AP508" s="3"/>
      <c r="AQ508" s="8"/>
    </row>
    <row r="509" spans="1:43">
      <c r="A509" s="1">
        <f t="shared" si="56"/>
        <v>507</v>
      </c>
      <c r="B509" s="19"/>
      <c r="C509" s="1">
        <v>5</v>
      </c>
      <c r="D509" s="4">
        <f t="shared" si="55"/>
        <v>35</v>
      </c>
      <c r="E509" s="4" t="s">
        <v>230</v>
      </c>
      <c r="F509" s="4">
        <v>3</v>
      </c>
      <c r="G509" s="4" t="s">
        <v>11</v>
      </c>
      <c r="H509" s="4" t="s">
        <v>17</v>
      </c>
      <c r="I509" s="4"/>
      <c r="J509" s="5">
        <v>98.3</v>
      </c>
      <c r="K509" s="65"/>
      <c r="L509" s="38">
        <v>4.7359999999999998</v>
      </c>
      <c r="M509" s="127" t="s">
        <v>110</v>
      </c>
      <c r="N509" s="1" t="s">
        <v>13</v>
      </c>
      <c r="O509" s="22">
        <v>4.7380000000000004</v>
      </c>
      <c r="P509" s="1" t="s">
        <v>7</v>
      </c>
      <c r="Q509" s="3" t="s">
        <v>205</v>
      </c>
      <c r="R509" s="22">
        <v>5.0410000000000004</v>
      </c>
      <c r="S509" s="22">
        <v>4.9390000000000001</v>
      </c>
      <c r="T509" s="22">
        <v>4.9249999999999998</v>
      </c>
      <c r="U509" s="22">
        <v>4.5529999999999999</v>
      </c>
      <c r="V509" s="22">
        <v>4.6849999999999996</v>
      </c>
      <c r="W509" s="33"/>
      <c r="X509" s="33"/>
      <c r="Y509" s="33"/>
      <c r="Z509" s="22">
        <v>4.7530000000000001</v>
      </c>
      <c r="AA509" s="33"/>
      <c r="AB509" s="22">
        <v>4.899</v>
      </c>
      <c r="AC509" s="22">
        <v>4.9119999999999999</v>
      </c>
      <c r="AD509" s="22">
        <v>4.9219999999999997</v>
      </c>
      <c r="AE509" s="22">
        <v>4.7750000000000004</v>
      </c>
      <c r="AF509" s="22">
        <v>4.9169999999999998</v>
      </c>
      <c r="AG509" s="22">
        <v>4.47</v>
      </c>
      <c r="AH509" s="22">
        <f t="shared" si="57"/>
        <v>4.6935000000000002</v>
      </c>
      <c r="AI509" s="8">
        <v>4.55</v>
      </c>
      <c r="AJ509" s="8">
        <v>4.78</v>
      </c>
      <c r="AK509" s="8">
        <v>4.53</v>
      </c>
      <c r="AL509" s="7">
        <v>4.7300000000000004</v>
      </c>
      <c r="AM509" s="7">
        <v>4.68</v>
      </c>
      <c r="AN509" s="8">
        <v>4.88</v>
      </c>
      <c r="AO509" s="7">
        <v>4.8600000000000003</v>
      </c>
      <c r="AP509" s="3"/>
      <c r="AQ509" s="8"/>
    </row>
    <row r="510" spans="1:43">
      <c r="A510" s="1">
        <f t="shared" si="56"/>
        <v>508</v>
      </c>
      <c r="B510" s="19"/>
      <c r="C510" s="1">
        <v>5</v>
      </c>
      <c r="D510" s="4">
        <f t="shared" si="55"/>
        <v>35</v>
      </c>
      <c r="E510" s="4" t="s">
        <v>225</v>
      </c>
      <c r="F510" s="4">
        <v>3</v>
      </c>
      <c r="G510" s="4" t="s">
        <v>14</v>
      </c>
      <c r="H510" s="4" t="s">
        <v>22</v>
      </c>
      <c r="I510" s="4"/>
      <c r="J510" s="5">
        <v>97.6</v>
      </c>
      <c r="K510" s="65"/>
      <c r="L510" s="38">
        <v>5.6639999999999997</v>
      </c>
      <c r="M510" s="127" t="s">
        <v>110</v>
      </c>
      <c r="N510" s="1" t="s">
        <v>13</v>
      </c>
      <c r="O510" s="22">
        <v>5.6950000000000003</v>
      </c>
      <c r="P510" s="1" t="s">
        <v>7</v>
      </c>
      <c r="Q510" s="3" t="s">
        <v>205</v>
      </c>
      <c r="R510" s="22">
        <v>5.8019999999999996</v>
      </c>
      <c r="S510" s="22">
        <v>5.665</v>
      </c>
      <c r="T510" s="22">
        <v>5.9610000000000003</v>
      </c>
      <c r="U510" s="22">
        <v>5.8719999999999999</v>
      </c>
      <c r="V510" s="22">
        <v>5.7670000000000003</v>
      </c>
      <c r="W510" s="33"/>
      <c r="X510" s="33"/>
      <c r="Y510" s="33"/>
      <c r="Z510" s="22">
        <v>5.6710000000000003</v>
      </c>
      <c r="AA510" s="33"/>
      <c r="AB510" s="22">
        <v>5.9320000000000004</v>
      </c>
      <c r="AC510" s="22">
        <v>5.8849999999999998</v>
      </c>
      <c r="AD510" s="22">
        <v>5.8109999999999999</v>
      </c>
      <c r="AE510" s="22">
        <v>5.819</v>
      </c>
      <c r="AF510" s="22">
        <v>5.7190000000000003</v>
      </c>
      <c r="AG510" s="22">
        <v>5.5720000000000001</v>
      </c>
      <c r="AH510" s="22">
        <f t="shared" si="57"/>
        <v>5.6455000000000002</v>
      </c>
      <c r="AI510" s="8">
        <v>5.03</v>
      </c>
      <c r="AJ510" s="8">
        <v>5.86</v>
      </c>
      <c r="AK510" s="8">
        <v>5.63</v>
      </c>
      <c r="AL510" s="7">
        <v>5.72</v>
      </c>
      <c r="AM510" s="7">
        <v>5.66</v>
      </c>
      <c r="AN510" s="8">
        <v>5.9</v>
      </c>
      <c r="AO510" s="7">
        <v>5.91</v>
      </c>
      <c r="AP510" s="3"/>
      <c r="AQ510" s="8"/>
    </row>
    <row r="511" spans="1:43">
      <c r="A511" s="1">
        <f t="shared" si="56"/>
        <v>509</v>
      </c>
      <c r="B511" s="19"/>
      <c r="C511" s="1">
        <v>5</v>
      </c>
      <c r="D511" s="4">
        <f t="shared" si="55"/>
        <v>35</v>
      </c>
      <c r="E511" s="4" t="s">
        <v>230</v>
      </c>
      <c r="F511" s="4">
        <v>3</v>
      </c>
      <c r="G511" s="4" t="s">
        <v>11</v>
      </c>
      <c r="H511" s="4" t="s">
        <v>17</v>
      </c>
      <c r="I511" s="4"/>
      <c r="J511" s="5">
        <v>97.9</v>
      </c>
      <c r="K511" s="65"/>
      <c r="L511" s="38">
        <v>5.7380000000000004</v>
      </c>
      <c r="M511" s="127" t="s">
        <v>110</v>
      </c>
      <c r="N511" s="1" t="s">
        <v>13</v>
      </c>
      <c r="O511" s="22">
        <v>5.7389999999999999</v>
      </c>
      <c r="P511" s="1" t="s">
        <v>7</v>
      </c>
      <c r="Q511" s="3" t="s">
        <v>205</v>
      </c>
      <c r="R511" s="22">
        <v>6.056</v>
      </c>
      <c r="S511" s="22">
        <v>5.9450000000000003</v>
      </c>
      <c r="T511" s="22">
        <v>5.9859999999999998</v>
      </c>
      <c r="U511" s="22">
        <v>5.4720000000000004</v>
      </c>
      <c r="V511" s="22">
        <v>5.7729999999999997</v>
      </c>
      <c r="W511" s="33"/>
      <c r="X511" s="33"/>
      <c r="Y511" s="33"/>
      <c r="Z511" s="22">
        <v>5.7439999999999998</v>
      </c>
      <c r="AA511" s="33"/>
      <c r="AB511" s="22">
        <v>5.8250000000000002</v>
      </c>
      <c r="AC511" s="22">
        <v>5.8330000000000002</v>
      </c>
      <c r="AD511" s="22">
        <v>5.875</v>
      </c>
      <c r="AE511" s="22">
        <v>5.6790000000000003</v>
      </c>
      <c r="AF511" s="22">
        <v>5.9269999999999996</v>
      </c>
      <c r="AG511" s="22">
        <v>5.4889999999999999</v>
      </c>
      <c r="AH511" s="22">
        <f t="shared" si="57"/>
        <v>5.7080000000000002</v>
      </c>
      <c r="AI511" s="8">
        <v>5.69</v>
      </c>
      <c r="AJ511" s="8">
        <v>5.85</v>
      </c>
      <c r="AK511" s="8">
        <v>5.48</v>
      </c>
      <c r="AL511" s="7">
        <v>5.8</v>
      </c>
      <c r="AM511" s="7">
        <v>5.72</v>
      </c>
      <c r="AN511" s="8">
        <v>5.96</v>
      </c>
      <c r="AO511" s="7">
        <v>5.91</v>
      </c>
      <c r="AP511" s="3"/>
      <c r="AQ511" s="8"/>
    </row>
    <row r="512" spans="1:43">
      <c r="A512" s="1">
        <f t="shared" si="56"/>
        <v>510</v>
      </c>
      <c r="B512" s="19"/>
      <c r="C512" s="1">
        <v>5</v>
      </c>
      <c r="D512" s="4">
        <f t="shared" si="55"/>
        <v>35</v>
      </c>
      <c r="E512" s="4" t="s">
        <v>225</v>
      </c>
      <c r="F512" s="4">
        <v>3</v>
      </c>
      <c r="G512" s="4" t="s">
        <v>11</v>
      </c>
      <c r="H512" s="4" t="s">
        <v>12</v>
      </c>
      <c r="I512" s="4"/>
      <c r="J512" s="5">
        <v>97.3</v>
      </c>
      <c r="K512" s="65"/>
      <c r="L512" s="38">
        <v>6.3090000000000002</v>
      </c>
      <c r="M512" s="127" t="s">
        <v>110</v>
      </c>
      <c r="N512" s="1" t="s">
        <v>13</v>
      </c>
      <c r="O512" s="22">
        <v>6.3129999999999997</v>
      </c>
      <c r="P512" s="1" t="s">
        <v>7</v>
      </c>
      <c r="Q512" s="3" t="s">
        <v>205</v>
      </c>
      <c r="R512" s="22">
        <v>6.5629999999999997</v>
      </c>
      <c r="S512" s="22">
        <v>6.3609999999999998</v>
      </c>
      <c r="T512" s="22">
        <v>6.5259999999999998</v>
      </c>
      <c r="U512" s="22">
        <v>6.1630000000000003</v>
      </c>
      <c r="V512" s="22">
        <v>6.4020000000000001</v>
      </c>
      <c r="W512" s="33"/>
      <c r="X512" s="33"/>
      <c r="Y512" s="33"/>
      <c r="Z512" s="22">
        <v>6.327</v>
      </c>
      <c r="AA512" s="33"/>
      <c r="AB512" s="22">
        <v>6.5439999999999996</v>
      </c>
      <c r="AC512" s="22">
        <v>6.5739999999999998</v>
      </c>
      <c r="AD512" s="22">
        <v>6.5039999999999996</v>
      </c>
      <c r="AE512" s="22">
        <v>6.35</v>
      </c>
      <c r="AF512" s="22">
        <v>6.3079999999999998</v>
      </c>
      <c r="AG512" s="22">
        <v>6.2610000000000001</v>
      </c>
      <c r="AH512" s="22">
        <f t="shared" si="57"/>
        <v>6.2844999999999995</v>
      </c>
      <c r="AI512" s="8">
        <v>6.58</v>
      </c>
      <c r="AJ512" s="8">
        <v>6.44</v>
      </c>
      <c r="AK512" s="8">
        <v>6.1</v>
      </c>
      <c r="AL512" s="7">
        <v>6.43</v>
      </c>
      <c r="AM512" s="7">
        <v>6.37</v>
      </c>
      <c r="AN512" s="8">
        <v>6.51</v>
      </c>
      <c r="AO512" s="7">
        <v>6.48</v>
      </c>
      <c r="AP512" s="3"/>
      <c r="AQ512" s="8"/>
    </row>
    <row r="513" spans="1:43">
      <c r="A513" s="1">
        <f t="shared" si="56"/>
        <v>511</v>
      </c>
      <c r="B513" s="2" t="s">
        <v>37</v>
      </c>
      <c r="C513" s="1">
        <v>4</v>
      </c>
      <c r="D513" s="4">
        <f t="shared" si="55"/>
        <v>35</v>
      </c>
      <c r="E513" s="4" t="s">
        <v>128</v>
      </c>
      <c r="F513" s="4">
        <v>1</v>
      </c>
      <c r="G513" s="4" t="s">
        <v>14</v>
      </c>
      <c r="H513" s="4" t="s">
        <v>22</v>
      </c>
      <c r="I513" s="4"/>
      <c r="J513" s="5">
        <v>94.1</v>
      </c>
      <c r="K513" s="63">
        <v>6.0000000000000001E-3</v>
      </c>
      <c r="L513" s="38">
        <v>6.4770000000000003</v>
      </c>
      <c r="M513" s="127" t="s">
        <v>203</v>
      </c>
      <c r="N513" s="1" t="s">
        <v>13</v>
      </c>
      <c r="O513" s="22">
        <v>6.4970000000000008</v>
      </c>
      <c r="P513" s="1" t="s">
        <v>7</v>
      </c>
      <c r="Q513" s="3" t="s">
        <v>205</v>
      </c>
      <c r="R513" s="22">
        <v>6.4580000000000002</v>
      </c>
      <c r="S513" s="22">
        <v>6.3739999999999997</v>
      </c>
      <c r="T513" s="22">
        <v>6.5609999999999999</v>
      </c>
      <c r="U513" s="22">
        <v>6.5339999999999998</v>
      </c>
      <c r="V513" s="22">
        <v>6.5369999999999999</v>
      </c>
      <c r="W513" s="22">
        <v>6.4589999999999996</v>
      </c>
      <c r="X513" s="22">
        <v>6.4610000000000003</v>
      </c>
      <c r="Y513" s="22">
        <v>6.4720000000000004</v>
      </c>
      <c r="Z513" s="22">
        <v>6.4539999999999997</v>
      </c>
      <c r="AA513" s="22">
        <v>6.46</v>
      </c>
      <c r="AB513" s="22">
        <v>6.726</v>
      </c>
      <c r="AC513" s="22">
        <v>6.6879999999999997</v>
      </c>
      <c r="AD513" s="22">
        <v>6.5830000000000002</v>
      </c>
      <c r="AE513" s="22">
        <v>6.6210000000000004</v>
      </c>
      <c r="AF513" s="22">
        <v>6.4260000000000002</v>
      </c>
      <c r="AG513" s="22">
        <v>6.33</v>
      </c>
      <c r="AH513" s="22">
        <f t="shared" ref="AH513:AH515" si="58">0.5*(AF513+AG513)</f>
        <v>6.3780000000000001</v>
      </c>
      <c r="AI513" s="7">
        <v>6.21</v>
      </c>
      <c r="AJ513" s="7">
        <v>6.74</v>
      </c>
      <c r="AK513" s="7">
        <v>6.59</v>
      </c>
      <c r="AL513" s="7">
        <v>6.64</v>
      </c>
      <c r="AM513" s="7">
        <v>6.57</v>
      </c>
      <c r="AN513" s="7">
        <v>6.66</v>
      </c>
      <c r="AO513" s="7">
        <v>6.63</v>
      </c>
      <c r="AP513" s="3"/>
      <c r="AQ513" s="8"/>
    </row>
    <row r="514" spans="1:43">
      <c r="A514" s="1">
        <f t="shared" si="56"/>
        <v>512</v>
      </c>
      <c r="B514" s="19"/>
      <c r="C514" s="1">
        <v>4</v>
      </c>
      <c r="D514" s="4">
        <f t="shared" si="55"/>
        <v>35</v>
      </c>
      <c r="E514" s="4" t="s">
        <v>118</v>
      </c>
      <c r="F514" s="4">
        <v>1</v>
      </c>
      <c r="G514" s="4" t="s">
        <v>14</v>
      </c>
      <c r="H514" s="4" t="s">
        <v>23</v>
      </c>
      <c r="I514" s="4"/>
      <c r="J514" s="5">
        <v>94.2</v>
      </c>
      <c r="K514" s="63">
        <v>0.22800000000000001</v>
      </c>
      <c r="L514" s="38">
        <v>7.0109999999999992</v>
      </c>
      <c r="M514" s="127" t="s">
        <v>203</v>
      </c>
      <c r="N514" s="1" t="s">
        <v>13</v>
      </c>
      <c r="O514" s="22">
        <v>7.0079999999999991</v>
      </c>
      <c r="P514" s="1" t="s">
        <v>7</v>
      </c>
      <c r="Q514" s="3" t="s">
        <v>205</v>
      </c>
      <c r="R514" s="22">
        <v>7.0140000000000002</v>
      </c>
      <c r="S514" s="22">
        <v>6.952</v>
      </c>
      <c r="T514" s="22">
        <v>7.0640000000000001</v>
      </c>
      <c r="U514" s="22">
        <v>7.1029999999999998</v>
      </c>
      <c r="V514" s="22">
        <v>7.0860000000000003</v>
      </c>
      <c r="W514" s="22">
        <v>7</v>
      </c>
      <c r="X514" s="22">
        <v>6.9969999999999999</v>
      </c>
      <c r="Y514" s="22">
        <v>7.0140000000000002</v>
      </c>
      <c r="Z514" s="22">
        <v>6.9960000000000004</v>
      </c>
      <c r="AA514" s="22">
        <v>7.0060000000000002</v>
      </c>
      <c r="AB514" s="22">
        <v>7.1849999999999996</v>
      </c>
      <c r="AC514" s="22">
        <v>7.1849999999999996</v>
      </c>
      <c r="AD514" s="22">
        <v>7.109</v>
      </c>
      <c r="AE514" s="22">
        <v>7.0730000000000004</v>
      </c>
      <c r="AF514" s="22">
        <v>6.9720000000000004</v>
      </c>
      <c r="AG514" s="22">
        <v>6.8250000000000002</v>
      </c>
      <c r="AH514" s="22">
        <f t="shared" si="58"/>
        <v>6.8985000000000003</v>
      </c>
      <c r="AI514" s="7">
        <v>6.9</v>
      </c>
      <c r="AJ514" s="7">
        <v>7.32</v>
      </c>
      <c r="AK514" s="7">
        <v>7.14</v>
      </c>
      <c r="AL514" s="7">
        <v>7.24</v>
      </c>
      <c r="AM514" s="7">
        <v>7.18</v>
      </c>
      <c r="AN514" s="7">
        <v>7.25</v>
      </c>
      <c r="AO514" s="7">
        <v>7.2</v>
      </c>
      <c r="AP514" s="3"/>
      <c r="AQ514" s="8"/>
    </row>
    <row r="515" spans="1:43">
      <c r="A515" s="1">
        <f t="shared" si="56"/>
        <v>513</v>
      </c>
      <c r="B515" s="19"/>
      <c r="C515" s="1">
        <v>4</v>
      </c>
      <c r="D515" s="4">
        <f t="shared" si="55"/>
        <v>35</v>
      </c>
      <c r="E515" s="4" t="s">
        <v>143</v>
      </c>
      <c r="F515" s="4">
        <v>3</v>
      </c>
      <c r="G515" s="4" t="s">
        <v>11</v>
      </c>
      <c r="H515" s="4" t="s">
        <v>17</v>
      </c>
      <c r="I515" s="4"/>
      <c r="J515" s="5">
        <v>98.9</v>
      </c>
      <c r="K515" s="65"/>
      <c r="L515" s="38">
        <v>4.5369999999999999</v>
      </c>
      <c r="M515" s="127" t="s">
        <v>110</v>
      </c>
      <c r="N515" s="1" t="s">
        <v>13</v>
      </c>
      <c r="O515" s="22">
        <v>4.5459999999999994</v>
      </c>
      <c r="P515" s="1" t="s">
        <v>7</v>
      </c>
      <c r="Q515" s="3" t="s">
        <v>205</v>
      </c>
      <c r="R515" s="22">
        <v>4.6829999999999998</v>
      </c>
      <c r="S515" s="22">
        <v>4.6219999999999999</v>
      </c>
      <c r="T515" s="22">
        <v>4.5190000000000001</v>
      </c>
      <c r="U515" s="22">
        <v>4.1050000000000004</v>
      </c>
      <c r="V515" s="22">
        <v>4.476</v>
      </c>
      <c r="W515" s="46"/>
      <c r="X515" s="46"/>
      <c r="Y515" s="46"/>
      <c r="Z515" s="22">
        <v>4.5350000000000001</v>
      </c>
      <c r="AA515" s="46"/>
      <c r="AB515" s="22">
        <v>4.6379999999999999</v>
      </c>
      <c r="AC515" s="22">
        <v>4.6360000000000001</v>
      </c>
      <c r="AD515" s="22">
        <v>4.633</v>
      </c>
      <c r="AE515" s="22">
        <v>4.5460000000000003</v>
      </c>
      <c r="AF515" s="22">
        <v>4.62</v>
      </c>
      <c r="AG515" s="22">
        <v>4.3040000000000003</v>
      </c>
      <c r="AH515" s="22">
        <f t="shared" si="58"/>
        <v>4.4619999999999997</v>
      </c>
      <c r="AI515" s="7">
        <v>4.66</v>
      </c>
      <c r="AJ515" s="7">
        <v>4.59</v>
      </c>
      <c r="AK515" s="7">
        <v>4.41</v>
      </c>
      <c r="AL515" s="7">
        <v>4.58</v>
      </c>
      <c r="AM515" s="7">
        <v>4.53</v>
      </c>
      <c r="AN515" s="7">
        <v>4.6100000000000003</v>
      </c>
      <c r="AO515" s="7">
        <v>4.6100000000000003</v>
      </c>
      <c r="AP515" s="3"/>
      <c r="AQ515" s="8"/>
    </row>
    <row r="516" spans="1:43">
      <c r="A516" s="1">
        <f t="shared" si="56"/>
        <v>514</v>
      </c>
      <c r="B516" s="31" t="s">
        <v>80</v>
      </c>
      <c r="C516" s="1">
        <v>3</v>
      </c>
      <c r="D516" s="4">
        <f t="shared" ref="D516:D579" si="59">_xlfn.SWITCH(C516,1,12,2,12,3,35,4,35,5,35,6,69,7,69,8,69,9,69,1016)</f>
        <v>35</v>
      </c>
      <c r="E516" s="4" t="s">
        <v>131</v>
      </c>
      <c r="F516" s="4">
        <v>1</v>
      </c>
      <c r="G516" s="4" t="s">
        <v>11</v>
      </c>
      <c r="H516" s="4" t="s">
        <v>17</v>
      </c>
      <c r="I516" s="4"/>
      <c r="J516" s="5">
        <v>91</v>
      </c>
      <c r="K516" s="65"/>
      <c r="L516" s="38">
        <v>3.86</v>
      </c>
      <c r="M516" s="127" t="s">
        <v>105</v>
      </c>
      <c r="N516" s="4" t="s">
        <v>13</v>
      </c>
      <c r="O516" s="6">
        <v>3.8619999999999997</v>
      </c>
      <c r="P516" s="1" t="s">
        <v>7</v>
      </c>
      <c r="Q516" s="3" t="s">
        <v>205</v>
      </c>
      <c r="R516" s="22">
        <v>4.1749999999999998</v>
      </c>
      <c r="S516" s="6">
        <v>4.165</v>
      </c>
      <c r="T516" s="6">
        <v>4.0540000000000003</v>
      </c>
      <c r="U516" s="22">
        <v>3.84</v>
      </c>
      <c r="V516" s="6">
        <v>3.97</v>
      </c>
      <c r="W516" s="22">
        <v>3.915</v>
      </c>
      <c r="X516" s="22">
        <v>3.915</v>
      </c>
      <c r="Y516" s="22">
        <v>3.9039999999999999</v>
      </c>
      <c r="Z516" s="22">
        <v>3.8820000000000001</v>
      </c>
      <c r="AA516" s="22">
        <v>3.8740000000000001</v>
      </c>
      <c r="AB516" s="6">
        <v>4.0940000000000003</v>
      </c>
      <c r="AC516" s="6">
        <v>4.1369999999999996</v>
      </c>
      <c r="AD516" s="6">
        <v>4.1459999999999999</v>
      </c>
      <c r="AE516" s="6">
        <v>3.91</v>
      </c>
      <c r="AF516" s="6">
        <v>4.1130000000000004</v>
      </c>
      <c r="AG516" s="6">
        <v>3.67</v>
      </c>
      <c r="AH516" s="6">
        <f t="shared" ref="AH516:AH535" si="60">IF((AF516&lt;&gt;0)*AND(AG516&lt;&gt;0),AVERAGE(AF516:AG516),"")</f>
        <v>3.8915000000000002</v>
      </c>
      <c r="AI516" s="7">
        <v>3.98</v>
      </c>
      <c r="AJ516" s="7">
        <v>3.92</v>
      </c>
      <c r="AK516" s="7">
        <v>3.7</v>
      </c>
      <c r="AL516" s="7">
        <v>3.9</v>
      </c>
      <c r="AM516" s="7">
        <v>3.85</v>
      </c>
      <c r="AN516" s="7">
        <v>3.97</v>
      </c>
      <c r="AO516" s="7">
        <v>3.93</v>
      </c>
      <c r="AP516" s="3"/>
      <c r="AQ516" s="8"/>
    </row>
    <row r="517" spans="1:43">
      <c r="A517" s="1">
        <f t="shared" si="56"/>
        <v>515</v>
      </c>
      <c r="B517" s="31"/>
      <c r="C517" s="1">
        <v>3</v>
      </c>
      <c r="D517" s="4">
        <f t="shared" si="59"/>
        <v>35</v>
      </c>
      <c r="E517" s="4" t="s">
        <v>128</v>
      </c>
      <c r="F517" s="4">
        <v>1</v>
      </c>
      <c r="G517" s="4" t="s">
        <v>14</v>
      </c>
      <c r="H517" s="4" t="s">
        <v>22</v>
      </c>
      <c r="I517" s="4"/>
      <c r="J517" s="5">
        <v>93.9</v>
      </c>
      <c r="K517" s="63">
        <v>3.5000000000000003E-2</v>
      </c>
      <c r="L517" s="38">
        <v>5.9870000000000001</v>
      </c>
      <c r="M517" s="127" t="s">
        <v>103</v>
      </c>
      <c r="N517" s="4" t="s">
        <v>13</v>
      </c>
      <c r="O517" s="6">
        <v>6.0279999999999996</v>
      </c>
      <c r="P517" s="1" t="s">
        <v>7</v>
      </c>
      <c r="Q517" s="3" t="s">
        <v>205</v>
      </c>
      <c r="R517" s="22">
        <v>6.09</v>
      </c>
      <c r="S517" s="6">
        <v>5.9420000000000002</v>
      </c>
      <c r="T517" s="6">
        <v>6.2130000000000001</v>
      </c>
      <c r="U517" s="22">
        <v>6.0780000000000003</v>
      </c>
      <c r="V517" s="6">
        <v>6.093</v>
      </c>
      <c r="W517" s="22">
        <v>5.9790000000000001</v>
      </c>
      <c r="X517" s="22">
        <v>5.9850000000000003</v>
      </c>
      <c r="Y517" s="22">
        <v>5.9939999999999998</v>
      </c>
      <c r="Z517" s="22">
        <v>5.9560000000000004</v>
      </c>
      <c r="AA517" s="22">
        <v>5.992</v>
      </c>
      <c r="AB517" s="6">
        <v>6.2549999999999999</v>
      </c>
      <c r="AC517" s="6">
        <v>6.1630000000000003</v>
      </c>
      <c r="AD517" s="6">
        <v>6.0880000000000001</v>
      </c>
      <c r="AE517" s="6">
        <v>6.1289999999999996</v>
      </c>
      <c r="AF517" s="6">
        <v>6.0259999999999998</v>
      </c>
      <c r="AG517" s="6">
        <v>5.8739999999999997</v>
      </c>
      <c r="AH517" s="6">
        <f t="shared" si="60"/>
        <v>5.9499999999999993</v>
      </c>
      <c r="AI517" s="7">
        <v>5.22</v>
      </c>
      <c r="AJ517" s="7">
        <v>5.99</v>
      </c>
      <c r="AK517" s="7">
        <v>5.79</v>
      </c>
      <c r="AL517" s="7">
        <v>6</v>
      </c>
      <c r="AM517" s="7">
        <v>5.97</v>
      </c>
      <c r="AN517" s="7">
        <v>6.07</v>
      </c>
      <c r="AO517" s="7">
        <v>6.09</v>
      </c>
      <c r="AP517" s="3"/>
      <c r="AQ517" s="8"/>
    </row>
    <row r="518" spans="1:43">
      <c r="A518" s="1">
        <f t="shared" si="56"/>
        <v>516</v>
      </c>
      <c r="B518" s="31"/>
      <c r="C518" s="1">
        <v>3</v>
      </c>
      <c r="D518" s="4">
        <f t="shared" si="59"/>
        <v>35</v>
      </c>
      <c r="E518" s="4" t="s">
        <v>118</v>
      </c>
      <c r="F518" s="4">
        <v>1</v>
      </c>
      <c r="G518" s="4" t="s">
        <v>11</v>
      </c>
      <c r="H518" s="4" t="s">
        <v>17</v>
      </c>
      <c r="I518" s="4"/>
      <c r="J518" s="5">
        <v>92.4</v>
      </c>
      <c r="K518" s="63">
        <v>0.154</v>
      </c>
      <c r="L518" s="38">
        <v>7.2470000000000008</v>
      </c>
      <c r="M518" s="127" t="s">
        <v>117</v>
      </c>
      <c r="N518" s="4" t="s">
        <v>13</v>
      </c>
      <c r="O518" s="6">
        <v>7.2260000000000009</v>
      </c>
      <c r="P518" s="1" t="s">
        <v>7</v>
      </c>
      <c r="Q518" s="3" t="s">
        <v>205</v>
      </c>
      <c r="R518" s="22">
        <v>7.3609999999999998</v>
      </c>
      <c r="S518" s="22">
        <v>7.26</v>
      </c>
      <c r="T518" s="22">
        <v>7.4429999999999996</v>
      </c>
      <c r="U518" s="22">
        <v>7.19</v>
      </c>
      <c r="V518" s="22">
        <v>7.3559999999999999</v>
      </c>
      <c r="W518" s="22">
        <v>7.258</v>
      </c>
      <c r="X518" s="22">
        <v>7.258</v>
      </c>
      <c r="Y518" s="22">
        <v>7.2670000000000003</v>
      </c>
      <c r="Z518" s="22">
        <v>7.2309999999999999</v>
      </c>
      <c r="AA518" s="22">
        <v>7.2539999999999996</v>
      </c>
      <c r="AB518" s="6">
        <v>7.3719999999999999</v>
      </c>
      <c r="AC518" s="6">
        <v>7.3680000000000003</v>
      </c>
      <c r="AD518" s="6">
        <v>7.3330000000000002</v>
      </c>
      <c r="AE518" s="6">
        <v>7.2119999999999997</v>
      </c>
      <c r="AF518" s="22">
        <v>7.2640000000000002</v>
      </c>
      <c r="AG518" s="6">
        <v>7.15</v>
      </c>
      <c r="AH518" s="6">
        <f t="shared" si="60"/>
        <v>7.2070000000000007</v>
      </c>
      <c r="AI518" s="11"/>
      <c r="AJ518" s="11"/>
      <c r="AK518" s="11"/>
      <c r="AL518" s="11"/>
      <c r="AM518" s="11"/>
      <c r="AN518" s="11"/>
      <c r="AO518" s="11"/>
      <c r="AP518" s="3"/>
      <c r="AQ518" s="8"/>
    </row>
    <row r="519" spans="1:43">
      <c r="A519" s="1">
        <f t="shared" si="56"/>
        <v>517</v>
      </c>
      <c r="B519" s="31"/>
      <c r="C519" s="1">
        <v>3</v>
      </c>
      <c r="D519" s="4">
        <f t="shared" si="59"/>
        <v>35</v>
      </c>
      <c r="E519" s="4" t="s">
        <v>131</v>
      </c>
      <c r="F519" s="4">
        <v>1</v>
      </c>
      <c r="G519" s="4" t="s">
        <v>14</v>
      </c>
      <c r="H519" s="4" t="s">
        <v>23</v>
      </c>
      <c r="I519" s="4"/>
      <c r="J519" s="5">
        <v>94.4</v>
      </c>
      <c r="K519" s="65"/>
      <c r="L519" s="38">
        <v>7.2029999999999994</v>
      </c>
      <c r="M519" s="127" t="s">
        <v>103</v>
      </c>
      <c r="N519" s="4" t="s">
        <v>13</v>
      </c>
      <c r="O519" s="6">
        <v>7.2330000000000005</v>
      </c>
      <c r="P519" s="1" t="s">
        <v>7</v>
      </c>
      <c r="Q519" s="3" t="s">
        <v>205</v>
      </c>
      <c r="R519" s="22">
        <v>7.2489999999999997</v>
      </c>
      <c r="S519" s="6">
        <v>7.0860000000000003</v>
      </c>
      <c r="T519" s="6">
        <v>7.4260000000000002</v>
      </c>
      <c r="U519" s="22">
        <v>7.2809999999999997</v>
      </c>
      <c r="V519" s="6">
        <v>7.2919999999999998</v>
      </c>
      <c r="W519" s="22">
        <v>7.1820000000000004</v>
      </c>
      <c r="X519" s="22">
        <v>7.1890000000000001</v>
      </c>
      <c r="Y519" s="22">
        <v>7.1950000000000003</v>
      </c>
      <c r="Z519" s="22">
        <v>7.157</v>
      </c>
      <c r="AA519" s="22">
        <v>7.2030000000000003</v>
      </c>
      <c r="AB519" s="6">
        <v>7.4390000000000001</v>
      </c>
      <c r="AC519" s="6">
        <v>7.335</v>
      </c>
      <c r="AD519" s="6">
        <v>7.25</v>
      </c>
      <c r="AE519" s="6">
        <v>7.3230000000000004</v>
      </c>
      <c r="AF519" s="6">
        <v>7.181</v>
      </c>
      <c r="AG519" s="6">
        <v>7.0670000000000002</v>
      </c>
      <c r="AH519" s="6">
        <f t="shared" si="60"/>
        <v>7.1240000000000006</v>
      </c>
      <c r="AI519" s="7">
        <v>6.38</v>
      </c>
      <c r="AJ519" s="7">
        <v>7.25</v>
      </c>
      <c r="AK519" s="7">
        <v>7.05</v>
      </c>
      <c r="AL519" s="7">
        <v>7.19</v>
      </c>
      <c r="AM519" s="7">
        <v>7.15</v>
      </c>
      <c r="AN519" s="7">
        <v>7.26</v>
      </c>
      <c r="AO519" s="7">
        <v>7.28</v>
      </c>
      <c r="AP519" s="3"/>
      <c r="AQ519" s="8"/>
    </row>
    <row r="520" spans="1:43">
      <c r="A520" s="1">
        <f t="shared" si="56"/>
        <v>518</v>
      </c>
      <c r="B520" s="31"/>
      <c r="C520" s="1">
        <v>3</v>
      </c>
      <c r="D520" s="4">
        <f t="shared" si="59"/>
        <v>35</v>
      </c>
      <c r="E520" s="4" t="s">
        <v>130</v>
      </c>
      <c r="F520" s="4">
        <v>3</v>
      </c>
      <c r="G520" s="4" t="s">
        <v>11</v>
      </c>
      <c r="H520" s="4" t="s">
        <v>17</v>
      </c>
      <c r="I520" s="4"/>
      <c r="J520" s="5">
        <v>91</v>
      </c>
      <c r="K520" s="65"/>
      <c r="L520" s="38">
        <v>3.7650000000000006</v>
      </c>
      <c r="M520" s="127" t="s">
        <v>103</v>
      </c>
      <c r="N520" s="4" t="s">
        <v>13</v>
      </c>
      <c r="O520" s="6">
        <v>3.7680000000000002</v>
      </c>
      <c r="P520" s="1" t="s">
        <v>7</v>
      </c>
      <c r="Q520" s="3" t="s">
        <v>205</v>
      </c>
      <c r="R520" s="22">
        <v>3.9990000000000001</v>
      </c>
      <c r="S520" s="6">
        <v>3.9780000000000002</v>
      </c>
      <c r="T520" s="6">
        <v>3.9020000000000001</v>
      </c>
      <c r="U520" s="22">
        <v>3.831</v>
      </c>
      <c r="V520" s="22">
        <v>3.8290000000000002</v>
      </c>
      <c r="W520" s="46"/>
      <c r="X520" s="46"/>
      <c r="Y520" s="46"/>
      <c r="Z520" s="22">
        <v>3.7829999999999999</v>
      </c>
      <c r="AA520" s="22">
        <v>3.7749999999999999</v>
      </c>
      <c r="AB520" s="6">
        <v>3.99</v>
      </c>
      <c r="AC520" s="6">
        <v>4.0330000000000004</v>
      </c>
      <c r="AD520" s="6">
        <v>4.0140000000000002</v>
      </c>
      <c r="AE520" s="6">
        <v>3.8239999999999998</v>
      </c>
      <c r="AF520" s="6">
        <v>3.923</v>
      </c>
      <c r="AG520" s="6">
        <v>3.56</v>
      </c>
      <c r="AH520" s="6">
        <f t="shared" si="60"/>
        <v>3.7415000000000003</v>
      </c>
      <c r="AI520" s="7">
        <v>3.92</v>
      </c>
      <c r="AJ520" s="7">
        <v>3.81</v>
      </c>
      <c r="AK520" s="7">
        <v>3.59</v>
      </c>
      <c r="AL520" s="7">
        <v>3.79</v>
      </c>
      <c r="AM520" s="7">
        <v>3.74</v>
      </c>
      <c r="AN520" s="7">
        <v>3.85</v>
      </c>
      <c r="AO520" s="7">
        <v>3.8</v>
      </c>
      <c r="AP520" s="3"/>
      <c r="AQ520" s="8"/>
    </row>
    <row r="521" spans="1:43">
      <c r="A521" s="1">
        <f t="shared" si="56"/>
        <v>519</v>
      </c>
      <c r="B521" s="31"/>
      <c r="C521" s="1">
        <v>3</v>
      </c>
      <c r="D521" s="4">
        <f t="shared" si="59"/>
        <v>35</v>
      </c>
      <c r="E521" s="4" t="s">
        <v>143</v>
      </c>
      <c r="F521" s="4">
        <v>3</v>
      </c>
      <c r="G521" s="4" t="s">
        <v>11</v>
      </c>
      <c r="H521" s="4" t="s">
        <v>17</v>
      </c>
      <c r="I521" s="4"/>
      <c r="J521" s="5">
        <v>98.6</v>
      </c>
      <c r="K521" s="65"/>
      <c r="L521" s="38">
        <v>5.6049999999999995</v>
      </c>
      <c r="M521" s="127" t="s">
        <v>103</v>
      </c>
      <c r="N521" s="4" t="s">
        <v>13</v>
      </c>
      <c r="O521" s="6">
        <v>5.6099999999999985</v>
      </c>
      <c r="P521" s="1" t="s">
        <v>7</v>
      </c>
      <c r="Q521" s="3" t="s">
        <v>205</v>
      </c>
      <c r="R521" s="22">
        <v>5.7839999999999998</v>
      </c>
      <c r="S521" s="6">
        <v>5.7240000000000002</v>
      </c>
      <c r="T521" s="6">
        <v>5.6630000000000003</v>
      </c>
      <c r="U521" s="22">
        <v>5.532</v>
      </c>
      <c r="V521" s="22">
        <v>5.5540000000000003</v>
      </c>
      <c r="W521" s="46"/>
      <c r="X521" s="46"/>
      <c r="Y521" s="46"/>
      <c r="Z521" s="22">
        <v>5.61</v>
      </c>
      <c r="AA521" s="22">
        <v>5.5979999999999999</v>
      </c>
      <c r="AB521" s="6">
        <v>5.7060000000000004</v>
      </c>
      <c r="AC521" s="6">
        <v>5.7320000000000002</v>
      </c>
      <c r="AD521" s="6">
        <v>5.7309999999999999</v>
      </c>
      <c r="AE521" s="6">
        <v>5.5830000000000002</v>
      </c>
      <c r="AF521" s="6">
        <v>5.665</v>
      </c>
      <c r="AG521" s="6">
        <v>5.3879999999999999</v>
      </c>
      <c r="AH521" s="6">
        <f t="shared" si="60"/>
        <v>5.5265000000000004</v>
      </c>
      <c r="AI521" s="7">
        <v>5.79</v>
      </c>
      <c r="AJ521" s="7">
        <v>5.65</v>
      </c>
      <c r="AK521" s="7">
        <v>5.43</v>
      </c>
      <c r="AL521" s="7">
        <v>5.63</v>
      </c>
      <c r="AM521" s="7">
        <v>5.59</v>
      </c>
      <c r="AN521" s="7">
        <v>5.69</v>
      </c>
      <c r="AO521" s="7">
        <v>5.65</v>
      </c>
      <c r="AP521" s="3"/>
      <c r="AQ521" s="8"/>
    </row>
    <row r="522" spans="1:43">
      <c r="A522" s="1">
        <f t="shared" si="56"/>
        <v>520</v>
      </c>
      <c r="B522" s="31"/>
      <c r="C522" s="1">
        <v>3</v>
      </c>
      <c r="D522" s="4">
        <f t="shared" si="59"/>
        <v>35</v>
      </c>
      <c r="E522" s="4" t="s">
        <v>129</v>
      </c>
      <c r="F522" s="4">
        <v>3</v>
      </c>
      <c r="G522" s="4" t="s">
        <v>14</v>
      </c>
      <c r="H522" s="4" t="s">
        <v>22</v>
      </c>
      <c r="I522" s="4"/>
      <c r="J522" s="5">
        <v>98.1</v>
      </c>
      <c r="K522" s="65"/>
      <c r="L522" s="38">
        <v>5.7940000000000005</v>
      </c>
      <c r="M522" s="127" t="s">
        <v>103</v>
      </c>
      <c r="N522" s="4" t="s">
        <v>13</v>
      </c>
      <c r="O522" s="6">
        <v>5.838000000000001</v>
      </c>
      <c r="P522" s="1" t="s">
        <v>7</v>
      </c>
      <c r="Q522" s="3" t="s">
        <v>205</v>
      </c>
      <c r="R522" s="22">
        <v>5.9379999999999997</v>
      </c>
      <c r="S522" s="6">
        <v>5.7679999999999998</v>
      </c>
      <c r="T522" s="6">
        <v>6</v>
      </c>
      <c r="U522" s="22">
        <v>5.907</v>
      </c>
      <c r="V522" s="22">
        <v>5.8860000000000001</v>
      </c>
      <c r="W522" s="46"/>
      <c r="X522" s="46"/>
      <c r="Y522" s="46"/>
      <c r="Z522" s="22">
        <v>5.7629999999999999</v>
      </c>
      <c r="AA522" s="22">
        <v>5.798</v>
      </c>
      <c r="AB522" s="6">
        <v>6.1130000000000004</v>
      </c>
      <c r="AC522" s="6">
        <v>6.0220000000000002</v>
      </c>
      <c r="AD522" s="6">
        <v>5.9359999999999999</v>
      </c>
      <c r="AE522" s="6">
        <v>5.9969999999999999</v>
      </c>
      <c r="AF522" s="6">
        <v>5.8520000000000003</v>
      </c>
      <c r="AG522" s="6">
        <v>5.6689999999999996</v>
      </c>
      <c r="AH522" s="6">
        <f t="shared" si="60"/>
        <v>5.7605000000000004</v>
      </c>
      <c r="AI522" s="7">
        <v>5.05</v>
      </c>
      <c r="AJ522" s="7">
        <v>5.79</v>
      </c>
      <c r="AK522" s="7">
        <v>5.6</v>
      </c>
      <c r="AL522" s="7">
        <v>5.8</v>
      </c>
      <c r="AM522" s="7">
        <v>5.77</v>
      </c>
      <c r="AN522" s="7">
        <v>5.87</v>
      </c>
      <c r="AO522" s="7">
        <v>5.89</v>
      </c>
      <c r="AP522" s="3"/>
      <c r="AQ522" s="8"/>
    </row>
    <row r="523" spans="1:43">
      <c r="A523" s="1">
        <f t="shared" si="56"/>
        <v>521</v>
      </c>
      <c r="B523" s="31"/>
      <c r="C523" s="1">
        <v>3</v>
      </c>
      <c r="D523" s="4">
        <f t="shared" si="59"/>
        <v>35</v>
      </c>
      <c r="E523" s="4" t="s">
        <v>130</v>
      </c>
      <c r="F523" s="4">
        <v>3</v>
      </c>
      <c r="G523" s="4" t="s">
        <v>14</v>
      </c>
      <c r="H523" s="4" t="s">
        <v>23</v>
      </c>
      <c r="I523" s="4"/>
      <c r="J523" s="5">
        <v>94.4</v>
      </c>
      <c r="K523" s="65"/>
      <c r="L523" s="38">
        <v>7.1630000000000011</v>
      </c>
      <c r="M523" s="127" t="s">
        <v>103</v>
      </c>
      <c r="N523" s="4" t="s">
        <v>13</v>
      </c>
      <c r="O523" s="6">
        <v>7.1950000000000003</v>
      </c>
      <c r="P523" s="1" t="s">
        <v>7</v>
      </c>
      <c r="Q523" s="3" t="s">
        <v>205</v>
      </c>
      <c r="R523" s="22">
        <v>7.2350000000000003</v>
      </c>
      <c r="S523" s="6">
        <v>7.0579999999999998</v>
      </c>
      <c r="T523" s="6">
        <v>7.3860000000000001</v>
      </c>
      <c r="U523" s="22">
        <v>7.2539999999999996</v>
      </c>
      <c r="V523" s="22">
        <v>7.2519999999999998</v>
      </c>
      <c r="W523" s="46"/>
      <c r="X523" s="46"/>
      <c r="Y523" s="46"/>
      <c r="Z523" s="22">
        <v>7.1210000000000004</v>
      </c>
      <c r="AA523" s="22">
        <v>7.1660000000000004</v>
      </c>
      <c r="AB523" s="6">
        <v>7.42</v>
      </c>
      <c r="AC523" s="6">
        <v>7.3159999999999998</v>
      </c>
      <c r="AD523" s="6">
        <v>7.2279999999999998</v>
      </c>
      <c r="AE523" s="6">
        <v>7.3049999999999997</v>
      </c>
      <c r="AF523" s="6">
        <v>7.1529999999999996</v>
      </c>
      <c r="AG523" s="6">
        <v>7.0279999999999996</v>
      </c>
      <c r="AH523" s="6">
        <f t="shared" si="60"/>
        <v>7.0904999999999996</v>
      </c>
      <c r="AI523" s="7">
        <v>6.35</v>
      </c>
      <c r="AJ523" s="7">
        <v>7.22</v>
      </c>
      <c r="AK523" s="7">
        <v>7.01</v>
      </c>
      <c r="AL523" s="7">
        <v>7.15</v>
      </c>
      <c r="AM523" s="7">
        <v>7.11</v>
      </c>
      <c r="AN523" s="7">
        <v>7.22</v>
      </c>
      <c r="AO523" s="7">
        <v>7.24</v>
      </c>
      <c r="AP523" s="3"/>
      <c r="AQ523" s="8"/>
    </row>
    <row r="524" spans="1:43">
      <c r="A524" s="1">
        <f t="shared" si="56"/>
        <v>522</v>
      </c>
      <c r="B524" s="31"/>
      <c r="C524" s="1">
        <v>3</v>
      </c>
      <c r="D524" s="4">
        <f t="shared" si="59"/>
        <v>35</v>
      </c>
      <c r="E524" s="4" t="s">
        <v>122</v>
      </c>
      <c r="F524" s="4">
        <v>1</v>
      </c>
      <c r="G524" s="4" t="s">
        <v>11</v>
      </c>
      <c r="H524" s="4" t="s">
        <v>17</v>
      </c>
      <c r="I524" s="4" t="s">
        <v>251</v>
      </c>
      <c r="J524" s="5">
        <v>87.9</v>
      </c>
      <c r="K524" s="66">
        <v>0</v>
      </c>
      <c r="L524" s="38">
        <v>0.97200000000000009</v>
      </c>
      <c r="M524" s="127" t="s">
        <v>103</v>
      </c>
      <c r="N524" s="4" t="s">
        <v>13</v>
      </c>
      <c r="O524" s="6">
        <v>0.97399999999999987</v>
      </c>
      <c r="P524" s="1" t="s">
        <v>7</v>
      </c>
      <c r="Q524" s="3" t="s">
        <v>205</v>
      </c>
      <c r="R524" s="6">
        <v>1.28</v>
      </c>
      <c r="S524" s="6">
        <v>1.2629999999999999</v>
      </c>
      <c r="T524" s="6">
        <v>1.2150000000000001</v>
      </c>
      <c r="U524" s="6">
        <v>1.0589999999999999</v>
      </c>
      <c r="V524" s="6">
        <v>1.1339999999999999</v>
      </c>
      <c r="W524" s="6">
        <v>1.0609999999999999</v>
      </c>
      <c r="X524" s="6">
        <v>1.0589999999999999</v>
      </c>
      <c r="Y524" s="6">
        <v>1.028</v>
      </c>
      <c r="Z524" s="22">
        <v>0.999</v>
      </c>
      <c r="AA524" s="22">
        <v>0.997</v>
      </c>
      <c r="AB524" s="6">
        <v>1.2330000000000001</v>
      </c>
      <c r="AC524" s="6">
        <v>1.3149999999999999</v>
      </c>
      <c r="AD524" s="6">
        <v>1.2969999999999999</v>
      </c>
      <c r="AE524" s="6">
        <v>1.0389999999999999</v>
      </c>
      <c r="AF524" s="6">
        <v>1.194</v>
      </c>
      <c r="AG524" s="6">
        <v>0.67200000000000004</v>
      </c>
      <c r="AH524" s="6">
        <f t="shared" si="60"/>
        <v>0.93300000000000005</v>
      </c>
      <c r="AI524" s="7">
        <v>0.95</v>
      </c>
      <c r="AJ524" s="7">
        <v>1.05</v>
      </c>
      <c r="AK524" s="7">
        <v>0.88</v>
      </c>
      <c r="AL524" s="7">
        <v>1</v>
      </c>
      <c r="AM524" s="7">
        <v>0.95</v>
      </c>
      <c r="AN524" s="7">
        <v>1.04</v>
      </c>
      <c r="AO524" s="7">
        <v>1.02</v>
      </c>
      <c r="AP524" s="3"/>
      <c r="AQ524" s="8"/>
    </row>
    <row r="525" spans="1:43">
      <c r="A525" s="1">
        <f t="shared" si="56"/>
        <v>523</v>
      </c>
      <c r="B525" s="31" t="s">
        <v>156</v>
      </c>
      <c r="C525" s="1">
        <v>7</v>
      </c>
      <c r="D525" s="4">
        <f t="shared" si="59"/>
        <v>69</v>
      </c>
      <c r="E525" s="4" t="s">
        <v>128</v>
      </c>
      <c r="F525" s="4">
        <v>1</v>
      </c>
      <c r="G525" s="4" t="s">
        <v>11</v>
      </c>
      <c r="H525" s="4" t="s">
        <v>12</v>
      </c>
      <c r="I525" s="4"/>
      <c r="J525" s="12">
        <v>87.6</v>
      </c>
      <c r="K525" s="67">
        <v>0</v>
      </c>
      <c r="L525" s="38">
        <v>3.8099999999999996</v>
      </c>
      <c r="M525" s="127" t="s">
        <v>555</v>
      </c>
      <c r="N525" s="4" t="s">
        <v>13</v>
      </c>
      <c r="O525" s="71"/>
      <c r="P525" s="23"/>
      <c r="Q525" s="3" t="s">
        <v>205</v>
      </c>
      <c r="R525" s="22">
        <v>3.8559999999999999</v>
      </c>
      <c r="S525" s="22">
        <v>3.694</v>
      </c>
      <c r="T525" s="22">
        <v>4.149</v>
      </c>
      <c r="U525" s="22">
        <v>3.86</v>
      </c>
      <c r="V525" s="22">
        <v>4.0739999999999998</v>
      </c>
      <c r="W525" s="22">
        <v>3.899</v>
      </c>
      <c r="X525" s="22">
        <v>3.89</v>
      </c>
      <c r="Y525" s="22">
        <v>3.871</v>
      </c>
      <c r="Z525" s="22">
        <v>3.782</v>
      </c>
      <c r="AA525" s="22">
        <v>3.81</v>
      </c>
      <c r="AB525" s="22">
        <v>4.04</v>
      </c>
      <c r="AC525" s="22">
        <v>4.1920000000000002</v>
      </c>
      <c r="AD525" s="22">
        <v>4.0339999999999998</v>
      </c>
      <c r="AE525" s="22">
        <v>3.7850000000000001</v>
      </c>
      <c r="AF525" s="22">
        <v>3.5390000000000001</v>
      </c>
      <c r="AG525" s="22">
        <v>4.069</v>
      </c>
      <c r="AH525" s="6">
        <f t="shared" si="60"/>
        <v>3.8040000000000003</v>
      </c>
      <c r="AI525" s="11"/>
      <c r="AJ525" s="11"/>
      <c r="AK525" s="11"/>
      <c r="AL525" s="11"/>
      <c r="AM525" s="11"/>
      <c r="AN525" s="11"/>
      <c r="AO525" s="11"/>
      <c r="AP525" s="3"/>
      <c r="AQ525" s="8"/>
    </row>
    <row r="526" spans="1:43">
      <c r="A526" s="1">
        <f t="shared" si="56"/>
        <v>524</v>
      </c>
      <c r="B526" s="31"/>
      <c r="C526" s="1">
        <v>7</v>
      </c>
      <c r="D526" s="4">
        <f t="shared" si="59"/>
        <v>69</v>
      </c>
      <c r="E526" s="4" t="s">
        <v>131</v>
      </c>
      <c r="F526" s="4">
        <v>1</v>
      </c>
      <c r="G526" s="4" t="s">
        <v>11</v>
      </c>
      <c r="H526" s="4" t="s">
        <v>12</v>
      </c>
      <c r="I526" s="4"/>
      <c r="J526" s="12">
        <v>85.9</v>
      </c>
      <c r="K526" s="69"/>
      <c r="L526" s="38">
        <v>4.5150000000000006</v>
      </c>
      <c r="M526" s="127" t="s">
        <v>555</v>
      </c>
      <c r="N526" s="4" t="s">
        <v>13</v>
      </c>
      <c r="O526" s="71"/>
      <c r="P526" s="23"/>
      <c r="Q526" s="3" t="s">
        <v>205</v>
      </c>
      <c r="R526" s="22">
        <v>4.6639999999999997</v>
      </c>
      <c r="S526" s="22">
        <v>4.5229999999999997</v>
      </c>
      <c r="T526" s="22">
        <v>4.867</v>
      </c>
      <c r="U526" s="22">
        <v>4.5999999999999996</v>
      </c>
      <c r="V526" s="22">
        <v>4.8209999999999997</v>
      </c>
      <c r="W526" s="22">
        <v>4.6520000000000001</v>
      </c>
      <c r="X526" s="22">
        <v>4.6420000000000003</v>
      </c>
      <c r="Y526" s="22">
        <v>4.6040000000000001</v>
      </c>
      <c r="Z526" s="22">
        <v>4.5110000000000001</v>
      </c>
      <c r="AA526" s="22">
        <v>4.5339999999999998</v>
      </c>
      <c r="AB526" s="22">
        <v>4.7439999999999998</v>
      </c>
      <c r="AC526" s="22">
        <v>4.92</v>
      </c>
      <c r="AD526" s="22">
        <v>4.7960000000000003</v>
      </c>
      <c r="AE526" s="22">
        <v>4.4950000000000001</v>
      </c>
      <c r="AF526" s="22">
        <v>4.3259999999999996</v>
      </c>
      <c r="AG526" s="22">
        <v>4.7629999999999999</v>
      </c>
      <c r="AH526" s="6">
        <f t="shared" si="60"/>
        <v>4.5444999999999993</v>
      </c>
      <c r="AI526" s="11"/>
      <c r="AJ526" s="11"/>
      <c r="AK526" s="11"/>
      <c r="AL526" s="11"/>
      <c r="AM526" s="11"/>
      <c r="AN526" s="11"/>
      <c r="AO526" s="11"/>
      <c r="AP526" s="3"/>
      <c r="AQ526" s="8"/>
    </row>
    <row r="527" spans="1:43">
      <c r="A527" s="1">
        <f t="shared" si="56"/>
        <v>525</v>
      </c>
      <c r="B527" s="31"/>
      <c r="C527" s="1">
        <v>7</v>
      </c>
      <c r="D527" s="4">
        <f t="shared" si="59"/>
        <v>69</v>
      </c>
      <c r="E527" s="4" t="s">
        <v>137</v>
      </c>
      <c r="F527" s="4">
        <v>1</v>
      </c>
      <c r="G527" s="4" t="s">
        <v>11</v>
      </c>
      <c r="H527" s="4" t="s">
        <v>17</v>
      </c>
      <c r="I527" s="4"/>
      <c r="J527" s="12">
        <v>88.2</v>
      </c>
      <c r="K527" s="67">
        <v>2.5000000000000001E-2</v>
      </c>
      <c r="L527" s="38">
        <v>4.8690000000000007</v>
      </c>
      <c r="M527" s="127" t="s">
        <v>555</v>
      </c>
      <c r="N527" s="4" t="s">
        <v>13</v>
      </c>
      <c r="O527" s="71"/>
      <c r="P527" s="23"/>
      <c r="Q527" s="3" t="s">
        <v>205</v>
      </c>
      <c r="R527" s="22">
        <v>5.3940000000000001</v>
      </c>
      <c r="S527" s="22">
        <v>4.8689999999999998</v>
      </c>
      <c r="T527" s="22">
        <v>5.32</v>
      </c>
      <c r="U527" s="22">
        <v>4.806</v>
      </c>
      <c r="V527" s="22">
        <v>5.1630000000000003</v>
      </c>
      <c r="W527" s="22">
        <v>4.9429999999999996</v>
      </c>
      <c r="X527" s="22">
        <v>4.9409999999999998</v>
      </c>
      <c r="Y527" s="22">
        <v>4.9480000000000004</v>
      </c>
      <c r="Z527" s="22">
        <v>4.8600000000000003</v>
      </c>
      <c r="AA527" s="22">
        <v>4.8940000000000001</v>
      </c>
      <c r="AB527" s="22">
        <v>5.2</v>
      </c>
      <c r="AC527" s="22">
        <v>5.2370000000000001</v>
      </c>
      <c r="AD527" s="22">
        <v>5.1150000000000002</v>
      </c>
      <c r="AE527" s="22">
        <v>4.9509999999999996</v>
      </c>
      <c r="AF527" s="22">
        <v>4.819</v>
      </c>
      <c r="AG527" s="22">
        <v>4.8810000000000002</v>
      </c>
      <c r="AH527" s="6">
        <f t="shared" si="60"/>
        <v>4.8499999999999996</v>
      </c>
      <c r="AI527" s="11"/>
      <c r="AJ527" s="11"/>
      <c r="AK527" s="11"/>
      <c r="AL527" s="11"/>
      <c r="AM527" s="11"/>
      <c r="AN527" s="11"/>
      <c r="AO527" s="11"/>
      <c r="AP527" s="3"/>
      <c r="AQ527" s="8"/>
    </row>
    <row r="528" spans="1:43">
      <c r="A528" s="1">
        <f t="shared" si="56"/>
        <v>526</v>
      </c>
      <c r="B528" s="31"/>
      <c r="C528" s="1">
        <v>7</v>
      </c>
      <c r="D528" s="4">
        <f t="shared" si="59"/>
        <v>69</v>
      </c>
      <c r="E528" s="4" t="s">
        <v>137</v>
      </c>
      <c r="F528" s="4">
        <v>1</v>
      </c>
      <c r="G528" s="4" t="s">
        <v>11</v>
      </c>
      <c r="H528" s="4" t="s">
        <v>17</v>
      </c>
      <c r="I528" s="4"/>
      <c r="J528" s="12">
        <v>89.1</v>
      </c>
      <c r="K528" s="67">
        <v>0.373</v>
      </c>
      <c r="L528" s="38">
        <v>6.1769999999999996</v>
      </c>
      <c r="M528" s="127" t="s">
        <v>555</v>
      </c>
      <c r="N528" s="4" t="s">
        <v>13</v>
      </c>
      <c r="O528" s="71"/>
      <c r="P528" s="23"/>
      <c r="Q528" s="3" t="s">
        <v>205</v>
      </c>
      <c r="R528" s="22">
        <v>5.7359999999999998</v>
      </c>
      <c r="S528" s="22">
        <v>6.2210000000000001</v>
      </c>
      <c r="T528" s="22">
        <v>6.53</v>
      </c>
      <c r="U528" s="22">
        <v>6.2140000000000004</v>
      </c>
      <c r="V528" s="22">
        <v>6.476</v>
      </c>
      <c r="W528" s="22">
        <v>6.2649999999999997</v>
      </c>
      <c r="X528" s="22">
        <v>6.2460000000000004</v>
      </c>
      <c r="Y528" s="22">
        <v>6.2629999999999999</v>
      </c>
      <c r="Z528" s="22">
        <v>6.1849999999999996</v>
      </c>
      <c r="AA528" s="22">
        <v>6.2249999999999996</v>
      </c>
      <c r="AB528" s="22">
        <v>6.3979999999999997</v>
      </c>
      <c r="AC528" s="22">
        <v>6.5220000000000002</v>
      </c>
      <c r="AD528" s="22">
        <v>6.4249999999999998</v>
      </c>
      <c r="AE528" s="22">
        <v>6.1849999999999996</v>
      </c>
      <c r="AF528" s="22">
        <v>6.1050000000000004</v>
      </c>
      <c r="AG528" s="22">
        <v>6.2030000000000003</v>
      </c>
      <c r="AH528" s="6">
        <f t="shared" si="60"/>
        <v>6.1539999999999999</v>
      </c>
      <c r="AI528" s="11"/>
      <c r="AJ528" s="11"/>
      <c r="AK528" s="11"/>
      <c r="AL528" s="11"/>
      <c r="AM528" s="11"/>
      <c r="AN528" s="11"/>
      <c r="AO528" s="11"/>
      <c r="AP528" s="3"/>
      <c r="AQ528" s="8"/>
    </row>
    <row r="529" spans="1:43">
      <c r="A529" s="1">
        <f t="shared" si="56"/>
        <v>527</v>
      </c>
      <c r="B529" s="31"/>
      <c r="C529" s="1">
        <v>7</v>
      </c>
      <c r="D529" s="4">
        <f t="shared" si="59"/>
        <v>69</v>
      </c>
      <c r="E529" s="4" t="s">
        <v>137</v>
      </c>
      <c r="F529" s="4">
        <v>1</v>
      </c>
      <c r="G529" s="4" t="s">
        <v>14</v>
      </c>
      <c r="H529" s="4" t="s">
        <v>15</v>
      </c>
      <c r="I529" s="4"/>
      <c r="J529" s="12">
        <v>89.1</v>
      </c>
      <c r="K529" s="67">
        <v>3.4000000000000002E-2</v>
      </c>
      <c r="L529" s="38">
        <v>7.2320000000000011</v>
      </c>
      <c r="M529" s="127" t="s">
        <v>555</v>
      </c>
      <c r="N529" s="4" t="s">
        <v>13</v>
      </c>
      <c r="O529" s="71"/>
      <c r="P529" s="23"/>
      <c r="Q529" s="3" t="s">
        <v>205</v>
      </c>
      <c r="R529" s="22">
        <v>6.6470000000000002</v>
      </c>
      <c r="S529" s="22">
        <v>6.7069999999999999</v>
      </c>
      <c r="T529" s="22">
        <v>7.5750000000000002</v>
      </c>
      <c r="U529" s="46"/>
      <c r="V529" s="22">
        <v>7.4619999999999997</v>
      </c>
      <c r="W529" s="22">
        <v>7.282</v>
      </c>
      <c r="X529" s="22">
        <v>7.28</v>
      </c>
      <c r="Y529" s="22">
        <v>7.3079999999999998</v>
      </c>
      <c r="Z529" s="22">
        <v>7.1879999999999997</v>
      </c>
      <c r="AA529" s="22">
        <v>7.2110000000000003</v>
      </c>
      <c r="AB529" s="22">
        <v>7.3940000000000001</v>
      </c>
      <c r="AC529" s="22">
        <v>7.407</v>
      </c>
      <c r="AD529" s="22">
        <v>7.173</v>
      </c>
      <c r="AE529" s="22">
        <v>7.1870000000000003</v>
      </c>
      <c r="AF529" s="22">
        <v>6.7060000000000004</v>
      </c>
      <c r="AG529" s="22">
        <v>7.8029999999999999</v>
      </c>
      <c r="AH529" s="6">
        <f t="shared" si="60"/>
        <v>7.2545000000000002</v>
      </c>
      <c r="AI529" s="11"/>
      <c r="AJ529" s="11"/>
      <c r="AK529" s="11"/>
      <c r="AL529" s="11"/>
      <c r="AM529" s="11"/>
      <c r="AN529" s="11"/>
      <c r="AO529" s="11"/>
      <c r="AP529" s="3"/>
      <c r="AQ529" s="8"/>
    </row>
    <row r="530" spans="1:43">
      <c r="A530" s="1">
        <f t="shared" si="56"/>
        <v>528</v>
      </c>
      <c r="B530" s="31"/>
      <c r="C530" s="1">
        <v>7</v>
      </c>
      <c r="D530" s="4">
        <f t="shared" si="59"/>
        <v>69</v>
      </c>
      <c r="E530" s="4" t="s">
        <v>129</v>
      </c>
      <c r="F530" s="4">
        <v>3</v>
      </c>
      <c r="G530" s="4" t="s">
        <v>11</v>
      </c>
      <c r="H530" s="4" t="s">
        <v>12</v>
      </c>
      <c r="I530" s="4"/>
      <c r="J530" s="12">
        <v>96.3</v>
      </c>
      <c r="K530" s="69"/>
      <c r="L530" s="38">
        <v>3.5750000000000002</v>
      </c>
      <c r="M530" s="127" t="s">
        <v>113</v>
      </c>
      <c r="N530" s="4" t="s">
        <v>13</v>
      </c>
      <c r="O530" s="71"/>
      <c r="P530" s="23"/>
      <c r="Q530" s="3" t="s">
        <v>205</v>
      </c>
      <c r="R530" s="22">
        <v>3.669</v>
      </c>
      <c r="S530" s="22">
        <v>3.4460000000000002</v>
      </c>
      <c r="T530" s="22">
        <v>3.8690000000000002</v>
      </c>
      <c r="U530" s="22">
        <v>3.5529999999999999</v>
      </c>
      <c r="V530" s="22">
        <v>3.7789999999999999</v>
      </c>
      <c r="W530" s="46"/>
      <c r="X530" s="46"/>
      <c r="Y530" s="46"/>
      <c r="Z530" s="22">
        <v>3.5640000000000001</v>
      </c>
      <c r="AA530" s="46"/>
      <c r="AB530" s="22">
        <v>3.8479999999999999</v>
      </c>
      <c r="AC530" s="22">
        <v>3.996</v>
      </c>
      <c r="AD530" s="22">
        <v>3.8109999999999999</v>
      </c>
      <c r="AE530" s="22">
        <v>3.609</v>
      </c>
      <c r="AF530" s="22">
        <v>3.3050000000000002</v>
      </c>
      <c r="AG530" s="22">
        <v>3.456</v>
      </c>
      <c r="AH530" s="6">
        <f t="shared" si="60"/>
        <v>3.3805000000000001</v>
      </c>
      <c r="AI530" s="11"/>
      <c r="AJ530" s="11"/>
      <c r="AK530" s="11"/>
      <c r="AL530" s="11"/>
      <c r="AM530" s="11"/>
      <c r="AN530" s="11"/>
      <c r="AO530" s="11"/>
      <c r="AP530" s="3"/>
      <c r="AQ530" s="8"/>
    </row>
    <row r="531" spans="1:43">
      <c r="A531" s="1">
        <f t="shared" ref="A531:A594" si="61">A530+1</f>
        <v>529</v>
      </c>
      <c r="B531" s="31"/>
      <c r="C531" s="1">
        <v>7</v>
      </c>
      <c r="D531" s="4">
        <f t="shared" si="59"/>
        <v>69</v>
      </c>
      <c r="E531" s="4" t="s">
        <v>142</v>
      </c>
      <c r="F531" s="4">
        <v>3</v>
      </c>
      <c r="G531" s="4" t="s">
        <v>11</v>
      </c>
      <c r="H531" s="4" t="s">
        <v>17</v>
      </c>
      <c r="I531" s="4"/>
      <c r="J531" s="12">
        <v>98.4</v>
      </c>
      <c r="K531" s="69"/>
      <c r="L531" s="38">
        <v>3.742</v>
      </c>
      <c r="M531" s="127" t="s">
        <v>113</v>
      </c>
      <c r="N531" s="4" t="s">
        <v>13</v>
      </c>
      <c r="O531" s="71"/>
      <c r="P531" s="23"/>
      <c r="Q531" s="3" t="s">
        <v>205</v>
      </c>
      <c r="R531" s="22">
        <v>3.9830000000000001</v>
      </c>
      <c r="S531" s="22">
        <v>3.8519999999999999</v>
      </c>
      <c r="T531" s="22">
        <v>3.88</v>
      </c>
      <c r="U531" s="22">
        <v>3.4630000000000001</v>
      </c>
      <c r="V531" s="22">
        <v>3.7069999999999999</v>
      </c>
      <c r="W531" s="46"/>
      <c r="X531" s="46"/>
      <c r="Y531" s="46"/>
      <c r="Z531" s="22">
        <v>3.7330000000000001</v>
      </c>
      <c r="AA531" s="46"/>
      <c r="AB531" s="22">
        <v>3.9239999999999999</v>
      </c>
      <c r="AC531" s="22">
        <v>3.9260000000000002</v>
      </c>
      <c r="AD531" s="22">
        <v>3.9039999999999999</v>
      </c>
      <c r="AE531" s="22">
        <v>3.8</v>
      </c>
      <c r="AF531" s="22">
        <v>3.8460000000000001</v>
      </c>
      <c r="AG531" s="22">
        <v>3.7919999999999998</v>
      </c>
      <c r="AH531" s="6">
        <f t="shared" si="60"/>
        <v>3.819</v>
      </c>
      <c r="AI531" s="11"/>
      <c r="AJ531" s="11"/>
      <c r="AK531" s="11"/>
      <c r="AL531" s="11"/>
      <c r="AM531" s="11"/>
      <c r="AN531" s="11"/>
      <c r="AO531" s="11"/>
      <c r="AP531" s="3"/>
      <c r="AQ531" s="8"/>
    </row>
    <row r="532" spans="1:43">
      <c r="A532" s="1">
        <f t="shared" si="61"/>
        <v>530</v>
      </c>
      <c r="B532" s="31"/>
      <c r="C532" s="1">
        <v>7</v>
      </c>
      <c r="D532" s="4">
        <f t="shared" si="59"/>
        <v>69</v>
      </c>
      <c r="E532" s="4" t="s">
        <v>142</v>
      </c>
      <c r="F532" s="4">
        <v>3</v>
      </c>
      <c r="G532" s="4" t="s">
        <v>11</v>
      </c>
      <c r="H532" s="4" t="s">
        <v>17</v>
      </c>
      <c r="I532" s="4"/>
      <c r="J532" s="12">
        <v>96.9</v>
      </c>
      <c r="K532" s="69"/>
      <c r="L532" s="38">
        <v>4.2340000000000009</v>
      </c>
      <c r="M532" s="127" t="s">
        <v>113</v>
      </c>
      <c r="N532" s="4" t="s">
        <v>13</v>
      </c>
      <c r="O532" s="71"/>
      <c r="P532" s="23"/>
      <c r="Q532" s="3" t="s">
        <v>205</v>
      </c>
      <c r="R532" s="22">
        <v>4.6749999999999998</v>
      </c>
      <c r="S532" s="22">
        <v>4.3220000000000001</v>
      </c>
      <c r="T532" s="22">
        <v>4.577</v>
      </c>
      <c r="U532" s="22">
        <v>4.1319999999999997</v>
      </c>
      <c r="V532" s="22">
        <v>4.3520000000000003</v>
      </c>
      <c r="W532" s="46"/>
      <c r="X532" s="46"/>
      <c r="Y532" s="46"/>
      <c r="Z532" s="22">
        <v>4.2460000000000004</v>
      </c>
      <c r="AA532" s="46"/>
      <c r="AB532" s="22">
        <v>4.593</v>
      </c>
      <c r="AC532" s="22">
        <v>4.665</v>
      </c>
      <c r="AD532" s="22">
        <v>4.5529999999999999</v>
      </c>
      <c r="AE532" s="22">
        <v>4.3810000000000002</v>
      </c>
      <c r="AF532" s="22">
        <v>4.2300000000000004</v>
      </c>
      <c r="AG532" s="22">
        <v>4.1929999999999996</v>
      </c>
      <c r="AH532" s="6">
        <f t="shared" si="60"/>
        <v>4.2115</v>
      </c>
      <c r="AI532" s="11"/>
      <c r="AJ532" s="11"/>
      <c r="AK532" s="11"/>
      <c r="AL532" s="11"/>
      <c r="AM532" s="11"/>
      <c r="AN532" s="11"/>
      <c r="AO532" s="11"/>
      <c r="AP532" s="3"/>
      <c r="AQ532" s="8"/>
    </row>
    <row r="533" spans="1:43" ht="15">
      <c r="A533" s="1">
        <f t="shared" si="61"/>
        <v>531</v>
      </c>
      <c r="B533" s="31"/>
      <c r="C533" s="1">
        <v>7</v>
      </c>
      <c r="D533" s="4">
        <f t="shared" si="59"/>
        <v>69</v>
      </c>
      <c r="E533" s="4" t="s">
        <v>130</v>
      </c>
      <c r="F533" s="4">
        <v>3</v>
      </c>
      <c r="G533" s="4" t="s">
        <v>11</v>
      </c>
      <c r="H533" s="4" t="s">
        <v>12</v>
      </c>
      <c r="I533" s="4"/>
      <c r="J533" s="24">
        <v>96.1</v>
      </c>
      <c r="K533" s="65"/>
      <c r="L533" s="38">
        <v>4.3120000000000012</v>
      </c>
      <c r="M533" s="127" t="s">
        <v>113</v>
      </c>
      <c r="N533" s="4" t="s">
        <v>13</v>
      </c>
      <c r="O533" s="71"/>
      <c r="P533" s="23"/>
      <c r="Q533" s="3" t="s">
        <v>205</v>
      </c>
      <c r="R533" s="22">
        <v>4.444</v>
      </c>
      <c r="S533" s="22">
        <v>4.2670000000000003</v>
      </c>
      <c r="T533" s="22">
        <v>4.5759999999999996</v>
      </c>
      <c r="U533" s="22">
        <v>4.3070000000000004</v>
      </c>
      <c r="V533" s="22">
        <v>4.5140000000000002</v>
      </c>
      <c r="W533" s="46"/>
      <c r="X533" s="46"/>
      <c r="Y533" s="46"/>
      <c r="Z533" s="22">
        <v>4.3090000000000002</v>
      </c>
      <c r="AA533" s="46"/>
      <c r="AB533" s="22">
        <v>4.5469999999999997</v>
      </c>
      <c r="AC533" s="22">
        <v>4.71</v>
      </c>
      <c r="AD533" s="22">
        <v>4.5679999999999996</v>
      </c>
      <c r="AE533" s="22">
        <v>4.3159999999999998</v>
      </c>
      <c r="AF533" s="22">
        <v>4.0839999999999996</v>
      </c>
      <c r="AG533" s="22">
        <v>4.4989999999999997</v>
      </c>
      <c r="AH533" s="6">
        <f t="shared" si="60"/>
        <v>4.2914999999999992</v>
      </c>
      <c r="AI533" s="11"/>
      <c r="AJ533" s="11"/>
      <c r="AK533" s="11"/>
      <c r="AL533" s="11"/>
      <c r="AM533" s="11"/>
      <c r="AN533" s="11"/>
      <c r="AO533" s="11"/>
      <c r="AP533" s="3"/>
      <c r="AQ533" s="8"/>
    </row>
    <row r="534" spans="1:43">
      <c r="A534" s="1">
        <f t="shared" si="61"/>
        <v>532</v>
      </c>
      <c r="B534" s="31" t="s">
        <v>81</v>
      </c>
      <c r="C534" s="1">
        <v>2</v>
      </c>
      <c r="D534" s="4">
        <f t="shared" si="59"/>
        <v>12</v>
      </c>
      <c r="E534" s="4" t="s">
        <v>89</v>
      </c>
      <c r="F534" s="4">
        <v>1</v>
      </c>
      <c r="G534" s="4" t="s">
        <v>11</v>
      </c>
      <c r="H534" s="4" t="s">
        <v>12</v>
      </c>
      <c r="I534" s="4"/>
      <c r="J534" s="5">
        <v>90.7</v>
      </c>
      <c r="K534" s="63">
        <v>3.0000000000000001E-3</v>
      </c>
      <c r="L534" s="38">
        <v>5.1929999999999996</v>
      </c>
      <c r="M534" s="127" t="s">
        <v>220</v>
      </c>
      <c r="N534" s="4" t="s">
        <v>13</v>
      </c>
      <c r="O534" s="6">
        <v>5.1879999999999997</v>
      </c>
      <c r="P534" s="1" t="s">
        <v>7</v>
      </c>
      <c r="Q534" s="3" t="s">
        <v>205</v>
      </c>
      <c r="R534" s="22">
        <v>5.383</v>
      </c>
      <c r="S534" s="42">
        <v>5.3239999999999998</v>
      </c>
      <c r="T534" s="6">
        <v>5.1539999999999999</v>
      </c>
      <c r="U534" s="22">
        <v>5.2709999999999999</v>
      </c>
      <c r="V534" s="42">
        <v>5.2779999999999996</v>
      </c>
      <c r="W534" s="22">
        <v>5.2050000000000001</v>
      </c>
      <c r="X534" s="22">
        <v>5.2050000000000001</v>
      </c>
      <c r="Y534" s="22">
        <v>5.218</v>
      </c>
      <c r="Z534" s="22">
        <v>5.2030000000000003</v>
      </c>
      <c r="AA534" s="22">
        <v>5.19</v>
      </c>
      <c r="AB534" s="6">
        <v>5.4489999999999998</v>
      </c>
      <c r="AC534" s="6">
        <v>5.4829999999999997</v>
      </c>
      <c r="AD534" s="6">
        <v>5.43</v>
      </c>
      <c r="AE534" s="6">
        <v>5.2770000000000001</v>
      </c>
      <c r="AF534" s="6">
        <v>5.2880000000000003</v>
      </c>
      <c r="AG534" s="6">
        <v>5.05</v>
      </c>
      <c r="AH534" s="6">
        <f t="shared" si="60"/>
        <v>5.1690000000000005</v>
      </c>
      <c r="AI534" s="11"/>
      <c r="AJ534" s="11"/>
      <c r="AK534" s="11"/>
      <c r="AL534" s="11"/>
      <c r="AM534" s="11"/>
      <c r="AN534" s="11"/>
      <c r="AO534" s="11"/>
      <c r="AP534" s="3"/>
      <c r="AQ534" s="8"/>
    </row>
    <row r="535" spans="1:43">
      <c r="A535" s="1">
        <f t="shared" si="61"/>
        <v>533</v>
      </c>
      <c r="B535" s="31"/>
      <c r="C535" s="1">
        <v>2</v>
      </c>
      <c r="D535" s="4">
        <f t="shared" si="59"/>
        <v>12</v>
      </c>
      <c r="E535" s="4" t="s">
        <v>90</v>
      </c>
      <c r="F535" s="4">
        <v>3</v>
      </c>
      <c r="G535" s="4" t="s">
        <v>11</v>
      </c>
      <c r="H535" s="4" t="s">
        <v>12</v>
      </c>
      <c r="I535" s="4"/>
      <c r="J535" s="5">
        <v>98.1</v>
      </c>
      <c r="K535" s="65"/>
      <c r="L535" s="38">
        <v>4.6120000000000001</v>
      </c>
      <c r="M535" s="127" t="s">
        <v>117</v>
      </c>
      <c r="N535" s="4" t="s">
        <v>13</v>
      </c>
      <c r="O535" s="6">
        <v>4.617</v>
      </c>
      <c r="P535" s="1" t="s">
        <v>7</v>
      </c>
      <c r="Q535" s="3" t="s">
        <v>205</v>
      </c>
      <c r="R535" s="22">
        <v>4.7130000000000001</v>
      </c>
      <c r="S535" s="42">
        <v>4.6459999999999999</v>
      </c>
      <c r="T535" s="6">
        <v>4.516</v>
      </c>
      <c r="U535" s="22">
        <v>4.6769999999999996</v>
      </c>
      <c r="V535" s="22">
        <v>4.6349999999999998</v>
      </c>
      <c r="W535" s="46"/>
      <c r="X535" s="46"/>
      <c r="Y535" s="46"/>
      <c r="Z535" s="22">
        <v>4.6120000000000001</v>
      </c>
      <c r="AA535" s="22">
        <v>4.6079999999999997</v>
      </c>
      <c r="AB535" s="6">
        <v>4.867</v>
      </c>
      <c r="AC535" s="6">
        <v>4.8979999999999997</v>
      </c>
      <c r="AD535" s="6">
        <v>4.8129999999999997</v>
      </c>
      <c r="AE535" s="6">
        <v>4.7220000000000004</v>
      </c>
      <c r="AF535" s="6">
        <v>4.6109999999999998</v>
      </c>
      <c r="AG535" s="6">
        <v>4.4420000000000002</v>
      </c>
      <c r="AH535" s="6">
        <f t="shared" si="60"/>
        <v>4.5265000000000004</v>
      </c>
      <c r="AI535" s="11"/>
      <c r="AJ535" s="11"/>
      <c r="AK535" s="11"/>
      <c r="AL535" s="11"/>
      <c r="AM535" s="11"/>
      <c r="AN535" s="11"/>
      <c r="AO535" s="11"/>
      <c r="AP535" s="3"/>
      <c r="AQ535" s="8"/>
    </row>
    <row r="536" spans="1:43">
      <c r="A536" s="1">
        <f t="shared" si="61"/>
        <v>534</v>
      </c>
      <c r="B536" s="2" t="s">
        <v>92</v>
      </c>
      <c r="C536" s="1">
        <v>4</v>
      </c>
      <c r="D536" s="4">
        <f t="shared" si="59"/>
        <v>35</v>
      </c>
      <c r="E536" s="4" t="s">
        <v>137</v>
      </c>
      <c r="F536" s="4">
        <v>1</v>
      </c>
      <c r="G536" s="4" t="s">
        <v>11</v>
      </c>
      <c r="H536" s="4" t="s">
        <v>17</v>
      </c>
      <c r="I536" s="4"/>
      <c r="J536" s="5">
        <v>85.4</v>
      </c>
      <c r="K536" s="63">
        <v>1.0999999999999999E-2</v>
      </c>
      <c r="L536" s="38">
        <v>4.28</v>
      </c>
      <c r="M536" s="127" t="s">
        <v>203</v>
      </c>
      <c r="N536" s="1" t="s">
        <v>13</v>
      </c>
      <c r="O536" s="22">
        <v>4.2850000000000028</v>
      </c>
      <c r="P536" s="1" t="s">
        <v>7</v>
      </c>
      <c r="Q536" s="3" t="s">
        <v>205</v>
      </c>
      <c r="R536" s="22">
        <v>4.7149999999999999</v>
      </c>
      <c r="S536" s="22">
        <v>4.5069999999999997</v>
      </c>
      <c r="T536" s="22">
        <v>4.5410000000000004</v>
      </c>
      <c r="U536" s="22">
        <v>4.5010000000000003</v>
      </c>
      <c r="V536" s="22">
        <v>4.5830000000000002</v>
      </c>
      <c r="W536" s="22">
        <v>4.3609999999999998</v>
      </c>
      <c r="X536" s="22">
        <v>4.3550000000000004</v>
      </c>
      <c r="Y536" s="22">
        <v>4.3810000000000002</v>
      </c>
      <c r="Z536" s="22">
        <v>4.3129999999999997</v>
      </c>
      <c r="AA536" s="22">
        <v>4.306</v>
      </c>
      <c r="AB536" s="22">
        <v>4.7880000000000003</v>
      </c>
      <c r="AC536" s="22">
        <v>4.859</v>
      </c>
      <c r="AD536" s="22">
        <v>4.742</v>
      </c>
      <c r="AE536" s="22">
        <v>4.6070000000000002</v>
      </c>
      <c r="AF536" s="22">
        <v>4.4589999999999996</v>
      </c>
      <c r="AG536" s="22">
        <v>4.1790000000000003</v>
      </c>
      <c r="AH536" s="22">
        <f t="shared" ref="AH536:AH541" si="62">0.5*(AF536+AG536)</f>
        <v>4.319</v>
      </c>
      <c r="AI536" s="7">
        <v>4.47</v>
      </c>
      <c r="AJ536" s="7">
        <v>4.4000000000000004</v>
      </c>
      <c r="AK536" s="7">
        <v>4.12</v>
      </c>
      <c r="AL536" s="4">
        <v>4.3899999999999997</v>
      </c>
      <c r="AM536" s="4">
        <v>4.33</v>
      </c>
      <c r="AN536" s="7">
        <v>4.4000000000000004</v>
      </c>
      <c r="AO536" s="7">
        <v>4.37</v>
      </c>
      <c r="AP536" s="3"/>
      <c r="AQ536" s="8"/>
    </row>
    <row r="537" spans="1:43">
      <c r="A537" s="1">
        <f t="shared" si="61"/>
        <v>535</v>
      </c>
      <c r="B537" s="19"/>
      <c r="C537" s="1">
        <v>4</v>
      </c>
      <c r="D537" s="4">
        <f t="shared" si="59"/>
        <v>35</v>
      </c>
      <c r="E537" s="4" t="s">
        <v>128</v>
      </c>
      <c r="F537" s="4">
        <v>1</v>
      </c>
      <c r="G537" s="4" t="s">
        <v>14</v>
      </c>
      <c r="H537" s="4" t="s">
        <v>22</v>
      </c>
      <c r="I537" s="4"/>
      <c r="J537" s="5">
        <v>93.6</v>
      </c>
      <c r="K537" s="63">
        <v>5.0000000000000001E-3</v>
      </c>
      <c r="L537" s="38">
        <v>5.44</v>
      </c>
      <c r="M537" s="127" t="s">
        <v>203</v>
      </c>
      <c r="N537" s="1" t="s">
        <v>13</v>
      </c>
      <c r="O537" s="22">
        <v>5.4839999999999991</v>
      </c>
      <c r="P537" s="1" t="s">
        <v>7</v>
      </c>
      <c r="Q537" s="3" t="s">
        <v>205</v>
      </c>
      <c r="R537" s="22">
        <v>5.4269999999999996</v>
      </c>
      <c r="S537" s="22">
        <v>5.3540000000000001</v>
      </c>
      <c r="T537" s="22">
        <v>5.5350000000000001</v>
      </c>
      <c r="U537" s="22">
        <v>5.4729999999999999</v>
      </c>
      <c r="V537" s="22">
        <v>5.4790000000000001</v>
      </c>
      <c r="W537" s="22">
        <v>5.4379999999999997</v>
      </c>
      <c r="X537" s="22">
        <v>5.44</v>
      </c>
      <c r="Y537" s="22">
        <v>5.4480000000000004</v>
      </c>
      <c r="Z537" s="22">
        <v>5.44</v>
      </c>
      <c r="AA537" s="22">
        <v>5.4409999999999998</v>
      </c>
      <c r="AB537" s="22">
        <v>5.601</v>
      </c>
      <c r="AC537" s="22">
        <v>5.5869999999999997</v>
      </c>
      <c r="AD537" s="22">
        <v>5.5090000000000003</v>
      </c>
      <c r="AE537" s="22">
        <v>5.5010000000000003</v>
      </c>
      <c r="AF537" s="22">
        <v>5.375</v>
      </c>
      <c r="AG537" s="22">
        <v>5.2560000000000002</v>
      </c>
      <c r="AH537" s="22">
        <f t="shared" si="62"/>
        <v>5.3155000000000001</v>
      </c>
      <c r="AI537" s="7">
        <v>4.92</v>
      </c>
      <c r="AJ537" s="7">
        <v>5.57</v>
      </c>
      <c r="AK537" s="7">
        <v>5.44</v>
      </c>
      <c r="AL537" s="4">
        <v>5.46</v>
      </c>
      <c r="AM537" s="4">
        <v>5.41</v>
      </c>
      <c r="AN537" s="7">
        <v>5.49</v>
      </c>
      <c r="AO537" s="7">
        <v>5.49</v>
      </c>
      <c r="AP537" s="3"/>
      <c r="AQ537" s="8"/>
    </row>
    <row r="538" spans="1:43">
      <c r="A538" s="1">
        <f t="shared" si="61"/>
        <v>536</v>
      </c>
      <c r="B538" s="19"/>
      <c r="C538" s="1">
        <v>4</v>
      </c>
      <c r="D538" s="4">
        <f t="shared" si="59"/>
        <v>35</v>
      </c>
      <c r="E538" s="4" t="s">
        <v>131</v>
      </c>
      <c r="F538" s="4">
        <v>1</v>
      </c>
      <c r="G538" s="4" t="s">
        <v>14</v>
      </c>
      <c r="H538" s="4" t="s">
        <v>23</v>
      </c>
      <c r="I538" s="4"/>
      <c r="J538" s="5">
        <v>93.3</v>
      </c>
      <c r="K538" s="65"/>
      <c r="L538" s="38">
        <v>5.96</v>
      </c>
      <c r="M538" s="127" t="s">
        <v>203</v>
      </c>
      <c r="N538" s="1" t="s">
        <v>13</v>
      </c>
      <c r="O538" s="22">
        <v>5.9970000000000008</v>
      </c>
      <c r="P538" s="1" t="s">
        <v>7</v>
      </c>
      <c r="Q538" s="3" t="s">
        <v>205</v>
      </c>
      <c r="R538" s="22">
        <v>5.9349999999999996</v>
      </c>
      <c r="S538" s="22">
        <v>5.8520000000000003</v>
      </c>
      <c r="T538" s="22">
        <v>6.0529999999999999</v>
      </c>
      <c r="U538" s="22">
        <v>6.0110000000000001</v>
      </c>
      <c r="V538" s="22">
        <v>5.9989999999999997</v>
      </c>
      <c r="W538" s="22">
        <v>5.9560000000000004</v>
      </c>
      <c r="X538" s="22">
        <v>5.9580000000000002</v>
      </c>
      <c r="Y538" s="22">
        <v>5.9660000000000002</v>
      </c>
      <c r="Z538" s="22">
        <v>5.9539999999999997</v>
      </c>
      <c r="AA538" s="22">
        <v>5.9560000000000004</v>
      </c>
      <c r="AB538" s="22">
        <v>6.1429999999999998</v>
      </c>
      <c r="AC538" s="22">
        <v>6.1319999999999997</v>
      </c>
      <c r="AD538" s="22">
        <v>6.0380000000000003</v>
      </c>
      <c r="AE538" s="22">
        <v>6.0419999999999998</v>
      </c>
      <c r="AF538" s="22">
        <v>5.87</v>
      </c>
      <c r="AG538" s="22">
        <v>5.7779999999999996</v>
      </c>
      <c r="AH538" s="22">
        <f t="shared" si="62"/>
        <v>5.8239999999999998</v>
      </c>
      <c r="AI538" s="7">
        <v>5.37</v>
      </c>
      <c r="AJ538" s="7">
        <v>6.09</v>
      </c>
      <c r="AK538" s="7">
        <v>5.97</v>
      </c>
      <c r="AL538" s="4">
        <v>5.97</v>
      </c>
      <c r="AM538" s="4">
        <v>5.92</v>
      </c>
      <c r="AN538" s="7">
        <v>6</v>
      </c>
      <c r="AO538" s="7">
        <v>6</v>
      </c>
      <c r="AP538" s="3"/>
      <c r="AQ538" s="8"/>
    </row>
    <row r="539" spans="1:43">
      <c r="A539" s="1">
        <f t="shared" si="61"/>
        <v>537</v>
      </c>
      <c r="B539" s="19"/>
      <c r="C539" s="1">
        <v>4</v>
      </c>
      <c r="D539" s="4">
        <f t="shared" si="59"/>
        <v>35</v>
      </c>
      <c r="E539" s="4" t="s">
        <v>118</v>
      </c>
      <c r="F539" s="4">
        <v>1</v>
      </c>
      <c r="G539" s="4" t="s">
        <v>11</v>
      </c>
      <c r="H539" s="4" t="s">
        <v>17</v>
      </c>
      <c r="I539" s="4"/>
      <c r="J539" s="5">
        <v>92.8</v>
      </c>
      <c r="K539" s="63">
        <v>0.224</v>
      </c>
      <c r="L539" s="38">
        <v>6.12</v>
      </c>
      <c r="M539" s="127" t="s">
        <v>203</v>
      </c>
      <c r="N539" s="1" t="s">
        <v>13</v>
      </c>
      <c r="O539" s="22">
        <v>6.0970000000000022</v>
      </c>
      <c r="P539" s="1" t="s">
        <v>7</v>
      </c>
      <c r="Q539" s="3" t="s">
        <v>205</v>
      </c>
      <c r="R539" s="22">
        <v>6.1349999999999998</v>
      </c>
      <c r="S539" s="22">
        <v>6.093</v>
      </c>
      <c r="T539" s="22">
        <v>6.2060000000000004</v>
      </c>
      <c r="U539" s="22">
        <v>6.2149999999999999</v>
      </c>
      <c r="V539" s="22">
        <v>6.1719999999999997</v>
      </c>
      <c r="W539" s="22">
        <v>6.1260000000000003</v>
      </c>
      <c r="X539" s="22">
        <v>6.1239999999999997</v>
      </c>
      <c r="Y539" s="22">
        <v>6.1360000000000001</v>
      </c>
      <c r="Z539" s="22">
        <v>6.1260000000000003</v>
      </c>
      <c r="AA539" s="22">
        <v>6.1260000000000003</v>
      </c>
      <c r="AB539" s="22">
        <v>6.2380000000000004</v>
      </c>
      <c r="AC539" s="22">
        <v>6.258</v>
      </c>
      <c r="AD539" s="22">
        <v>6.2030000000000003</v>
      </c>
      <c r="AE539" s="22">
        <v>6.1210000000000004</v>
      </c>
      <c r="AF539" s="22">
        <v>6.0860000000000003</v>
      </c>
      <c r="AG539" s="22">
        <v>5.9130000000000003</v>
      </c>
      <c r="AH539" s="22">
        <f t="shared" si="62"/>
        <v>5.9995000000000003</v>
      </c>
      <c r="AI539" s="7">
        <v>5.37</v>
      </c>
      <c r="AJ539" s="7">
        <v>6.26</v>
      </c>
      <c r="AK539" s="7">
        <v>6.16</v>
      </c>
      <c r="AL539" s="4">
        <v>6.17</v>
      </c>
      <c r="AM539" s="4">
        <v>6.13</v>
      </c>
      <c r="AN539" s="7">
        <v>6.37</v>
      </c>
      <c r="AO539" s="7">
        <v>6.36</v>
      </c>
      <c r="AP539" s="3"/>
      <c r="AQ539" s="8"/>
    </row>
    <row r="540" spans="1:43">
      <c r="A540" s="1">
        <f t="shared" si="61"/>
        <v>538</v>
      </c>
      <c r="B540" s="19"/>
      <c r="C540" s="1">
        <v>4</v>
      </c>
      <c r="D540" s="4">
        <f t="shared" si="59"/>
        <v>35</v>
      </c>
      <c r="E540" s="4" t="s">
        <v>142</v>
      </c>
      <c r="F540" s="4">
        <v>3</v>
      </c>
      <c r="G540" s="4" t="s">
        <v>11</v>
      </c>
      <c r="H540" s="4" t="s">
        <v>17</v>
      </c>
      <c r="I540" s="4"/>
      <c r="J540" s="5">
        <v>97.2</v>
      </c>
      <c r="K540" s="65"/>
      <c r="L540" s="38">
        <v>3.4910000000000001</v>
      </c>
      <c r="M540" s="127" t="s">
        <v>99</v>
      </c>
      <c r="N540" s="1" t="s">
        <v>13</v>
      </c>
      <c r="O540" s="22">
        <v>3.4990000000000001</v>
      </c>
      <c r="P540" s="1" t="s">
        <v>7</v>
      </c>
      <c r="Q540" s="3" t="s">
        <v>205</v>
      </c>
      <c r="R540" s="22">
        <v>3.94</v>
      </c>
      <c r="S540" s="22">
        <v>3.6389999999999998</v>
      </c>
      <c r="T540" s="22">
        <v>3.6219999999999999</v>
      </c>
      <c r="U540" s="22">
        <v>3.6739999999999999</v>
      </c>
      <c r="V540" s="22">
        <v>3.5710000000000002</v>
      </c>
      <c r="W540" s="46"/>
      <c r="X540" s="46"/>
      <c r="Y540" s="46"/>
      <c r="Z540" s="22">
        <v>3.4950000000000001</v>
      </c>
      <c r="AA540" s="46"/>
      <c r="AB540" s="22">
        <v>3.8130000000000002</v>
      </c>
      <c r="AC540" s="22">
        <v>3.84</v>
      </c>
      <c r="AD540" s="22">
        <v>3.7770000000000001</v>
      </c>
      <c r="AE540" s="22">
        <v>3.6779999999999999</v>
      </c>
      <c r="AF540" s="22">
        <v>3.6139999999999999</v>
      </c>
      <c r="AG540" s="22">
        <v>3.3039999999999998</v>
      </c>
      <c r="AH540" s="22">
        <f t="shared" si="62"/>
        <v>3.4589999999999996</v>
      </c>
      <c r="AI540" s="7">
        <v>3.44</v>
      </c>
      <c r="AJ540" s="7">
        <v>3.57</v>
      </c>
      <c r="AK540" s="7">
        <v>3.34</v>
      </c>
      <c r="AL540" s="4">
        <v>3.55</v>
      </c>
      <c r="AM540" s="4">
        <v>3.49</v>
      </c>
      <c r="AN540" s="7">
        <v>3.67</v>
      </c>
      <c r="AO540" s="7">
        <v>3.66</v>
      </c>
      <c r="AP540" s="3"/>
      <c r="AQ540" s="8"/>
    </row>
    <row r="541" spans="1:43">
      <c r="A541" s="1">
        <f t="shared" si="61"/>
        <v>539</v>
      </c>
      <c r="B541" s="19"/>
      <c r="C541" s="1">
        <v>4</v>
      </c>
      <c r="D541" s="4">
        <f t="shared" si="59"/>
        <v>35</v>
      </c>
      <c r="E541" s="4" t="s">
        <v>143</v>
      </c>
      <c r="F541" s="4">
        <v>3</v>
      </c>
      <c r="G541" s="4" t="s">
        <v>11</v>
      </c>
      <c r="H541" s="4" t="s">
        <v>17</v>
      </c>
      <c r="I541" s="4"/>
      <c r="J541" s="5">
        <v>98.6</v>
      </c>
      <c r="K541" s="65"/>
      <c r="L541" s="38">
        <v>4.7320000000000002</v>
      </c>
      <c r="M541" s="127" t="s">
        <v>99</v>
      </c>
      <c r="N541" s="1" t="s">
        <v>13</v>
      </c>
      <c r="O541" s="22">
        <v>4.74</v>
      </c>
      <c r="P541" s="1" t="s">
        <v>7</v>
      </c>
      <c r="Q541" s="3" t="s">
        <v>205</v>
      </c>
      <c r="R541" s="22">
        <v>4.8570000000000002</v>
      </c>
      <c r="S541" s="22">
        <v>4.8140000000000001</v>
      </c>
      <c r="T541" s="22">
        <v>4.7519999999999998</v>
      </c>
      <c r="U541" s="22">
        <v>4.7750000000000004</v>
      </c>
      <c r="V541" s="22">
        <v>4.6920000000000002</v>
      </c>
      <c r="W541" s="46"/>
      <c r="X541" s="46"/>
      <c r="Y541" s="46"/>
      <c r="Z541" s="22">
        <v>4.7370000000000001</v>
      </c>
      <c r="AA541" s="46"/>
      <c r="AB541" s="22">
        <v>4.8570000000000002</v>
      </c>
      <c r="AC541" s="22">
        <v>4.8739999999999997</v>
      </c>
      <c r="AD541" s="22">
        <v>4.8550000000000004</v>
      </c>
      <c r="AE541" s="22">
        <v>4.7510000000000003</v>
      </c>
      <c r="AF541" s="22">
        <v>4.7960000000000003</v>
      </c>
      <c r="AG541" s="22">
        <v>4.5110000000000001</v>
      </c>
      <c r="AH541" s="22">
        <f t="shared" si="62"/>
        <v>4.6535000000000002</v>
      </c>
      <c r="AI541" s="7">
        <v>4.5999999999999996</v>
      </c>
      <c r="AJ541" s="7">
        <v>4.82</v>
      </c>
      <c r="AK541" s="7">
        <v>4.58</v>
      </c>
      <c r="AL541" s="4">
        <v>4.7699999999999996</v>
      </c>
      <c r="AM541" s="4">
        <v>4.72</v>
      </c>
      <c r="AN541" s="7">
        <v>4.8899999999999997</v>
      </c>
      <c r="AO541" s="7">
        <v>4.87</v>
      </c>
      <c r="AP541" s="3"/>
      <c r="AQ541" s="8"/>
    </row>
    <row r="542" spans="1:43">
      <c r="A542" s="1">
        <f t="shared" si="61"/>
        <v>540</v>
      </c>
      <c r="B542" s="31" t="s">
        <v>157</v>
      </c>
      <c r="C542" s="1">
        <v>10</v>
      </c>
      <c r="D542" s="4">
        <f t="shared" si="59"/>
        <v>1016</v>
      </c>
      <c r="E542" s="4" t="s">
        <v>161</v>
      </c>
      <c r="F542" s="4">
        <v>1</v>
      </c>
      <c r="G542" s="4" t="s">
        <v>11</v>
      </c>
      <c r="H542" s="4" t="s">
        <v>17</v>
      </c>
      <c r="I542" s="4"/>
      <c r="J542" s="5">
        <v>85.8</v>
      </c>
      <c r="K542" s="63">
        <v>0</v>
      </c>
      <c r="L542" s="38">
        <v>4.2759999999999998</v>
      </c>
      <c r="M542" s="127" t="s">
        <v>110</v>
      </c>
      <c r="N542" s="1" t="s">
        <v>13</v>
      </c>
      <c r="O542" s="60"/>
      <c r="P542" s="9"/>
      <c r="Q542" s="3" t="s">
        <v>205</v>
      </c>
      <c r="R542" s="22">
        <v>4.49</v>
      </c>
      <c r="S542" s="22">
        <v>4.4470000000000001</v>
      </c>
      <c r="T542" s="22">
        <v>4.8239999999999998</v>
      </c>
      <c r="U542" s="41"/>
      <c r="V542" s="22">
        <v>4.4459999999999997</v>
      </c>
      <c r="W542" s="22">
        <v>4.3849999999999998</v>
      </c>
      <c r="X542" s="22">
        <v>4.3890000000000002</v>
      </c>
      <c r="Y542" s="22">
        <v>4.3380000000000001</v>
      </c>
      <c r="Z542" s="22">
        <v>4.3</v>
      </c>
      <c r="AA542" s="41"/>
      <c r="AB542" s="22">
        <v>4.3520000000000003</v>
      </c>
      <c r="AC542" s="22">
        <v>4.3470000000000004</v>
      </c>
      <c r="AD542" s="22">
        <v>4.38</v>
      </c>
      <c r="AE542" s="22">
        <v>4.1269999999999998</v>
      </c>
      <c r="AF542" s="22">
        <v>4.4569999999999999</v>
      </c>
      <c r="AG542" s="22">
        <v>4.1870000000000003</v>
      </c>
      <c r="AH542" s="22">
        <f t="shared" ref="AH542:AH555" si="63">SUM(AF542:AG542)/2</f>
        <v>4.3220000000000001</v>
      </c>
      <c r="AI542" s="27"/>
      <c r="AJ542" s="27"/>
      <c r="AK542" s="27"/>
      <c r="AL542" s="27"/>
      <c r="AM542" s="27"/>
      <c r="AN542" s="27"/>
      <c r="AO542" s="27"/>
      <c r="AP542" s="3"/>
      <c r="AQ542" s="8"/>
    </row>
    <row r="543" spans="1:43">
      <c r="A543" s="1">
        <f t="shared" si="61"/>
        <v>541</v>
      </c>
      <c r="B543" s="31"/>
      <c r="C543" s="1">
        <v>10</v>
      </c>
      <c r="D543" s="4">
        <f t="shared" si="59"/>
        <v>1016</v>
      </c>
      <c r="E543" s="4" t="s">
        <v>163</v>
      </c>
      <c r="F543" s="4">
        <v>1</v>
      </c>
      <c r="G543" s="4" t="s">
        <v>11</v>
      </c>
      <c r="H543" s="4" t="s">
        <v>17</v>
      </c>
      <c r="I543" s="4"/>
      <c r="J543" s="5">
        <v>90.3</v>
      </c>
      <c r="K543" s="63">
        <v>6.7000000000000004E-2</v>
      </c>
      <c r="L543" s="45">
        <v>4.9029999999999996</v>
      </c>
      <c r="M543" s="127" t="s">
        <v>110</v>
      </c>
      <c r="N543" s="10" t="s">
        <v>111</v>
      </c>
      <c r="O543" s="60"/>
      <c r="P543" s="9"/>
      <c r="Q543" s="3" t="s">
        <v>205</v>
      </c>
      <c r="R543" s="22">
        <v>5.1509999999999998</v>
      </c>
      <c r="S543" s="22">
        <v>4.8159999999999998</v>
      </c>
      <c r="T543" s="22">
        <v>5.3010000000000002</v>
      </c>
      <c r="U543" s="41"/>
      <c r="V543" s="22">
        <v>5.0529999999999999</v>
      </c>
      <c r="W543" s="22">
        <v>4.9409999999999998</v>
      </c>
      <c r="X543" s="22">
        <v>4.9359999999999999</v>
      </c>
      <c r="Y543" s="22">
        <v>4.923</v>
      </c>
      <c r="Z543" s="22">
        <v>4.867</v>
      </c>
      <c r="AA543" s="41"/>
      <c r="AB543" s="22">
        <v>4.931</v>
      </c>
      <c r="AC543" s="22">
        <v>4.9610000000000003</v>
      </c>
      <c r="AD543" s="22">
        <v>4.9189999999999996</v>
      </c>
      <c r="AE543" s="22">
        <v>4.7370000000000001</v>
      </c>
      <c r="AF543" s="22">
        <v>4.806</v>
      </c>
      <c r="AG543" s="22">
        <v>4.7590000000000003</v>
      </c>
      <c r="AH543" s="22">
        <f t="shared" si="63"/>
        <v>4.7825000000000006</v>
      </c>
      <c r="AI543" s="27"/>
      <c r="AJ543" s="27"/>
      <c r="AK543" s="27"/>
      <c r="AL543" s="27"/>
      <c r="AM543" s="27"/>
      <c r="AN543" s="27"/>
      <c r="AO543" s="27"/>
      <c r="AP543" s="3"/>
      <c r="AQ543" s="8"/>
    </row>
    <row r="544" spans="1:43">
      <c r="A544" s="1">
        <f t="shared" si="61"/>
        <v>542</v>
      </c>
      <c r="B544" s="31"/>
      <c r="C544" s="1">
        <v>10</v>
      </c>
      <c r="D544" s="4">
        <f t="shared" si="59"/>
        <v>1016</v>
      </c>
      <c r="E544" s="4" t="s">
        <v>150</v>
      </c>
      <c r="F544" s="4">
        <v>1</v>
      </c>
      <c r="G544" s="4" t="s">
        <v>14</v>
      </c>
      <c r="H544" s="4" t="s">
        <v>22</v>
      </c>
      <c r="I544" s="4"/>
      <c r="J544" s="5">
        <v>92.7</v>
      </c>
      <c r="K544" s="65"/>
      <c r="L544" s="38">
        <v>5.6360000000000001</v>
      </c>
      <c r="M544" s="127" t="s">
        <v>110</v>
      </c>
      <c r="N544" s="1" t="s">
        <v>13</v>
      </c>
      <c r="O544" s="60"/>
      <c r="P544" s="9"/>
      <c r="Q544" s="3" t="s">
        <v>205</v>
      </c>
      <c r="R544" s="22">
        <v>5.6669999999999998</v>
      </c>
      <c r="S544" s="22">
        <v>5.5570000000000004</v>
      </c>
      <c r="T544" s="22">
        <v>5.98</v>
      </c>
      <c r="U544" s="41"/>
      <c r="V544" s="22">
        <v>5.7</v>
      </c>
      <c r="W544" s="22">
        <v>5.6619999999999999</v>
      </c>
      <c r="X544" s="22">
        <v>5.6689999999999996</v>
      </c>
      <c r="Y544" s="22">
        <v>5.657</v>
      </c>
      <c r="Z544" s="22">
        <v>5.6319999999999997</v>
      </c>
      <c r="AA544" s="41"/>
      <c r="AB544" s="22">
        <v>5.806</v>
      </c>
      <c r="AC544" s="22">
        <v>5.7530000000000001</v>
      </c>
      <c r="AD544" s="22">
        <v>5.6879999999999997</v>
      </c>
      <c r="AE544" s="22">
        <v>5.6890000000000001</v>
      </c>
      <c r="AF544" s="22">
        <v>5.6150000000000002</v>
      </c>
      <c r="AG544" s="22">
        <v>5.4880000000000004</v>
      </c>
      <c r="AH544" s="22">
        <f t="shared" si="63"/>
        <v>5.5515000000000008</v>
      </c>
      <c r="AI544" s="27"/>
      <c r="AJ544" s="27"/>
      <c r="AK544" s="27"/>
      <c r="AL544" s="27"/>
      <c r="AM544" s="27"/>
      <c r="AN544" s="27"/>
      <c r="AO544" s="27"/>
      <c r="AP544" s="3"/>
      <c r="AQ544" s="8"/>
    </row>
    <row r="545" spans="1:43">
      <c r="A545" s="1">
        <f t="shared" si="61"/>
        <v>543</v>
      </c>
      <c r="B545" s="31"/>
      <c r="C545" s="1">
        <v>10</v>
      </c>
      <c r="D545" s="4">
        <f t="shared" si="59"/>
        <v>1016</v>
      </c>
      <c r="E545" s="4" t="s">
        <v>240</v>
      </c>
      <c r="F545" s="4">
        <v>1</v>
      </c>
      <c r="G545" s="4" t="s">
        <v>11</v>
      </c>
      <c r="H545" s="4" t="s">
        <v>17</v>
      </c>
      <c r="I545" s="4"/>
      <c r="J545" s="5">
        <v>84.7</v>
      </c>
      <c r="K545" s="65"/>
      <c r="L545" s="38">
        <v>5.8449999999999998</v>
      </c>
      <c r="M545" s="127" t="s">
        <v>110</v>
      </c>
      <c r="N545" s="1" t="s">
        <v>13</v>
      </c>
      <c r="O545" s="60"/>
      <c r="P545" s="9"/>
      <c r="Q545" s="3" t="s">
        <v>205</v>
      </c>
      <c r="R545" s="22">
        <v>6.1920000000000002</v>
      </c>
      <c r="S545" s="22">
        <v>5.867</v>
      </c>
      <c r="T545" s="22">
        <v>6.3840000000000003</v>
      </c>
      <c r="U545" s="41"/>
      <c r="V545" s="22">
        <v>6.109</v>
      </c>
      <c r="W545" s="6">
        <v>6.0069999999999997</v>
      </c>
      <c r="X545" s="22">
        <v>5.9790000000000001</v>
      </c>
      <c r="Y545" s="22">
        <v>5.93</v>
      </c>
      <c r="Z545" s="22">
        <v>5.8259999999999996</v>
      </c>
      <c r="AA545" s="41"/>
      <c r="AB545" s="22">
        <v>6.1070000000000002</v>
      </c>
      <c r="AC545" s="22">
        <v>6.0970000000000004</v>
      </c>
      <c r="AD545" s="22">
        <v>6.024</v>
      </c>
      <c r="AE545" s="22">
        <v>5.9260000000000002</v>
      </c>
      <c r="AF545" s="22">
        <v>5.8959999999999999</v>
      </c>
      <c r="AG545" s="22">
        <v>5.8049999999999997</v>
      </c>
      <c r="AH545" s="22">
        <f t="shared" si="63"/>
        <v>5.8505000000000003</v>
      </c>
      <c r="AI545" s="27"/>
      <c r="AJ545" s="27"/>
      <c r="AK545" s="27"/>
      <c r="AL545" s="27"/>
      <c r="AM545" s="27"/>
      <c r="AN545" s="27"/>
      <c r="AO545" s="27"/>
      <c r="AP545" s="3"/>
      <c r="AQ545" s="8"/>
    </row>
    <row r="546" spans="1:43">
      <c r="A546" s="1">
        <f t="shared" si="61"/>
        <v>544</v>
      </c>
      <c r="B546" s="31"/>
      <c r="C546" s="1">
        <v>10</v>
      </c>
      <c r="D546" s="4">
        <f t="shared" si="59"/>
        <v>1016</v>
      </c>
      <c r="E546" s="4" t="s">
        <v>120</v>
      </c>
      <c r="F546" s="4">
        <v>1</v>
      </c>
      <c r="G546" s="4" t="s">
        <v>11</v>
      </c>
      <c r="H546" s="4" t="s">
        <v>17</v>
      </c>
      <c r="I546" s="4"/>
      <c r="J546" s="5">
        <v>83.8</v>
      </c>
      <c r="K546" s="65"/>
      <c r="L546" s="51">
        <v>5.9020000000000001</v>
      </c>
      <c r="M546" s="127" t="s">
        <v>110</v>
      </c>
      <c r="N546" s="10" t="s">
        <v>111</v>
      </c>
      <c r="O546" s="60"/>
      <c r="P546" s="9"/>
      <c r="Q546" s="3" t="s">
        <v>205</v>
      </c>
      <c r="R546" s="22">
        <v>6.3230000000000004</v>
      </c>
      <c r="S546" s="22">
        <v>6.117</v>
      </c>
      <c r="T546" s="22">
        <v>6.4960000000000004</v>
      </c>
      <c r="U546" s="41"/>
      <c r="V546" s="22">
        <v>6.173</v>
      </c>
      <c r="W546" s="6">
        <v>6.0519999999999996</v>
      </c>
      <c r="X546" s="6">
        <v>6.0529999999999999</v>
      </c>
      <c r="Y546" s="22">
        <v>6.01</v>
      </c>
      <c r="Z546" s="22">
        <v>5.9429999999999996</v>
      </c>
      <c r="AA546" s="41"/>
      <c r="AB546" s="22">
        <v>6.03</v>
      </c>
      <c r="AC546" s="22">
        <v>6.016</v>
      </c>
      <c r="AD546" s="22">
        <v>6.0510000000000002</v>
      </c>
      <c r="AE546" s="22">
        <v>5.8079999999999998</v>
      </c>
      <c r="AF546" s="22">
        <v>6.1289999999999996</v>
      </c>
      <c r="AG546" s="22">
        <v>5.6289999999999996</v>
      </c>
      <c r="AH546" s="22">
        <f t="shared" si="63"/>
        <v>5.8789999999999996</v>
      </c>
      <c r="AI546" s="27"/>
      <c r="AJ546" s="27"/>
      <c r="AK546" s="27"/>
      <c r="AL546" s="27"/>
      <c r="AM546" s="27"/>
      <c r="AN546" s="27"/>
      <c r="AO546" s="27"/>
      <c r="AP546" s="3"/>
      <c r="AQ546" s="8"/>
    </row>
    <row r="547" spans="1:43">
      <c r="A547" s="1">
        <f t="shared" si="61"/>
        <v>545</v>
      </c>
      <c r="B547" s="31"/>
      <c r="C547" s="1">
        <v>10</v>
      </c>
      <c r="D547" s="4">
        <f t="shared" si="59"/>
        <v>1016</v>
      </c>
      <c r="E547" s="4" t="s">
        <v>160</v>
      </c>
      <c r="F547" s="4">
        <v>1</v>
      </c>
      <c r="G547" s="4" t="s">
        <v>14</v>
      </c>
      <c r="H547" s="4" t="s">
        <v>23</v>
      </c>
      <c r="I547" s="4"/>
      <c r="J547" s="5">
        <v>92.8</v>
      </c>
      <c r="K547" s="65"/>
      <c r="L547" s="38">
        <v>6.0439999999999996</v>
      </c>
      <c r="M547" s="127" t="s">
        <v>110</v>
      </c>
      <c r="N547" s="1" t="s">
        <v>13</v>
      </c>
      <c r="O547" s="60"/>
      <c r="P547" s="9"/>
      <c r="Q547" s="3" t="s">
        <v>205</v>
      </c>
      <c r="R547" s="22">
        <v>6.0309999999999997</v>
      </c>
      <c r="S547" s="22">
        <v>5.9420000000000002</v>
      </c>
      <c r="T547" s="22">
        <v>6.3840000000000003</v>
      </c>
      <c r="U547" s="41"/>
      <c r="V547" s="22">
        <v>6.1020000000000003</v>
      </c>
      <c r="W547" s="22">
        <v>6.069</v>
      </c>
      <c r="X547" s="22">
        <v>6.0759999999999996</v>
      </c>
      <c r="Y547" s="22">
        <v>6.0620000000000003</v>
      </c>
      <c r="Z547" s="22">
        <v>6.0389999999999997</v>
      </c>
      <c r="AA547" s="41"/>
      <c r="AB547" s="22">
        <v>6.2069999999999999</v>
      </c>
      <c r="AC547" s="22">
        <v>6.1550000000000002</v>
      </c>
      <c r="AD547" s="22">
        <v>6.0830000000000002</v>
      </c>
      <c r="AE547" s="22">
        <v>6.0970000000000004</v>
      </c>
      <c r="AF547" s="22">
        <v>6.0049999999999999</v>
      </c>
      <c r="AG547" s="22">
        <v>5.8879999999999999</v>
      </c>
      <c r="AH547" s="22">
        <f t="shared" si="63"/>
        <v>5.9465000000000003</v>
      </c>
      <c r="AI547" s="27"/>
      <c r="AJ547" s="27"/>
      <c r="AK547" s="27"/>
      <c r="AL547" s="27"/>
      <c r="AM547" s="27"/>
      <c r="AN547" s="27"/>
      <c r="AO547" s="27"/>
      <c r="AP547" s="3"/>
      <c r="AQ547" s="8"/>
    </row>
    <row r="548" spans="1:43">
      <c r="A548" s="1">
        <f t="shared" si="61"/>
        <v>546</v>
      </c>
      <c r="B548" s="31"/>
      <c r="C548" s="1">
        <v>10</v>
      </c>
      <c r="D548" s="4">
        <f t="shared" si="59"/>
        <v>1016</v>
      </c>
      <c r="E548" s="4" t="s">
        <v>232</v>
      </c>
      <c r="F548" s="4">
        <v>1</v>
      </c>
      <c r="G548" s="4" t="s">
        <v>14</v>
      </c>
      <c r="H548" s="4" t="s">
        <v>23</v>
      </c>
      <c r="I548" s="4"/>
      <c r="J548" s="5">
        <v>92.5</v>
      </c>
      <c r="K548" s="65"/>
      <c r="L548" s="38">
        <v>6.0730000000000004</v>
      </c>
      <c r="M548" s="127" t="s">
        <v>110</v>
      </c>
      <c r="N548" s="1" t="s">
        <v>13</v>
      </c>
      <c r="O548" s="60"/>
      <c r="P548" s="9"/>
      <c r="Q548" s="3" t="s">
        <v>205</v>
      </c>
      <c r="R548" s="22">
        <v>6.0659999999999998</v>
      </c>
      <c r="S548" s="22">
        <v>5.9710000000000001</v>
      </c>
      <c r="T548" s="22">
        <v>6.4119999999999999</v>
      </c>
      <c r="U548" s="41"/>
      <c r="V548" s="22">
        <v>6.1360000000000001</v>
      </c>
      <c r="W548" s="22">
        <v>6.1</v>
      </c>
      <c r="X548" s="22">
        <v>6.1059999999999999</v>
      </c>
      <c r="Y548" s="22">
        <v>6.093</v>
      </c>
      <c r="Z548" s="22">
        <v>6.0670000000000002</v>
      </c>
      <c r="AA548" s="41"/>
      <c r="AB548" s="22">
        <v>6.2249999999999996</v>
      </c>
      <c r="AC548" s="22">
        <v>6.1719999999999997</v>
      </c>
      <c r="AD548" s="22">
        <v>6.1050000000000004</v>
      </c>
      <c r="AE548" s="22">
        <v>6.1079999999999997</v>
      </c>
      <c r="AF548" s="22">
        <v>6.0129999999999999</v>
      </c>
      <c r="AG548" s="22">
        <v>5.9189999999999996</v>
      </c>
      <c r="AH548" s="22">
        <f t="shared" si="63"/>
        <v>5.9659999999999993</v>
      </c>
      <c r="AI548" s="27"/>
      <c r="AJ548" s="27"/>
      <c r="AK548" s="27"/>
      <c r="AL548" s="27"/>
      <c r="AM548" s="27"/>
      <c r="AN548" s="27"/>
      <c r="AO548" s="27"/>
      <c r="AP548" s="3"/>
      <c r="AQ548" s="8"/>
    </row>
    <row r="549" spans="1:43">
      <c r="A549" s="1">
        <f t="shared" si="61"/>
        <v>547</v>
      </c>
      <c r="B549" s="31"/>
      <c r="C549" s="1">
        <v>10</v>
      </c>
      <c r="D549" s="4">
        <f t="shared" si="59"/>
        <v>1016</v>
      </c>
      <c r="E549" s="4" t="s">
        <v>161</v>
      </c>
      <c r="F549" s="4">
        <v>1</v>
      </c>
      <c r="G549" s="4" t="s">
        <v>11</v>
      </c>
      <c r="H549" s="4" t="s">
        <v>17</v>
      </c>
      <c r="I549" s="4"/>
      <c r="J549" s="5">
        <v>90.6</v>
      </c>
      <c r="K549" s="63">
        <v>1.306</v>
      </c>
      <c r="L549" s="45">
        <v>6.1840000000000002</v>
      </c>
      <c r="M549" s="127" t="s">
        <v>110</v>
      </c>
      <c r="N549" s="10" t="s">
        <v>111</v>
      </c>
      <c r="O549" s="60"/>
      <c r="P549" s="9"/>
      <c r="Q549" s="3" t="s">
        <v>205</v>
      </c>
      <c r="R549" s="22">
        <v>6.2990000000000004</v>
      </c>
      <c r="S549" s="22">
        <v>6.08</v>
      </c>
      <c r="T549" s="22">
        <v>6.6550000000000002</v>
      </c>
      <c r="U549" s="41"/>
      <c r="V549" s="6">
        <v>6.3630000000000004</v>
      </c>
      <c r="W549" s="22">
        <v>6.2190000000000003</v>
      </c>
      <c r="X549" s="22">
        <v>6.19</v>
      </c>
      <c r="Y549" s="22">
        <v>6.2210000000000001</v>
      </c>
      <c r="Z549" s="22">
        <v>6.1509999999999998</v>
      </c>
      <c r="AA549" s="41"/>
      <c r="AB549" s="22">
        <v>6.2610000000000001</v>
      </c>
      <c r="AC549" s="22">
        <v>6.2690000000000001</v>
      </c>
      <c r="AD549" s="22">
        <v>6.2060000000000004</v>
      </c>
      <c r="AE549" s="22">
        <v>6.0659999999999998</v>
      </c>
      <c r="AF549" s="22">
        <v>6.0679999999999996</v>
      </c>
      <c r="AG549" s="22">
        <v>6.093</v>
      </c>
      <c r="AH549" s="22">
        <f t="shared" si="63"/>
        <v>6.0804999999999998</v>
      </c>
      <c r="AI549" s="27"/>
      <c r="AJ549" s="27"/>
      <c r="AK549" s="27"/>
      <c r="AL549" s="27"/>
      <c r="AM549" s="27"/>
      <c r="AN549" s="27"/>
      <c r="AO549" s="27"/>
      <c r="AP549" s="3"/>
      <c r="AQ549" s="8"/>
    </row>
    <row r="550" spans="1:43">
      <c r="A550" s="1">
        <f t="shared" si="61"/>
        <v>548</v>
      </c>
      <c r="B550" s="31"/>
      <c r="C550" s="1">
        <v>10</v>
      </c>
      <c r="D550" s="4">
        <f t="shared" si="59"/>
        <v>1016</v>
      </c>
      <c r="E550" s="4" t="s">
        <v>162</v>
      </c>
      <c r="F550" s="4">
        <v>1</v>
      </c>
      <c r="G550" s="4" t="s">
        <v>14</v>
      </c>
      <c r="H550" s="4" t="s">
        <v>22</v>
      </c>
      <c r="I550" s="4"/>
      <c r="J550" s="26">
        <v>91.9</v>
      </c>
      <c r="K550" s="63">
        <v>1.7000000000000001E-2</v>
      </c>
      <c r="L550" s="38">
        <v>6.319</v>
      </c>
      <c r="M550" s="127" t="s">
        <v>110</v>
      </c>
      <c r="N550" s="1" t="s">
        <v>13</v>
      </c>
      <c r="O550" s="60"/>
      <c r="P550" s="9"/>
      <c r="Q550" s="3" t="s">
        <v>205</v>
      </c>
      <c r="R550" s="22">
        <v>6.42</v>
      </c>
      <c r="S550" s="22">
        <v>6.274</v>
      </c>
      <c r="T550" s="22">
        <v>6.7149999999999999</v>
      </c>
      <c r="U550" s="41"/>
      <c r="V550" s="22">
        <v>6.3819999999999997</v>
      </c>
      <c r="W550" s="22">
        <v>6.3570000000000002</v>
      </c>
      <c r="X550" s="22">
        <v>6.3659999999999997</v>
      </c>
      <c r="Y550" s="22">
        <v>6.351</v>
      </c>
      <c r="Z550" s="22">
        <v>6.3239999999999998</v>
      </c>
      <c r="AA550" s="41"/>
      <c r="AB550" s="22">
        <v>6.4359999999999999</v>
      </c>
      <c r="AC550" s="22">
        <v>6.37</v>
      </c>
      <c r="AD550" s="22">
        <v>6.3390000000000004</v>
      </c>
      <c r="AE550" s="22">
        <v>6.3109999999999999</v>
      </c>
      <c r="AF550" s="22">
        <v>6.3319999999999999</v>
      </c>
      <c r="AG550" s="22">
        <v>6.1870000000000003</v>
      </c>
      <c r="AH550" s="22">
        <f t="shared" si="63"/>
        <v>6.2595000000000001</v>
      </c>
      <c r="AI550" s="27"/>
      <c r="AJ550" s="27"/>
      <c r="AK550" s="27"/>
      <c r="AL550" s="27"/>
      <c r="AM550" s="27"/>
      <c r="AN550" s="27"/>
      <c r="AO550" s="27"/>
      <c r="AP550" s="3"/>
      <c r="AQ550" s="8"/>
    </row>
    <row r="551" spans="1:43">
      <c r="A551" s="1">
        <f t="shared" si="61"/>
        <v>549</v>
      </c>
      <c r="B551" s="31"/>
      <c r="C551" s="1">
        <v>10</v>
      </c>
      <c r="D551" s="4">
        <f t="shared" si="59"/>
        <v>1016</v>
      </c>
      <c r="E551" s="4" t="s">
        <v>163</v>
      </c>
      <c r="F551" s="4">
        <v>1</v>
      </c>
      <c r="G551" s="4" t="s">
        <v>11</v>
      </c>
      <c r="H551" s="4" t="s">
        <v>17</v>
      </c>
      <c r="I551" s="4"/>
      <c r="J551" s="5">
        <v>90.2</v>
      </c>
      <c r="K551" s="63">
        <v>0.222</v>
      </c>
      <c r="L551" s="38">
        <v>6.4189999999999996</v>
      </c>
      <c r="M551" s="127" t="s">
        <v>110</v>
      </c>
      <c r="N551" s="1" t="s">
        <v>13</v>
      </c>
      <c r="O551" s="60"/>
      <c r="P551" s="9"/>
      <c r="Q551" s="3" t="s">
        <v>205</v>
      </c>
      <c r="R551" s="22">
        <v>6.3029999999999999</v>
      </c>
      <c r="S551" s="22">
        <v>6.4009999999999998</v>
      </c>
      <c r="T551" s="22">
        <v>6.8970000000000002</v>
      </c>
      <c r="U551" s="41"/>
      <c r="V551" s="22">
        <v>6.5960000000000001</v>
      </c>
      <c r="W551" s="22">
        <v>6.4630000000000001</v>
      </c>
      <c r="X551" s="22">
        <v>6.4370000000000003</v>
      </c>
      <c r="Y551" s="22">
        <v>6.4560000000000004</v>
      </c>
      <c r="Z551" s="22">
        <v>6.391</v>
      </c>
      <c r="AA551" s="41"/>
      <c r="AB551" s="22">
        <v>6.4779999999999998</v>
      </c>
      <c r="AC551" s="22">
        <v>6.4850000000000003</v>
      </c>
      <c r="AD551" s="22">
        <v>6.452</v>
      </c>
      <c r="AE551" s="22">
        <v>6.28</v>
      </c>
      <c r="AF551" s="22">
        <v>6.3920000000000003</v>
      </c>
      <c r="AG551" s="22">
        <v>6.306</v>
      </c>
      <c r="AH551" s="22">
        <f t="shared" si="63"/>
        <v>6.3490000000000002</v>
      </c>
      <c r="AI551" s="27"/>
      <c r="AJ551" s="27"/>
      <c r="AK551" s="27"/>
      <c r="AL551" s="27"/>
      <c r="AM551" s="27"/>
      <c r="AN551" s="27"/>
      <c r="AO551" s="27"/>
      <c r="AP551" s="3"/>
      <c r="AQ551" s="8"/>
    </row>
    <row r="552" spans="1:43">
      <c r="A552" s="1">
        <f t="shared" si="61"/>
        <v>550</v>
      </c>
      <c r="B552" s="31"/>
      <c r="C552" s="1">
        <v>10</v>
      </c>
      <c r="D552" s="4">
        <f t="shared" si="59"/>
        <v>1016</v>
      </c>
      <c r="E552" s="4" t="s">
        <v>240</v>
      </c>
      <c r="F552" s="4">
        <v>1</v>
      </c>
      <c r="G552" s="4" t="s">
        <v>11</v>
      </c>
      <c r="H552" s="4" t="s">
        <v>17</v>
      </c>
      <c r="I552" s="4"/>
      <c r="J552" s="5">
        <v>87.5</v>
      </c>
      <c r="K552" s="65"/>
      <c r="L552" s="38">
        <v>6.4720000000000004</v>
      </c>
      <c r="M552" s="127" t="s">
        <v>110</v>
      </c>
      <c r="N552" s="1" t="s">
        <v>13</v>
      </c>
      <c r="O552" s="60"/>
      <c r="P552" s="9"/>
      <c r="Q552" s="3" t="s">
        <v>205</v>
      </c>
      <c r="R552" s="22">
        <v>6.5529999999999999</v>
      </c>
      <c r="S552" s="22">
        <v>6.4969999999999999</v>
      </c>
      <c r="T552" s="22">
        <v>7.0449999999999999</v>
      </c>
      <c r="U552" s="41"/>
      <c r="V552" s="22">
        <v>6.7779999999999996</v>
      </c>
      <c r="W552" s="22">
        <v>6.53</v>
      </c>
      <c r="X552" s="22">
        <v>6.5389999999999997</v>
      </c>
      <c r="Y552" s="22">
        <v>6.5359999999999996</v>
      </c>
      <c r="Z552" s="22">
        <v>6.4560000000000004</v>
      </c>
      <c r="AA552" s="41"/>
      <c r="AB552" s="22">
        <v>6.657</v>
      </c>
      <c r="AC552" s="22">
        <v>6.6529999999999996</v>
      </c>
      <c r="AD552" s="22">
        <v>6.5990000000000002</v>
      </c>
      <c r="AE552" s="22">
        <v>6.415</v>
      </c>
      <c r="AF552" s="22">
        <v>6.5179999999999998</v>
      </c>
      <c r="AG552" s="22">
        <v>6.3879999999999999</v>
      </c>
      <c r="AH552" s="22">
        <f t="shared" si="63"/>
        <v>6.4529999999999994</v>
      </c>
      <c r="AI552" s="27"/>
      <c r="AJ552" s="27"/>
      <c r="AK552" s="27"/>
      <c r="AL552" s="27"/>
      <c r="AM552" s="27"/>
      <c r="AN552" s="27"/>
      <c r="AO552" s="27"/>
      <c r="AP552" s="3"/>
      <c r="AQ552" s="8"/>
    </row>
    <row r="553" spans="1:43">
      <c r="A553" s="1">
        <f t="shared" si="61"/>
        <v>551</v>
      </c>
      <c r="B553" s="31"/>
      <c r="C553" s="1">
        <v>10</v>
      </c>
      <c r="D553" s="4">
        <f t="shared" si="59"/>
        <v>1016</v>
      </c>
      <c r="E553" s="4" t="s">
        <v>120</v>
      </c>
      <c r="F553" s="4">
        <v>1</v>
      </c>
      <c r="G553" s="4" t="s">
        <v>11</v>
      </c>
      <c r="H553" s="4" t="s">
        <v>17</v>
      </c>
      <c r="I553" s="4" t="s">
        <v>320</v>
      </c>
      <c r="J553" s="5">
        <v>71.5</v>
      </c>
      <c r="K553" s="65"/>
      <c r="L553" s="51">
        <v>6.7480000000000002</v>
      </c>
      <c r="M553" s="127" t="s">
        <v>564</v>
      </c>
      <c r="N553" s="10" t="s">
        <v>111</v>
      </c>
      <c r="O553" s="60"/>
      <c r="P553" s="9"/>
      <c r="Q553" s="3" t="s">
        <v>205</v>
      </c>
      <c r="R553" s="22">
        <v>7.6319999999999997</v>
      </c>
      <c r="S553" s="22">
        <v>7.1609999999999996</v>
      </c>
      <c r="T553" s="41"/>
      <c r="U553" s="41"/>
      <c r="V553" s="22">
        <v>7.4080000000000004</v>
      </c>
      <c r="W553" s="22">
        <v>7.3360000000000003</v>
      </c>
      <c r="X553" s="22">
        <v>7.3029999999999999</v>
      </c>
      <c r="Y553" s="22">
        <v>7.09</v>
      </c>
      <c r="Z553" s="22">
        <v>6.8680000000000003</v>
      </c>
      <c r="AA553" s="41"/>
      <c r="AB553" s="22">
        <v>7.3390000000000004</v>
      </c>
      <c r="AC553" s="22">
        <v>7.3019999999999996</v>
      </c>
      <c r="AD553" s="22">
        <v>7.258</v>
      </c>
      <c r="AE553" s="22">
        <v>7.1349999999999998</v>
      </c>
      <c r="AF553" s="22">
        <v>7.2</v>
      </c>
      <c r="AG553" s="22">
        <v>6.359</v>
      </c>
      <c r="AH553" s="22">
        <f t="shared" si="63"/>
        <v>6.7795000000000005</v>
      </c>
      <c r="AI553" s="22">
        <v>6.8949999999999996</v>
      </c>
      <c r="AJ553" s="22">
        <v>6.7930000000000001</v>
      </c>
      <c r="AK553" s="22">
        <v>5.9420000000000002</v>
      </c>
      <c r="AL553" s="22">
        <v>6.8090000000000002</v>
      </c>
      <c r="AM553" s="22">
        <v>6.7480000000000002</v>
      </c>
      <c r="AN553" s="22">
        <v>6.9580000000000002</v>
      </c>
      <c r="AO553" s="22">
        <v>6.9</v>
      </c>
      <c r="AP553" s="3"/>
      <c r="AQ553" s="8"/>
    </row>
    <row r="554" spans="1:43">
      <c r="A554" s="1">
        <f t="shared" si="61"/>
        <v>552</v>
      </c>
      <c r="B554" s="31"/>
      <c r="C554" s="1">
        <v>10</v>
      </c>
      <c r="D554" s="4">
        <f t="shared" si="59"/>
        <v>1016</v>
      </c>
      <c r="E554" s="4" t="s">
        <v>150</v>
      </c>
      <c r="F554" s="4">
        <v>1</v>
      </c>
      <c r="G554" s="4" t="s">
        <v>14</v>
      </c>
      <c r="H554" s="4" t="s">
        <v>22</v>
      </c>
      <c r="I554" s="4"/>
      <c r="J554" s="5">
        <v>92.5</v>
      </c>
      <c r="K554" s="65"/>
      <c r="L554" s="38">
        <v>6.59</v>
      </c>
      <c r="M554" s="127" t="s">
        <v>110</v>
      </c>
      <c r="N554" s="1" t="s">
        <v>13</v>
      </c>
      <c r="O554" s="60"/>
      <c r="P554" s="9"/>
      <c r="Q554" s="3"/>
      <c r="R554" s="22">
        <v>6.5789999999999997</v>
      </c>
      <c r="S554" s="22">
        <v>6.4889999999999999</v>
      </c>
      <c r="T554" s="22">
        <v>6.9320000000000004</v>
      </c>
      <c r="U554" s="41"/>
      <c r="V554" s="22">
        <v>6.6529999999999996</v>
      </c>
      <c r="W554" s="22">
        <v>6.617</v>
      </c>
      <c r="X554" s="22">
        <v>6.6239999999999997</v>
      </c>
      <c r="Y554" s="22">
        <v>6.6120000000000001</v>
      </c>
      <c r="Z554" s="22">
        <v>6.6349999999999998</v>
      </c>
      <c r="AA554" s="41"/>
      <c r="AB554" s="22">
        <v>6.7439999999999998</v>
      </c>
      <c r="AC554" s="22">
        <v>6.6890000000000001</v>
      </c>
      <c r="AD554" s="22">
        <v>6.6210000000000004</v>
      </c>
      <c r="AE554" s="22">
        <v>6.6260000000000003</v>
      </c>
      <c r="AF554" s="22">
        <v>6.5439999999999996</v>
      </c>
      <c r="AG554" s="22">
        <v>6.444</v>
      </c>
      <c r="AH554" s="22">
        <f t="shared" si="63"/>
        <v>6.4939999999999998</v>
      </c>
      <c r="AI554" s="27"/>
      <c r="AJ554" s="27"/>
      <c r="AK554" s="27"/>
      <c r="AL554" s="27"/>
      <c r="AM554" s="27"/>
      <c r="AN554" s="27"/>
      <c r="AO554" s="27"/>
      <c r="AP554" s="3"/>
      <c r="AQ554" s="8"/>
    </row>
    <row r="555" spans="1:43">
      <c r="A555" s="1">
        <f t="shared" si="61"/>
        <v>553</v>
      </c>
      <c r="B555" s="31"/>
      <c r="C555" s="1">
        <v>10</v>
      </c>
      <c r="D555" s="4">
        <f t="shared" si="59"/>
        <v>1016</v>
      </c>
      <c r="E555" s="4" t="s">
        <v>162</v>
      </c>
      <c r="F555" s="4">
        <v>1</v>
      </c>
      <c r="G555" s="4" t="s">
        <v>14</v>
      </c>
      <c r="H555" s="4" t="s">
        <v>170</v>
      </c>
      <c r="I555" s="4"/>
      <c r="J555" s="5">
        <v>92.8</v>
      </c>
      <c r="K555" s="63">
        <v>1.9E-2</v>
      </c>
      <c r="L555" s="38">
        <v>6.64</v>
      </c>
      <c r="M555" s="127" t="s">
        <v>110</v>
      </c>
      <c r="N555" s="1" t="s">
        <v>13</v>
      </c>
      <c r="O555" s="60"/>
      <c r="P555" s="9"/>
      <c r="Q555" s="3"/>
      <c r="R555" s="22">
        <v>6.5679999999999996</v>
      </c>
      <c r="S555" s="22">
        <v>6.5179999999999998</v>
      </c>
      <c r="T555" s="22">
        <v>6.9779999999999998</v>
      </c>
      <c r="U555" s="41"/>
      <c r="V555" s="22">
        <v>6.6929999999999996</v>
      </c>
      <c r="W555" s="22">
        <v>6.6639999999999997</v>
      </c>
      <c r="X555" s="22">
        <v>6.6719999999999997</v>
      </c>
      <c r="Y555" s="22">
        <v>6.657</v>
      </c>
      <c r="Z555" s="22">
        <v>6.6349999999999998</v>
      </c>
      <c r="AA555" s="41"/>
      <c r="AB555" s="22">
        <v>6.774</v>
      </c>
      <c r="AC555" s="22">
        <v>6.7190000000000003</v>
      </c>
      <c r="AD555" s="22">
        <v>6.6509999999999998</v>
      </c>
      <c r="AE555" s="22">
        <v>6.6619999999999999</v>
      </c>
      <c r="AF555" s="22">
        <v>6.58</v>
      </c>
      <c r="AG555" s="22">
        <v>6.4809999999999999</v>
      </c>
      <c r="AH555" s="22">
        <f t="shared" si="63"/>
        <v>6.5305</v>
      </c>
      <c r="AI555" s="27"/>
      <c r="AJ555" s="27"/>
      <c r="AK555" s="27"/>
      <c r="AL555" s="27"/>
      <c r="AM555" s="27"/>
      <c r="AN555" s="27"/>
      <c r="AO555" s="27"/>
      <c r="AP555" s="3"/>
      <c r="AQ555" s="8"/>
    </row>
    <row r="556" spans="1:43">
      <c r="A556" s="1">
        <f t="shared" si="61"/>
        <v>554</v>
      </c>
      <c r="B556" s="31"/>
      <c r="C556" s="1">
        <v>10</v>
      </c>
      <c r="D556" s="4">
        <f t="shared" si="59"/>
        <v>1016</v>
      </c>
      <c r="E556" s="4" t="s">
        <v>165</v>
      </c>
      <c r="F556" s="4">
        <v>3</v>
      </c>
      <c r="G556" s="4" t="s">
        <v>11</v>
      </c>
      <c r="H556" s="4" t="s">
        <v>17</v>
      </c>
      <c r="I556" s="4"/>
      <c r="J556" s="26">
        <v>97.7</v>
      </c>
      <c r="K556" s="65"/>
      <c r="L556" s="38">
        <v>3.15</v>
      </c>
      <c r="M556" s="127" t="s">
        <v>113</v>
      </c>
      <c r="N556" s="1" t="s">
        <v>13</v>
      </c>
      <c r="O556" s="60"/>
      <c r="P556" s="9"/>
      <c r="Q556" s="3" t="s">
        <v>205</v>
      </c>
      <c r="R556" s="22">
        <v>3.5350000000000001</v>
      </c>
      <c r="S556" s="22">
        <v>3.3159999999999998</v>
      </c>
      <c r="T556" s="22">
        <v>3.4750000000000001</v>
      </c>
      <c r="U556" s="41"/>
      <c r="V556" s="22">
        <v>3.0670000000000002</v>
      </c>
      <c r="W556" s="41"/>
      <c r="X556" s="41"/>
      <c r="Y556" s="41"/>
      <c r="Z556" s="22">
        <v>3.169</v>
      </c>
      <c r="AA556" s="41"/>
      <c r="AB556" s="22">
        <v>3.3650000000000002</v>
      </c>
      <c r="AC556" s="22">
        <v>3.3679999999999999</v>
      </c>
      <c r="AD556" s="22">
        <v>3.351</v>
      </c>
      <c r="AE556" s="22">
        <v>3.2210000000000001</v>
      </c>
      <c r="AF556" s="22">
        <v>3.3210000000000002</v>
      </c>
      <c r="AG556" s="22">
        <v>2.9249999999999998</v>
      </c>
      <c r="AH556" s="22">
        <f t="shared" ref="AH556:AH567" si="64">SUM(AF556:AG556)/2</f>
        <v>3.1230000000000002</v>
      </c>
      <c r="AI556" s="27"/>
      <c r="AJ556" s="27"/>
      <c r="AK556" s="27"/>
      <c r="AL556" s="27"/>
      <c r="AM556" s="27"/>
      <c r="AN556" s="27"/>
      <c r="AO556" s="27"/>
      <c r="AP556" s="3"/>
      <c r="AQ556" s="8"/>
    </row>
    <row r="557" spans="1:43">
      <c r="A557" s="1">
        <f t="shared" si="61"/>
        <v>555</v>
      </c>
      <c r="B557" s="31"/>
      <c r="C557" s="1">
        <v>10</v>
      </c>
      <c r="D557" s="4">
        <f t="shared" si="59"/>
        <v>1016</v>
      </c>
      <c r="E557" s="4" t="s">
        <v>164</v>
      </c>
      <c r="F557" s="4">
        <v>3</v>
      </c>
      <c r="G557" s="4" t="s">
        <v>11</v>
      </c>
      <c r="H557" s="4" t="s">
        <v>17</v>
      </c>
      <c r="I557" s="4"/>
      <c r="J557" s="26">
        <v>96.6</v>
      </c>
      <c r="K557" s="65"/>
      <c r="L557" s="38">
        <v>4.1520000000000001</v>
      </c>
      <c r="M557" s="127" t="s">
        <v>113</v>
      </c>
      <c r="N557" s="1" t="s">
        <v>13</v>
      </c>
      <c r="O557" s="60"/>
      <c r="P557" s="9"/>
      <c r="Q557" s="3" t="s">
        <v>205</v>
      </c>
      <c r="R557" s="22">
        <v>4.4489999999999998</v>
      </c>
      <c r="S557" s="22">
        <v>4.335</v>
      </c>
      <c r="T557" s="22">
        <v>4.58</v>
      </c>
      <c r="U557" s="41"/>
      <c r="V557" s="22">
        <v>4.2430000000000003</v>
      </c>
      <c r="W557" s="41"/>
      <c r="X557" s="41"/>
      <c r="Y557" s="41"/>
      <c r="Z557" s="22">
        <v>4.16</v>
      </c>
      <c r="AA557" s="41"/>
      <c r="AB557" s="22">
        <v>4.3040000000000003</v>
      </c>
      <c r="AC557" s="22">
        <v>4.3140000000000001</v>
      </c>
      <c r="AD557" s="22">
        <v>4.3220000000000001</v>
      </c>
      <c r="AE557" s="22">
        <v>4.1280000000000001</v>
      </c>
      <c r="AF557" s="22">
        <v>4.3250000000000002</v>
      </c>
      <c r="AG557" s="22">
        <v>3.9009999999999998</v>
      </c>
      <c r="AH557" s="22">
        <f t="shared" si="64"/>
        <v>4.1129999999999995</v>
      </c>
      <c r="AI557" s="27"/>
      <c r="AJ557" s="27"/>
      <c r="AK557" s="27"/>
      <c r="AL557" s="27"/>
      <c r="AM557" s="27"/>
      <c r="AN557" s="27"/>
      <c r="AO557" s="27"/>
      <c r="AP557" s="3"/>
      <c r="AQ557" s="8"/>
    </row>
    <row r="558" spans="1:43">
      <c r="A558" s="1">
        <f t="shared" si="61"/>
        <v>556</v>
      </c>
      <c r="B558" s="31"/>
      <c r="C558" s="1">
        <v>10</v>
      </c>
      <c r="D558" s="4">
        <f t="shared" si="59"/>
        <v>1016</v>
      </c>
      <c r="E558" s="4" t="s">
        <v>241</v>
      </c>
      <c r="F558" s="4">
        <v>3</v>
      </c>
      <c r="G558" s="4" t="s">
        <v>11</v>
      </c>
      <c r="H558" s="4" t="s">
        <v>17</v>
      </c>
      <c r="I558" s="4"/>
      <c r="J558" s="26">
        <v>97.8</v>
      </c>
      <c r="K558" s="65"/>
      <c r="L558" s="38">
        <v>4.4669999999999996</v>
      </c>
      <c r="M558" s="127" t="s">
        <v>113</v>
      </c>
      <c r="N558" s="1" t="s">
        <v>13</v>
      </c>
      <c r="O558" s="60"/>
      <c r="P558" s="9"/>
      <c r="Q558" s="3" t="s">
        <v>205</v>
      </c>
      <c r="R558" s="22">
        <v>4.7539999999999996</v>
      </c>
      <c r="S558" s="22">
        <v>4.6349999999999998</v>
      </c>
      <c r="T558" s="22">
        <v>4.7320000000000002</v>
      </c>
      <c r="U558" s="41"/>
      <c r="V558" s="22">
        <v>4.4429999999999996</v>
      </c>
      <c r="W558" s="41"/>
      <c r="X558" s="41"/>
      <c r="Y558" s="41"/>
      <c r="Z558" s="22">
        <v>4.4790000000000001</v>
      </c>
      <c r="AA558" s="41"/>
      <c r="AB558" s="22">
        <v>4.6040000000000001</v>
      </c>
      <c r="AC558" s="22">
        <v>4.6040000000000001</v>
      </c>
      <c r="AD558" s="22">
        <v>4.6150000000000002</v>
      </c>
      <c r="AE558" s="22">
        <v>4.4669999999999996</v>
      </c>
      <c r="AF558" s="22">
        <v>4.6289999999999996</v>
      </c>
      <c r="AG558" s="22">
        <v>4.2329999999999997</v>
      </c>
      <c r="AH558" s="22">
        <f t="shared" si="64"/>
        <v>4.4309999999999992</v>
      </c>
      <c r="AI558" s="27"/>
      <c r="AJ558" s="27"/>
      <c r="AK558" s="27"/>
      <c r="AL558" s="27"/>
      <c r="AM558" s="27"/>
      <c r="AN558" s="27"/>
      <c r="AO558" s="27"/>
      <c r="AP558" s="3"/>
      <c r="AQ558" s="8"/>
    </row>
    <row r="559" spans="1:43">
      <c r="A559" s="1">
        <f t="shared" si="61"/>
        <v>557</v>
      </c>
      <c r="B559" s="31"/>
      <c r="C559" s="1">
        <v>10</v>
      </c>
      <c r="D559" s="4">
        <f t="shared" si="59"/>
        <v>1016</v>
      </c>
      <c r="E559" s="4" t="s">
        <v>165</v>
      </c>
      <c r="F559" s="4">
        <v>3</v>
      </c>
      <c r="G559" s="4" t="s">
        <v>11</v>
      </c>
      <c r="H559" s="4" t="s">
        <v>17</v>
      </c>
      <c r="I559" s="4"/>
      <c r="J559" s="26">
        <v>96.8</v>
      </c>
      <c r="K559" s="65"/>
      <c r="L559" s="38">
        <v>4.6210000000000004</v>
      </c>
      <c r="M559" s="127" t="s">
        <v>113</v>
      </c>
      <c r="N559" s="1" t="s">
        <v>13</v>
      </c>
      <c r="O559" s="60"/>
      <c r="P559" s="9"/>
      <c r="Q559" s="3" t="s">
        <v>205</v>
      </c>
      <c r="R559" s="22">
        <v>4.8769999999999998</v>
      </c>
      <c r="S559" s="22">
        <v>4.8860000000000001</v>
      </c>
      <c r="T559" s="22">
        <v>5.0759999999999996</v>
      </c>
      <c r="U559" s="41"/>
      <c r="V559" s="22">
        <v>4.6680000000000001</v>
      </c>
      <c r="W559" s="41"/>
      <c r="X559" s="41"/>
      <c r="Y559" s="41"/>
      <c r="Z559" s="22">
        <v>4.6390000000000002</v>
      </c>
      <c r="AA559" s="41"/>
      <c r="AB559" s="22">
        <v>4.7880000000000003</v>
      </c>
      <c r="AC559" s="22">
        <v>4.7949999999999999</v>
      </c>
      <c r="AD559" s="22">
        <v>4.8159999999999998</v>
      </c>
      <c r="AE559" s="22">
        <v>4.617</v>
      </c>
      <c r="AF559" s="22">
        <v>4.843</v>
      </c>
      <c r="AG559" s="22">
        <v>4.3860000000000001</v>
      </c>
      <c r="AH559" s="22">
        <f t="shared" si="64"/>
        <v>4.6144999999999996</v>
      </c>
      <c r="AI559" s="27"/>
      <c r="AJ559" s="27"/>
      <c r="AK559" s="27"/>
      <c r="AL559" s="27"/>
      <c r="AM559" s="27"/>
      <c r="AN559" s="27"/>
      <c r="AO559" s="27"/>
      <c r="AP559" s="3"/>
      <c r="AQ559" s="8"/>
    </row>
    <row r="560" spans="1:43">
      <c r="A560" s="1">
        <f t="shared" si="61"/>
        <v>558</v>
      </c>
      <c r="B560" s="31"/>
      <c r="C560" s="1">
        <v>10</v>
      </c>
      <c r="D560" s="4">
        <f t="shared" si="59"/>
        <v>1016</v>
      </c>
      <c r="E560" s="4" t="s">
        <v>164</v>
      </c>
      <c r="F560" s="4">
        <v>3</v>
      </c>
      <c r="G560" s="4" t="s">
        <v>11</v>
      </c>
      <c r="H560" s="4" t="s">
        <v>17</v>
      </c>
      <c r="I560" s="4"/>
      <c r="J560" s="26">
        <v>97.5</v>
      </c>
      <c r="K560" s="65"/>
      <c r="L560" s="38">
        <v>4.9550000000000001</v>
      </c>
      <c r="M560" s="127" t="s">
        <v>113</v>
      </c>
      <c r="N560" s="1" t="s">
        <v>13</v>
      </c>
      <c r="O560" s="60"/>
      <c r="P560" s="9"/>
      <c r="Q560" s="3" t="s">
        <v>205</v>
      </c>
      <c r="R560" s="22">
        <v>5.08</v>
      </c>
      <c r="S560" s="22">
        <v>4.9779999999999998</v>
      </c>
      <c r="T560" s="22">
        <v>5.2240000000000002</v>
      </c>
      <c r="U560" s="41"/>
      <c r="V560" s="22">
        <v>4.9409999999999998</v>
      </c>
      <c r="W560" s="41"/>
      <c r="X560" s="41"/>
      <c r="Y560" s="41"/>
      <c r="Z560" s="22">
        <v>4.9470000000000001</v>
      </c>
      <c r="AA560" s="41"/>
      <c r="AB560" s="22">
        <v>5.1239999999999997</v>
      </c>
      <c r="AC560" s="22">
        <v>5.1509999999999998</v>
      </c>
      <c r="AD560" s="22">
        <v>5.0919999999999996</v>
      </c>
      <c r="AE560" s="22">
        <v>4.9509999999999996</v>
      </c>
      <c r="AF560" s="22">
        <v>4.9580000000000002</v>
      </c>
      <c r="AG560" s="22">
        <v>4.6760000000000002</v>
      </c>
      <c r="AH560" s="22">
        <f t="shared" si="64"/>
        <v>4.8170000000000002</v>
      </c>
      <c r="AI560" s="27"/>
      <c r="AJ560" s="27"/>
      <c r="AK560" s="27"/>
      <c r="AL560" s="27"/>
      <c r="AM560" s="27"/>
      <c r="AN560" s="27"/>
      <c r="AO560" s="27"/>
      <c r="AP560" s="3"/>
      <c r="AQ560" s="8"/>
    </row>
    <row r="561" spans="1:43">
      <c r="A561" s="1">
        <f t="shared" si="61"/>
        <v>559</v>
      </c>
      <c r="B561" s="31"/>
      <c r="C561" s="1">
        <v>10</v>
      </c>
      <c r="D561" s="4">
        <f t="shared" si="59"/>
        <v>1016</v>
      </c>
      <c r="E561" s="4" t="s">
        <v>169</v>
      </c>
      <c r="F561" s="4">
        <v>3</v>
      </c>
      <c r="G561" s="4" t="s">
        <v>11</v>
      </c>
      <c r="H561" s="4" t="s">
        <v>17</v>
      </c>
      <c r="I561" s="4"/>
      <c r="J561" s="26">
        <v>97.3</v>
      </c>
      <c r="K561" s="65"/>
      <c r="L561" s="38">
        <v>5.4610000000000003</v>
      </c>
      <c r="M561" s="127" t="s">
        <v>113</v>
      </c>
      <c r="N561" s="1" t="s">
        <v>13</v>
      </c>
      <c r="O561" s="60"/>
      <c r="P561" s="9"/>
      <c r="Q561" s="3" t="s">
        <v>205</v>
      </c>
      <c r="R561" s="22">
        <v>5.7939999999999996</v>
      </c>
      <c r="S561" s="22">
        <v>5.7069999999999999</v>
      </c>
      <c r="T561" s="22">
        <v>5.7809999999999997</v>
      </c>
      <c r="U561" s="41"/>
      <c r="V561" s="22">
        <v>5.5339999999999998</v>
      </c>
      <c r="W561" s="41"/>
      <c r="X561" s="41"/>
      <c r="Y561" s="41"/>
      <c r="Z561" s="22">
        <v>5.49</v>
      </c>
      <c r="AA561" s="41"/>
      <c r="AB561" s="22">
        <v>5.5650000000000004</v>
      </c>
      <c r="AC561" s="22">
        <v>5.569</v>
      </c>
      <c r="AD561" s="22">
        <v>5.617</v>
      </c>
      <c r="AE561" s="22">
        <v>5.4169999999999998</v>
      </c>
      <c r="AF561" s="22">
        <v>5.6879999999999997</v>
      </c>
      <c r="AG561" s="22">
        <v>5.2370000000000001</v>
      </c>
      <c r="AH561" s="22">
        <f t="shared" si="64"/>
        <v>5.4625000000000004</v>
      </c>
      <c r="AI561" s="27"/>
      <c r="AJ561" s="27"/>
      <c r="AK561" s="27"/>
      <c r="AL561" s="27"/>
      <c r="AM561" s="27"/>
      <c r="AN561" s="27"/>
      <c r="AO561" s="27"/>
      <c r="AP561" s="3"/>
      <c r="AQ561" s="8"/>
    </row>
    <row r="562" spans="1:43">
      <c r="A562" s="1">
        <f t="shared" si="61"/>
        <v>560</v>
      </c>
      <c r="B562" s="31"/>
      <c r="C562" s="1">
        <v>10</v>
      </c>
      <c r="D562" s="4">
        <f t="shared" si="59"/>
        <v>1016</v>
      </c>
      <c r="E562" s="4" t="s">
        <v>149</v>
      </c>
      <c r="F562" s="4">
        <v>3</v>
      </c>
      <c r="G562" s="4" t="s">
        <v>14</v>
      </c>
      <c r="H562" s="4" t="s">
        <v>22</v>
      </c>
      <c r="I562" s="4"/>
      <c r="J562" s="26">
        <v>97.3</v>
      </c>
      <c r="K562" s="65"/>
      <c r="L562" s="38">
        <v>5.6189999999999998</v>
      </c>
      <c r="M562" s="127" t="s">
        <v>113</v>
      </c>
      <c r="N562" s="1" t="s">
        <v>13</v>
      </c>
      <c r="O562" s="60"/>
      <c r="P562" s="9"/>
      <c r="Q562" s="3"/>
      <c r="R562" s="22">
        <v>5.6550000000000002</v>
      </c>
      <c r="S562" s="22">
        <v>5.5359999999999996</v>
      </c>
      <c r="T562" s="22">
        <v>5.94</v>
      </c>
      <c r="U562" s="41"/>
      <c r="V562" s="22">
        <v>5.6619999999999999</v>
      </c>
      <c r="W562" s="41"/>
      <c r="X562" s="41"/>
      <c r="Y562" s="41"/>
      <c r="Z562" s="22">
        <v>5.6020000000000003</v>
      </c>
      <c r="AA562" s="41"/>
      <c r="AB562" s="22">
        <v>5.7939999999999996</v>
      </c>
      <c r="AC562" s="22">
        <v>5.742</v>
      </c>
      <c r="AD562" s="22">
        <v>5.673</v>
      </c>
      <c r="AE562" s="22">
        <v>5.68</v>
      </c>
      <c r="AF562" s="22">
        <v>5.5919999999999996</v>
      </c>
      <c r="AG562" s="22">
        <v>5.4539999999999997</v>
      </c>
      <c r="AH562" s="22">
        <f t="shared" si="64"/>
        <v>5.5229999999999997</v>
      </c>
      <c r="AI562" s="27"/>
      <c r="AJ562" s="27"/>
      <c r="AK562" s="27"/>
      <c r="AL562" s="27"/>
      <c r="AM562" s="27"/>
      <c r="AN562" s="27"/>
      <c r="AO562" s="27"/>
      <c r="AP562" s="3"/>
      <c r="AQ562" s="8"/>
    </row>
    <row r="563" spans="1:43">
      <c r="A563" s="1">
        <f t="shared" si="61"/>
        <v>561</v>
      </c>
      <c r="B563" s="31"/>
      <c r="C563" s="1">
        <v>10</v>
      </c>
      <c r="D563" s="4">
        <f t="shared" si="59"/>
        <v>1016</v>
      </c>
      <c r="E563" s="4" t="s">
        <v>233</v>
      </c>
      <c r="F563" s="4">
        <v>3</v>
      </c>
      <c r="G563" s="4" t="s">
        <v>14</v>
      </c>
      <c r="H563" s="4" t="s">
        <v>23</v>
      </c>
      <c r="I563" s="4"/>
      <c r="J563" s="26">
        <v>97.3</v>
      </c>
      <c r="K563" s="65"/>
      <c r="L563" s="38">
        <v>6.0359999999999996</v>
      </c>
      <c r="M563" s="127" t="s">
        <v>113</v>
      </c>
      <c r="N563" s="1" t="s">
        <v>13</v>
      </c>
      <c r="O563" s="60"/>
      <c r="P563" s="9"/>
      <c r="Q563" s="3"/>
      <c r="R563" s="22">
        <v>6.0309999999999997</v>
      </c>
      <c r="S563" s="22">
        <v>5.9240000000000004</v>
      </c>
      <c r="T563" s="22">
        <v>6.3540000000000001</v>
      </c>
      <c r="U563" s="41"/>
      <c r="V563" s="22">
        <v>6.0739999999999998</v>
      </c>
      <c r="W563" s="41"/>
      <c r="X563" s="41"/>
      <c r="Y563" s="41"/>
      <c r="Z563" s="22">
        <v>6.016</v>
      </c>
      <c r="AA563" s="41"/>
      <c r="AB563" s="22">
        <v>6.1950000000000003</v>
      </c>
      <c r="AC563" s="22">
        <v>6.1429999999999998</v>
      </c>
      <c r="AD563" s="22">
        <v>6.07</v>
      </c>
      <c r="AE563" s="22">
        <v>6.0869999999999997</v>
      </c>
      <c r="AF563" s="22">
        <v>5.9870000000000001</v>
      </c>
      <c r="AG563" s="22">
        <v>5.8630000000000004</v>
      </c>
      <c r="AH563" s="22">
        <f t="shared" si="64"/>
        <v>5.9250000000000007</v>
      </c>
      <c r="AI563" s="27"/>
      <c r="AJ563" s="27"/>
      <c r="AK563" s="27"/>
      <c r="AL563" s="27"/>
      <c r="AM563" s="27"/>
      <c r="AN563" s="27"/>
      <c r="AO563" s="27"/>
      <c r="AP563" s="3"/>
      <c r="AQ563" s="8"/>
    </row>
    <row r="564" spans="1:43">
      <c r="A564" s="1">
        <f t="shared" si="61"/>
        <v>562</v>
      </c>
      <c r="B564" s="31"/>
      <c r="C564" s="1">
        <v>10</v>
      </c>
      <c r="D564" s="4">
        <f t="shared" si="59"/>
        <v>1016</v>
      </c>
      <c r="E564" s="4" t="s">
        <v>167</v>
      </c>
      <c r="F564" s="4">
        <v>3</v>
      </c>
      <c r="G564" s="4" t="s">
        <v>14</v>
      </c>
      <c r="H564" s="4" t="s">
        <v>23</v>
      </c>
      <c r="I564" s="4"/>
      <c r="J564" s="26">
        <v>97.2</v>
      </c>
      <c r="K564" s="65"/>
      <c r="L564" s="38">
        <v>6.0679999999999996</v>
      </c>
      <c r="M564" s="127" t="s">
        <v>113</v>
      </c>
      <c r="N564" s="1" t="s">
        <v>13</v>
      </c>
      <c r="O564" s="60"/>
      <c r="P564" s="9"/>
      <c r="Q564" s="3"/>
      <c r="R564" s="22">
        <v>6.0659999999999998</v>
      </c>
      <c r="S564" s="22">
        <v>5.9550000000000001</v>
      </c>
      <c r="T564" s="22">
        <v>6.383</v>
      </c>
      <c r="U564" s="41"/>
      <c r="V564" s="22">
        <v>6.109</v>
      </c>
      <c r="W564" s="41"/>
      <c r="X564" s="41"/>
      <c r="Y564" s="41"/>
      <c r="Z564" s="22">
        <v>6.048</v>
      </c>
      <c r="AA564" s="41"/>
      <c r="AB564" s="22">
        <v>6.2160000000000002</v>
      </c>
      <c r="AC564" s="22">
        <v>6.1630000000000003</v>
      </c>
      <c r="AD564" s="22">
        <v>6.0940000000000003</v>
      </c>
      <c r="AE564" s="22">
        <v>6.101</v>
      </c>
      <c r="AF564" s="22">
        <v>6.0129999999999999</v>
      </c>
      <c r="AG564" s="22">
        <v>5.8959999999999999</v>
      </c>
      <c r="AH564" s="22">
        <f t="shared" si="64"/>
        <v>5.9544999999999995</v>
      </c>
      <c r="AI564" s="27"/>
      <c r="AJ564" s="27"/>
      <c r="AK564" s="27"/>
      <c r="AL564" s="27"/>
      <c r="AM564" s="27"/>
      <c r="AN564" s="27"/>
      <c r="AO564" s="27"/>
      <c r="AP564" s="3"/>
      <c r="AQ564" s="8"/>
    </row>
    <row r="565" spans="1:43">
      <c r="A565" s="1">
        <f t="shared" si="61"/>
        <v>563</v>
      </c>
      <c r="B565" s="31"/>
      <c r="C565" s="1">
        <v>10</v>
      </c>
      <c r="D565" s="4">
        <f t="shared" si="59"/>
        <v>1016</v>
      </c>
      <c r="E565" s="4" t="s">
        <v>241</v>
      </c>
      <c r="F565" s="4">
        <v>3</v>
      </c>
      <c r="G565" s="4" t="s">
        <v>11</v>
      </c>
      <c r="H565" s="4" t="s">
        <v>17</v>
      </c>
      <c r="I565" s="4"/>
      <c r="J565" s="26">
        <v>95.6</v>
      </c>
      <c r="K565" s="65"/>
      <c r="L565" s="38">
        <v>6.1959999999999997</v>
      </c>
      <c r="M565" s="127" t="s">
        <v>113</v>
      </c>
      <c r="N565" s="1" t="s">
        <v>13</v>
      </c>
      <c r="O565" s="60"/>
      <c r="P565" s="9"/>
      <c r="Q565" s="3" t="s">
        <v>205</v>
      </c>
      <c r="R565" s="22">
        <v>6.5860000000000003</v>
      </c>
      <c r="S565" s="22">
        <v>6.1219999999999999</v>
      </c>
      <c r="T565" s="22">
        <v>6.6870000000000003</v>
      </c>
      <c r="U565" s="41"/>
      <c r="V565" s="22">
        <v>6.4029999999999996</v>
      </c>
      <c r="W565" s="41"/>
      <c r="X565" s="41"/>
      <c r="Y565" s="41"/>
      <c r="Z565" s="22">
        <v>6.1680000000000001</v>
      </c>
      <c r="AA565" s="41"/>
      <c r="AB565" s="22">
        <v>6.4509999999999996</v>
      </c>
      <c r="AC565" s="22">
        <v>6.4349999999999996</v>
      </c>
      <c r="AD565" s="22">
        <v>6.3319999999999999</v>
      </c>
      <c r="AE565" s="22">
        <v>6.266</v>
      </c>
      <c r="AF565" s="22">
        <v>6.149</v>
      </c>
      <c r="AG565" s="22">
        <v>6.1470000000000002</v>
      </c>
      <c r="AH565" s="22">
        <f t="shared" si="64"/>
        <v>6.1479999999999997</v>
      </c>
      <c r="AI565" s="27"/>
      <c r="AJ565" s="27"/>
      <c r="AK565" s="27"/>
      <c r="AL565" s="27"/>
      <c r="AM565" s="27"/>
      <c r="AN565" s="27"/>
      <c r="AO565" s="27"/>
      <c r="AP565" s="3"/>
      <c r="AQ565" s="8"/>
    </row>
    <row r="566" spans="1:43">
      <c r="A566" s="1">
        <f t="shared" si="61"/>
        <v>564</v>
      </c>
      <c r="B566" s="31"/>
      <c r="C566" s="1">
        <v>10</v>
      </c>
      <c r="D566" s="4">
        <f t="shared" si="59"/>
        <v>1016</v>
      </c>
      <c r="E566" s="4" t="s">
        <v>166</v>
      </c>
      <c r="F566" s="4">
        <v>3</v>
      </c>
      <c r="G566" s="4" t="s">
        <v>14</v>
      </c>
      <c r="H566" s="4" t="s">
        <v>22</v>
      </c>
      <c r="I566" s="4"/>
      <c r="J566" s="26">
        <v>97.2</v>
      </c>
      <c r="K566" s="65"/>
      <c r="L566" s="38">
        <v>6.3040000000000003</v>
      </c>
      <c r="M566" s="127" t="s">
        <v>113</v>
      </c>
      <c r="N566" s="1" t="s">
        <v>13</v>
      </c>
      <c r="O566" s="60"/>
      <c r="P566" s="9"/>
      <c r="Q566" s="3"/>
      <c r="R566" s="22">
        <v>6.3920000000000003</v>
      </c>
      <c r="S566" s="22">
        <v>6.25</v>
      </c>
      <c r="T566" s="22">
        <v>6.6689999999999996</v>
      </c>
      <c r="U566" s="41"/>
      <c r="V566" s="22">
        <v>6.3410000000000002</v>
      </c>
      <c r="W566" s="41"/>
      <c r="X566" s="41"/>
      <c r="Y566" s="41"/>
      <c r="Z566" s="22">
        <v>6.2910000000000004</v>
      </c>
      <c r="AA566" s="41"/>
      <c r="AB566" s="22">
        <v>6.42</v>
      </c>
      <c r="AC566" s="22">
        <v>6.3559999999999999</v>
      </c>
      <c r="AD566" s="22">
        <v>6.3209999999999997</v>
      </c>
      <c r="AE566" s="22">
        <v>6.298</v>
      </c>
      <c r="AF566" s="22">
        <v>6.3049999999999997</v>
      </c>
      <c r="AG566" s="22">
        <v>6.1479999999999997</v>
      </c>
      <c r="AH566" s="22">
        <f t="shared" si="64"/>
        <v>6.2264999999999997</v>
      </c>
      <c r="AI566" s="27"/>
      <c r="AJ566" s="27"/>
      <c r="AK566" s="27"/>
      <c r="AL566" s="27"/>
      <c r="AM566" s="27"/>
      <c r="AN566" s="27"/>
      <c r="AO566" s="27"/>
      <c r="AP566" s="3"/>
      <c r="AQ566" s="8"/>
    </row>
    <row r="567" spans="1:43">
      <c r="A567" s="1">
        <f t="shared" si="61"/>
        <v>565</v>
      </c>
      <c r="B567" s="31"/>
      <c r="C567" s="1">
        <v>10</v>
      </c>
      <c r="D567" s="4">
        <f t="shared" si="59"/>
        <v>1016</v>
      </c>
      <c r="E567" s="4" t="s">
        <v>169</v>
      </c>
      <c r="F567" s="4">
        <v>3</v>
      </c>
      <c r="G567" s="4" t="s">
        <v>11</v>
      </c>
      <c r="H567" s="4" t="s">
        <v>17</v>
      </c>
      <c r="I567" s="4"/>
      <c r="J567" s="26">
        <v>95.2</v>
      </c>
      <c r="K567" s="65"/>
      <c r="L567" s="38">
        <v>6.3849999999999998</v>
      </c>
      <c r="M567" s="127" t="s">
        <v>113</v>
      </c>
      <c r="N567" s="1" t="s">
        <v>13</v>
      </c>
      <c r="O567" s="60"/>
      <c r="P567" s="9"/>
      <c r="Q567" s="3" t="s">
        <v>205</v>
      </c>
      <c r="R567" s="22">
        <v>6.6639999999999997</v>
      </c>
      <c r="S567" s="22">
        <v>6.5720000000000001</v>
      </c>
      <c r="T567" s="22">
        <v>6.8289999999999997</v>
      </c>
      <c r="U567" s="41"/>
      <c r="V567" s="22">
        <v>6.5579999999999998</v>
      </c>
      <c r="W567" s="41"/>
      <c r="X567" s="41"/>
      <c r="Y567" s="41"/>
      <c r="Z567" s="22">
        <v>6.3940000000000001</v>
      </c>
      <c r="AA567" s="41"/>
      <c r="AB567" s="22">
        <v>6.6879999999999997</v>
      </c>
      <c r="AC567" s="22">
        <v>6.6859999999999999</v>
      </c>
      <c r="AD567" s="22">
        <v>6.649</v>
      </c>
      <c r="AE567" s="22">
        <v>6.5270000000000001</v>
      </c>
      <c r="AF567" s="22">
        <v>6.57</v>
      </c>
      <c r="AG567" s="22">
        <v>6.1580000000000004</v>
      </c>
      <c r="AH567" s="22">
        <f t="shared" si="64"/>
        <v>6.3640000000000008</v>
      </c>
      <c r="AI567" s="27"/>
      <c r="AJ567" s="27"/>
      <c r="AK567" s="27"/>
      <c r="AL567" s="27"/>
      <c r="AM567" s="27"/>
      <c r="AN567" s="27"/>
      <c r="AO567" s="27"/>
      <c r="AP567" s="3"/>
      <c r="AQ567" s="8"/>
    </row>
    <row r="568" spans="1:43">
      <c r="A568" s="1">
        <f t="shared" si="61"/>
        <v>566</v>
      </c>
      <c r="B568" s="31" t="s">
        <v>273</v>
      </c>
      <c r="C568" s="1">
        <v>10</v>
      </c>
      <c r="D568" s="4">
        <f t="shared" si="59"/>
        <v>1016</v>
      </c>
      <c r="E568" s="4" t="s">
        <v>131</v>
      </c>
      <c r="F568" s="4">
        <v>1</v>
      </c>
      <c r="G568" s="4" t="s">
        <v>11</v>
      </c>
      <c r="H568" s="4" t="s">
        <v>12</v>
      </c>
      <c r="I568" s="4"/>
      <c r="J568" s="12">
        <v>87.5</v>
      </c>
      <c r="K568" s="65"/>
      <c r="L568" s="38">
        <v>3.9980000000000002</v>
      </c>
      <c r="M568" s="127" t="s">
        <v>113</v>
      </c>
      <c r="N568" s="1" t="s">
        <v>13</v>
      </c>
      <c r="O568" s="60"/>
      <c r="P568" s="9"/>
      <c r="Q568" s="3"/>
      <c r="R568" s="22">
        <v>3.8980000000000001</v>
      </c>
      <c r="S568" s="22">
        <v>3.992</v>
      </c>
      <c r="T568" s="22">
        <v>4.4619999999999997</v>
      </c>
      <c r="U568" s="41"/>
      <c r="V568" s="40">
        <v>4.16</v>
      </c>
      <c r="W568" s="40">
        <v>4.1059999999999999</v>
      </c>
      <c r="X568" s="40">
        <v>4.1079999999999997</v>
      </c>
      <c r="Y568" s="6">
        <v>4.0739999999999998</v>
      </c>
      <c r="Z568" s="6">
        <v>4.0179999999999998</v>
      </c>
      <c r="AA568" s="41"/>
      <c r="AB568" s="40">
        <v>4.0060000000000002</v>
      </c>
      <c r="AC568" s="40">
        <v>4.2389999999999999</v>
      </c>
      <c r="AD568" s="40">
        <v>4.16</v>
      </c>
      <c r="AE568" s="22">
        <v>3.722</v>
      </c>
      <c r="AF568" s="22">
        <v>3.7210000000000001</v>
      </c>
      <c r="AG568" s="22">
        <v>4.1399999999999997</v>
      </c>
      <c r="AH568" s="22">
        <f t="shared" ref="AH568:AH571" si="65">SUM(AF568:AG568)/2</f>
        <v>3.9304999999999999</v>
      </c>
      <c r="AI568" s="27"/>
      <c r="AJ568" s="27"/>
      <c r="AK568" s="27"/>
      <c r="AL568" s="27"/>
      <c r="AM568" s="27"/>
      <c r="AN568" s="27"/>
      <c r="AO568" s="27"/>
      <c r="AP568" s="3"/>
      <c r="AQ568" s="8"/>
    </row>
    <row r="569" spans="1:43">
      <c r="A569" s="1">
        <f t="shared" si="61"/>
        <v>567</v>
      </c>
      <c r="B569" s="31"/>
      <c r="C569" s="1">
        <v>10</v>
      </c>
      <c r="D569" s="4">
        <f t="shared" si="59"/>
        <v>1016</v>
      </c>
      <c r="E569" s="4" t="s">
        <v>118</v>
      </c>
      <c r="F569" s="4">
        <v>1</v>
      </c>
      <c r="G569" s="4" t="s">
        <v>11</v>
      </c>
      <c r="H569" s="4" t="s">
        <v>17</v>
      </c>
      <c r="I569" s="4" t="s">
        <v>274</v>
      </c>
      <c r="J569" s="12">
        <v>87.2</v>
      </c>
      <c r="K569" s="63" t="s">
        <v>170</v>
      </c>
      <c r="L569" s="38">
        <v>4.4020000000000001</v>
      </c>
      <c r="M569" s="127" t="s">
        <v>276</v>
      </c>
      <c r="N569" s="1" t="s">
        <v>13</v>
      </c>
      <c r="O569" s="60"/>
      <c r="P569" s="9"/>
      <c r="Q569" s="3"/>
      <c r="R569" s="22">
        <v>4.5819999999999999</v>
      </c>
      <c r="S569" s="22">
        <v>4.3789999999999996</v>
      </c>
      <c r="T569" s="22">
        <v>5.0069999999999997</v>
      </c>
      <c r="U569" s="41"/>
      <c r="V569" s="40">
        <v>4.6340000000000003</v>
      </c>
      <c r="W569" s="40">
        <v>4.5010000000000003</v>
      </c>
      <c r="X569" s="40">
        <v>4.4710000000000001</v>
      </c>
      <c r="Y569" s="40">
        <v>4.4279999999999999</v>
      </c>
      <c r="Z569" s="6">
        <v>4.3259999999999996</v>
      </c>
      <c r="AA569" s="43"/>
      <c r="AB569" s="40">
        <v>4.4720000000000004</v>
      </c>
      <c r="AC569" s="40">
        <v>4.5640000000000001</v>
      </c>
      <c r="AD569" s="40">
        <v>4.5060000000000002</v>
      </c>
      <c r="AE569" s="22">
        <v>4.226</v>
      </c>
      <c r="AF569" s="22">
        <v>4.2869999999999999</v>
      </c>
      <c r="AG569" s="22">
        <v>4.2489999999999997</v>
      </c>
      <c r="AH569" s="22">
        <f t="shared" si="65"/>
        <v>4.2679999999999998</v>
      </c>
      <c r="AI569" s="27"/>
      <c r="AJ569" s="27"/>
      <c r="AK569" s="27"/>
      <c r="AL569" s="27"/>
      <c r="AM569" s="27"/>
      <c r="AN569" s="27"/>
      <c r="AO569" s="27"/>
      <c r="AP569" s="3"/>
      <c r="AQ569" s="8"/>
    </row>
    <row r="570" spans="1:43">
      <c r="A570" s="1">
        <f t="shared" si="61"/>
        <v>568</v>
      </c>
      <c r="B570" s="31"/>
      <c r="C570" s="1">
        <v>10</v>
      </c>
      <c r="D570" s="4">
        <f t="shared" si="59"/>
        <v>1016</v>
      </c>
      <c r="E570" s="4" t="s">
        <v>137</v>
      </c>
      <c r="F570" s="4">
        <v>1</v>
      </c>
      <c r="G570" s="4" t="s">
        <v>11</v>
      </c>
      <c r="H570" s="4" t="s">
        <v>17</v>
      </c>
      <c r="I570" s="4"/>
      <c r="J570" s="12">
        <v>86.7</v>
      </c>
      <c r="K570" s="63" t="s">
        <v>170</v>
      </c>
      <c r="L570" s="38">
        <v>4.508</v>
      </c>
      <c r="M570" s="127" t="s">
        <v>113</v>
      </c>
      <c r="N570" s="1" t="s">
        <v>13</v>
      </c>
      <c r="O570" s="60"/>
      <c r="P570" s="9"/>
      <c r="Q570" s="3"/>
      <c r="R570" s="22">
        <v>4.6970000000000001</v>
      </c>
      <c r="S570" s="22">
        <v>4.6280000000000001</v>
      </c>
      <c r="T570" s="22">
        <v>4.9770000000000003</v>
      </c>
      <c r="U570" s="41"/>
      <c r="V570" s="40">
        <v>4.6920000000000002</v>
      </c>
      <c r="W570" s="40">
        <v>4.5890000000000004</v>
      </c>
      <c r="X570" s="40">
        <v>4.5910000000000002</v>
      </c>
      <c r="Y570" s="40">
        <v>4.5609999999999999</v>
      </c>
      <c r="Z570" s="40">
        <v>4.5090000000000003</v>
      </c>
      <c r="AA570" s="43"/>
      <c r="AB570" s="40">
        <v>4.5510000000000002</v>
      </c>
      <c r="AC570" s="22">
        <v>4.5609999999999999</v>
      </c>
      <c r="AD570" s="40">
        <v>4.5880000000000001</v>
      </c>
      <c r="AE570" s="22">
        <v>4.3230000000000004</v>
      </c>
      <c r="AF570" s="22">
        <v>4.6050000000000004</v>
      </c>
      <c r="AG570" s="22">
        <v>4.4610000000000003</v>
      </c>
      <c r="AH570" s="22">
        <f t="shared" si="65"/>
        <v>4.5330000000000004</v>
      </c>
      <c r="AI570" s="27"/>
      <c r="AJ570" s="27"/>
      <c r="AK570" s="27"/>
      <c r="AL570" s="27"/>
      <c r="AM570" s="27"/>
      <c r="AN570" s="27"/>
      <c r="AO570" s="27"/>
      <c r="AP570" s="3"/>
      <c r="AQ570" s="8"/>
    </row>
    <row r="571" spans="1:43">
      <c r="A571" s="1">
        <f t="shared" si="61"/>
        <v>569</v>
      </c>
      <c r="B571" s="31"/>
      <c r="C571" s="1">
        <v>10</v>
      </c>
      <c r="D571" s="4">
        <f t="shared" si="59"/>
        <v>1016</v>
      </c>
      <c r="E571" s="4" t="s">
        <v>128</v>
      </c>
      <c r="F571" s="4">
        <v>1</v>
      </c>
      <c r="G571" s="4" t="s">
        <v>11</v>
      </c>
      <c r="H571" s="4" t="s">
        <v>12</v>
      </c>
      <c r="I571" s="4"/>
      <c r="J571" s="26">
        <v>87</v>
      </c>
      <c r="K571" s="63" t="s">
        <v>170</v>
      </c>
      <c r="L571" s="38">
        <v>4.5069999999999997</v>
      </c>
      <c r="M571" s="127" t="s">
        <v>113</v>
      </c>
      <c r="N571" s="1" t="s">
        <v>13</v>
      </c>
      <c r="O571" s="60"/>
      <c r="P571" s="9"/>
      <c r="Q571" s="3"/>
      <c r="R571" s="22">
        <v>4.5970000000000004</v>
      </c>
      <c r="S571" s="22">
        <v>4.6040000000000001</v>
      </c>
      <c r="T571" s="22">
        <v>5.0190000000000001</v>
      </c>
      <c r="U571" s="41"/>
      <c r="V571" s="40">
        <v>4.694</v>
      </c>
      <c r="W571" s="40">
        <v>4.6269999999999998</v>
      </c>
      <c r="X571" s="40">
        <v>4.6260000000000003</v>
      </c>
      <c r="Y571" s="40">
        <v>4.577</v>
      </c>
      <c r="Z571" s="22">
        <v>4.5179999999999998</v>
      </c>
      <c r="AA571" s="43"/>
      <c r="AB571" s="40">
        <v>4.5549999999999997</v>
      </c>
      <c r="AC571" s="22">
        <v>4.7619999999999996</v>
      </c>
      <c r="AD571" s="40">
        <v>4.7119999999999997</v>
      </c>
      <c r="AE571" s="22">
        <v>4.282</v>
      </c>
      <c r="AF571" s="22">
        <v>4.3479999999999999</v>
      </c>
      <c r="AG571" s="22">
        <v>4.5430000000000001</v>
      </c>
      <c r="AH571" s="22">
        <f t="shared" si="65"/>
        <v>4.4455</v>
      </c>
      <c r="AI571" s="27"/>
      <c r="AJ571" s="27"/>
      <c r="AK571" s="27"/>
      <c r="AL571" s="27"/>
      <c r="AM571" s="27"/>
      <c r="AN571" s="27"/>
      <c r="AO571" s="27"/>
      <c r="AP571" s="3"/>
      <c r="AQ571" s="8"/>
    </row>
    <row r="572" spans="1:43">
      <c r="A572" s="1">
        <f t="shared" si="61"/>
        <v>570</v>
      </c>
      <c r="B572" s="31"/>
      <c r="C572" s="1">
        <v>10</v>
      </c>
      <c r="D572" s="4">
        <f t="shared" si="59"/>
        <v>1016</v>
      </c>
      <c r="E572" s="4" t="s">
        <v>143</v>
      </c>
      <c r="F572" s="4">
        <v>3</v>
      </c>
      <c r="G572" s="4" t="s">
        <v>11</v>
      </c>
      <c r="H572" s="4" t="s">
        <v>17</v>
      </c>
      <c r="I572" s="4"/>
      <c r="J572" s="12">
        <v>97.2</v>
      </c>
      <c r="K572" s="65"/>
      <c r="L572" s="51">
        <v>3.4449999999999998</v>
      </c>
      <c r="M572" s="127" t="s">
        <v>158</v>
      </c>
      <c r="N572" s="25" t="s">
        <v>111</v>
      </c>
      <c r="O572" s="60"/>
      <c r="P572" s="9"/>
      <c r="Q572" s="3"/>
      <c r="R572" s="22">
        <v>3.9079999999999999</v>
      </c>
      <c r="S572" s="22">
        <v>3.621</v>
      </c>
      <c r="T572" s="22">
        <v>3.8879999999999999</v>
      </c>
      <c r="U572" s="41"/>
      <c r="V572" s="40">
        <v>3.464</v>
      </c>
      <c r="W572" s="41"/>
      <c r="X572" s="41"/>
      <c r="Y572" s="41"/>
      <c r="Z572" s="41"/>
      <c r="AA572" s="41"/>
      <c r="AB572" s="40">
        <v>3.7320000000000002</v>
      </c>
      <c r="AC572" s="42">
        <v>3.7639999999999998</v>
      </c>
      <c r="AD572" s="22">
        <v>3.72</v>
      </c>
      <c r="AE572" s="22">
        <v>3.5430000000000001</v>
      </c>
      <c r="AF572" s="22">
        <v>3.569</v>
      </c>
      <c r="AG572" s="22">
        <v>3.1749999999999998</v>
      </c>
      <c r="AH572" s="22">
        <f t="shared" ref="AH572:AH574" si="66">SUM(AF572:AG572)/2</f>
        <v>3.3719999999999999</v>
      </c>
      <c r="AI572" s="27"/>
      <c r="AJ572" s="27"/>
      <c r="AK572" s="27"/>
      <c r="AL572" s="27"/>
      <c r="AM572" s="27"/>
      <c r="AN572" s="27"/>
      <c r="AO572" s="27"/>
      <c r="AP572" s="3"/>
      <c r="AQ572" s="8"/>
    </row>
    <row r="573" spans="1:43">
      <c r="A573" s="1">
        <f t="shared" si="61"/>
        <v>571</v>
      </c>
      <c r="B573" s="31"/>
      <c r="C573" s="1">
        <v>10</v>
      </c>
      <c r="D573" s="4">
        <f t="shared" si="59"/>
        <v>1016</v>
      </c>
      <c r="E573" s="4" t="s">
        <v>130</v>
      </c>
      <c r="F573" s="4">
        <v>3</v>
      </c>
      <c r="G573" s="4" t="s">
        <v>11</v>
      </c>
      <c r="H573" s="4" t="s">
        <v>12</v>
      </c>
      <c r="I573" s="4"/>
      <c r="J573" s="12">
        <v>96.5</v>
      </c>
      <c r="K573" s="65"/>
      <c r="L573" s="51">
        <v>3.7930000000000001</v>
      </c>
      <c r="M573" s="127" t="s">
        <v>158</v>
      </c>
      <c r="N573" s="25" t="s">
        <v>111</v>
      </c>
      <c r="O573" s="60"/>
      <c r="P573" s="9"/>
      <c r="Q573" s="3"/>
      <c r="R573" s="22">
        <v>3.7210000000000001</v>
      </c>
      <c r="S573" s="22">
        <v>3.7440000000000002</v>
      </c>
      <c r="T573" s="22">
        <v>4.1779999999999999</v>
      </c>
      <c r="U573" s="41"/>
      <c r="V573" s="40">
        <v>3.8460000000000001</v>
      </c>
      <c r="W573" s="41"/>
      <c r="X573" s="41"/>
      <c r="Y573" s="41"/>
      <c r="Z573" s="41"/>
      <c r="AA573" s="43"/>
      <c r="AB573" s="40">
        <v>3.8690000000000002</v>
      </c>
      <c r="AC573" s="22">
        <v>4.0789999999999997</v>
      </c>
      <c r="AD573" s="22">
        <v>3.9689999999999999</v>
      </c>
      <c r="AE573" s="22">
        <v>3.6030000000000002</v>
      </c>
      <c r="AF573" s="22">
        <v>3.5019999999999998</v>
      </c>
      <c r="AG573" s="22">
        <v>3.8439999999999999</v>
      </c>
      <c r="AH573" s="22">
        <f>SUM(AF573:AG573)/2</f>
        <v>3.673</v>
      </c>
      <c r="AI573" s="27"/>
      <c r="AJ573" s="27"/>
      <c r="AK573" s="27"/>
      <c r="AL573" s="27"/>
      <c r="AM573" s="27"/>
      <c r="AN573" s="27"/>
      <c r="AO573" s="27"/>
      <c r="AP573" s="3"/>
      <c r="AQ573" s="8"/>
    </row>
    <row r="574" spans="1:43">
      <c r="A574" s="1">
        <f t="shared" si="61"/>
        <v>572</v>
      </c>
      <c r="B574" s="31"/>
      <c r="C574" s="1">
        <v>10</v>
      </c>
      <c r="D574" s="4">
        <f t="shared" si="59"/>
        <v>1016</v>
      </c>
      <c r="E574" s="4" t="s">
        <v>142</v>
      </c>
      <c r="F574" s="4">
        <v>3</v>
      </c>
      <c r="G574" s="4" t="s">
        <v>11</v>
      </c>
      <c r="H574" s="4" t="s">
        <v>17</v>
      </c>
      <c r="I574" s="4"/>
      <c r="J574" s="12">
        <v>98</v>
      </c>
      <c r="K574" s="65"/>
      <c r="L574" s="51">
        <v>3.798</v>
      </c>
      <c r="M574" s="127" t="s">
        <v>158</v>
      </c>
      <c r="N574" s="25" t="s">
        <v>111</v>
      </c>
      <c r="O574" s="60"/>
      <c r="P574" s="9"/>
      <c r="Q574" s="3"/>
      <c r="R574" s="22">
        <v>4.0309999999999997</v>
      </c>
      <c r="S574" s="22">
        <v>4.0490000000000004</v>
      </c>
      <c r="T574" s="22">
        <v>4.1429999999999998</v>
      </c>
      <c r="U574" s="41"/>
      <c r="V574" s="40">
        <v>3.6219999999999999</v>
      </c>
      <c r="W574" s="41"/>
      <c r="X574" s="41"/>
      <c r="Y574" s="41"/>
      <c r="Z574" s="41"/>
      <c r="AA574" s="43"/>
      <c r="AB574" s="40">
        <v>3.8610000000000002</v>
      </c>
      <c r="AC574" s="42">
        <v>3.9910000000000001</v>
      </c>
      <c r="AD574" s="22">
        <v>4.0140000000000002</v>
      </c>
      <c r="AE574" s="22">
        <v>3.661</v>
      </c>
      <c r="AF574" s="22">
        <v>3.843</v>
      </c>
      <c r="AG574" s="22">
        <v>3.387</v>
      </c>
      <c r="AH574" s="22">
        <f t="shared" si="66"/>
        <v>3.6150000000000002</v>
      </c>
      <c r="AI574" s="27"/>
      <c r="AJ574" s="27"/>
      <c r="AK574" s="27"/>
      <c r="AL574" s="27"/>
      <c r="AM574" s="27"/>
      <c r="AN574" s="27"/>
      <c r="AO574" s="27"/>
      <c r="AP574" s="3"/>
      <c r="AQ574" s="8"/>
    </row>
    <row r="575" spans="1:43">
      <c r="A575" s="1">
        <f t="shared" si="61"/>
        <v>573</v>
      </c>
      <c r="B575" s="31" t="s">
        <v>265</v>
      </c>
      <c r="C575" s="1">
        <v>9</v>
      </c>
      <c r="D575" s="4">
        <f t="shared" si="59"/>
        <v>69</v>
      </c>
      <c r="E575" s="4" t="s">
        <v>131</v>
      </c>
      <c r="F575" s="4">
        <v>1</v>
      </c>
      <c r="G575" s="4" t="s">
        <v>11</v>
      </c>
      <c r="H575" s="4" t="s">
        <v>12</v>
      </c>
      <c r="I575" s="4"/>
      <c r="J575" s="26">
        <v>87.4</v>
      </c>
      <c r="K575" s="65"/>
      <c r="L575" s="38">
        <v>3.9259999999999997</v>
      </c>
      <c r="M575" s="127" t="s">
        <v>110</v>
      </c>
      <c r="N575" s="4" t="s">
        <v>13</v>
      </c>
      <c r="O575" s="71"/>
      <c r="P575" s="23"/>
      <c r="Q575" s="3"/>
      <c r="R575" s="22">
        <v>3.831</v>
      </c>
      <c r="S575" s="22">
        <v>3.9129999999999998</v>
      </c>
      <c r="T575" s="22">
        <v>4.2779999999999996</v>
      </c>
      <c r="U575" s="22">
        <v>3.798</v>
      </c>
      <c r="V575" s="40">
        <v>4.077</v>
      </c>
      <c r="W575" s="40">
        <v>4.0270000000000001</v>
      </c>
      <c r="X575" s="22">
        <v>4.0279999999999996</v>
      </c>
      <c r="Y575" s="6">
        <v>3.9950000000000001</v>
      </c>
      <c r="Z575" s="22">
        <v>3.9430000000000001</v>
      </c>
      <c r="AA575" s="41"/>
      <c r="AB575" s="22">
        <v>3.9289999999999998</v>
      </c>
      <c r="AC575" s="22">
        <v>4.1619999999999999</v>
      </c>
      <c r="AD575" s="22">
        <v>4.0830000000000002</v>
      </c>
      <c r="AE575" s="22">
        <v>3.6459999999999999</v>
      </c>
      <c r="AF575" s="22">
        <v>3.645</v>
      </c>
      <c r="AG575" s="22">
        <v>4.04</v>
      </c>
      <c r="AH575" s="22">
        <f t="shared" ref="AH575:AH582" si="67">SUM(AF575:AG575)/2</f>
        <v>3.8425000000000002</v>
      </c>
      <c r="AI575" s="27"/>
      <c r="AJ575" s="27"/>
      <c r="AK575" s="27"/>
      <c r="AL575" s="27"/>
      <c r="AM575" s="27"/>
      <c r="AN575" s="27"/>
      <c r="AO575" s="27"/>
      <c r="AP575" s="3"/>
      <c r="AQ575" s="8"/>
    </row>
    <row r="576" spans="1:43">
      <c r="A576" s="1">
        <f t="shared" si="61"/>
        <v>574</v>
      </c>
      <c r="B576" s="31"/>
      <c r="C576" s="1">
        <v>9</v>
      </c>
      <c r="D576" s="4">
        <f t="shared" si="59"/>
        <v>69</v>
      </c>
      <c r="E576" s="4" t="s">
        <v>128</v>
      </c>
      <c r="F576" s="4">
        <v>1</v>
      </c>
      <c r="G576" s="4" t="s">
        <v>11</v>
      </c>
      <c r="H576" s="4" t="s">
        <v>12</v>
      </c>
      <c r="I576" s="4"/>
      <c r="J576" s="26">
        <v>87</v>
      </c>
      <c r="K576" s="63">
        <v>0</v>
      </c>
      <c r="L576" s="38">
        <v>4.3899999999999997</v>
      </c>
      <c r="M576" s="127" t="s">
        <v>110</v>
      </c>
      <c r="N576" s="4" t="s">
        <v>13</v>
      </c>
      <c r="O576" s="71"/>
      <c r="P576" s="23"/>
      <c r="Q576" s="3"/>
      <c r="R576" s="22">
        <v>4.4889999999999999</v>
      </c>
      <c r="S576" s="22">
        <v>4.4859999999999998</v>
      </c>
      <c r="T576" s="22">
        <v>4.899</v>
      </c>
      <c r="U576" s="22">
        <v>4.33</v>
      </c>
      <c r="V576" s="40">
        <v>4.5730000000000004</v>
      </c>
      <c r="W576" s="40">
        <v>4.5049999999999999</v>
      </c>
      <c r="X576" s="22">
        <v>4.5049999999999999</v>
      </c>
      <c r="Y576" s="6">
        <v>4.4560000000000004</v>
      </c>
      <c r="Z576" s="22">
        <v>4.4000000000000004</v>
      </c>
      <c r="AA576" s="43"/>
      <c r="AB576" s="22">
        <v>4.4429999999999996</v>
      </c>
      <c r="AC576" s="22">
        <v>4.6479999999999997</v>
      </c>
      <c r="AD576" s="22">
        <v>4.5970000000000004</v>
      </c>
      <c r="AE576" s="22">
        <v>4.1719999999999997</v>
      </c>
      <c r="AF576" s="22">
        <v>4.2380000000000004</v>
      </c>
      <c r="AG576" s="22">
        <v>4.3970000000000002</v>
      </c>
      <c r="AH576" s="22">
        <f t="shared" si="67"/>
        <v>4.3175000000000008</v>
      </c>
      <c r="AI576" s="27"/>
      <c r="AJ576" s="27"/>
      <c r="AK576" s="27"/>
      <c r="AL576" s="27"/>
      <c r="AM576" s="27"/>
      <c r="AN576" s="27"/>
      <c r="AO576" s="27"/>
      <c r="AP576" s="3"/>
      <c r="AQ576" s="8"/>
    </row>
    <row r="577" spans="1:43">
      <c r="A577" s="1">
        <f t="shared" si="61"/>
        <v>575</v>
      </c>
      <c r="B577" s="31"/>
      <c r="C577" s="1">
        <v>9</v>
      </c>
      <c r="D577" s="4">
        <f t="shared" si="59"/>
        <v>69</v>
      </c>
      <c r="E577" s="4" t="s">
        <v>137</v>
      </c>
      <c r="F577" s="4">
        <v>1</v>
      </c>
      <c r="G577" s="4" t="s">
        <v>11</v>
      </c>
      <c r="H577" s="4" t="s">
        <v>17</v>
      </c>
      <c r="I577" s="4"/>
      <c r="J577" s="26">
        <v>86.1</v>
      </c>
      <c r="K577" s="63">
        <v>7.0000000000000001E-3</v>
      </c>
      <c r="L577" s="38">
        <v>4.7250000000000014</v>
      </c>
      <c r="M577" s="127" t="s">
        <v>110</v>
      </c>
      <c r="N577" s="4" t="s">
        <v>13</v>
      </c>
      <c r="O577" s="71"/>
      <c r="P577" s="23"/>
      <c r="Q577" s="3"/>
      <c r="R577" s="22">
        <v>4.9210000000000003</v>
      </c>
      <c r="S577" s="22">
        <v>4.8929999999999998</v>
      </c>
      <c r="T577" s="22">
        <v>5.2370000000000001</v>
      </c>
      <c r="U577" s="22">
        <v>4.6139999999999999</v>
      </c>
      <c r="V577" s="40">
        <v>4.915</v>
      </c>
      <c r="W577" s="40">
        <v>4.8239999999999998</v>
      </c>
      <c r="X577" s="22">
        <v>4.8140000000000001</v>
      </c>
      <c r="Y577" s="6">
        <v>4.774</v>
      </c>
      <c r="Z577" s="22">
        <v>4.7190000000000003</v>
      </c>
      <c r="AA577" s="43"/>
      <c r="AB577" s="22">
        <v>4.7750000000000004</v>
      </c>
      <c r="AC577" s="22">
        <v>4.7889999999999997</v>
      </c>
      <c r="AD577" s="22">
        <v>4.8319999999999999</v>
      </c>
      <c r="AE577" s="22">
        <v>4.5439999999999996</v>
      </c>
      <c r="AF577" s="22">
        <v>4.8719999999999999</v>
      </c>
      <c r="AG577" s="22">
        <v>4.6210000000000004</v>
      </c>
      <c r="AH577" s="22">
        <f t="shared" si="67"/>
        <v>4.7465000000000002</v>
      </c>
      <c r="AI577" s="27"/>
      <c r="AJ577" s="27"/>
      <c r="AK577" s="27"/>
      <c r="AL577" s="27"/>
      <c r="AM577" s="27"/>
      <c r="AN577" s="27"/>
      <c r="AO577" s="27"/>
      <c r="AP577" s="3"/>
      <c r="AQ577" s="8"/>
    </row>
    <row r="578" spans="1:43">
      <c r="A578" s="1">
        <f t="shared" si="61"/>
        <v>576</v>
      </c>
      <c r="B578" s="31"/>
      <c r="C578" s="1">
        <v>9</v>
      </c>
      <c r="D578" s="4">
        <f t="shared" si="59"/>
        <v>69</v>
      </c>
      <c r="E578" s="4" t="s">
        <v>118</v>
      </c>
      <c r="F578" s="4">
        <v>1</v>
      </c>
      <c r="G578" s="4" t="s">
        <v>11</v>
      </c>
      <c r="H578" s="4" t="s">
        <v>17</v>
      </c>
      <c r="I578" s="4" t="s">
        <v>274</v>
      </c>
      <c r="J578" s="26">
        <v>88.7</v>
      </c>
      <c r="K578" s="63">
        <v>0.22</v>
      </c>
      <c r="L578" s="38">
        <v>5.41</v>
      </c>
      <c r="M578" s="127" t="s">
        <v>276</v>
      </c>
      <c r="N578" s="4" t="s">
        <v>13</v>
      </c>
      <c r="O578" s="71"/>
      <c r="P578" s="23"/>
      <c r="Q578" s="3"/>
      <c r="R578" s="22">
        <v>5.7880000000000003</v>
      </c>
      <c r="S578" s="22">
        <v>5.4720000000000004</v>
      </c>
      <c r="T578" s="22">
        <v>5.9960000000000004</v>
      </c>
      <c r="U578" s="22">
        <v>5.3559999999999999</v>
      </c>
      <c r="V578" s="40">
        <v>5.6180000000000003</v>
      </c>
      <c r="W578" s="40">
        <v>5.5010000000000003</v>
      </c>
      <c r="X578" s="22">
        <v>5.4740000000000002</v>
      </c>
      <c r="Y578" s="6">
        <v>5.4260000000000002</v>
      </c>
      <c r="Z578" s="22">
        <v>5.3460000000000001</v>
      </c>
      <c r="AA578" s="43"/>
      <c r="AB578" s="22">
        <v>5.532</v>
      </c>
      <c r="AC578" s="22">
        <v>5.6070000000000002</v>
      </c>
      <c r="AD578" s="22">
        <v>5.5679999999999996</v>
      </c>
      <c r="AE578" s="22">
        <v>5.3070000000000004</v>
      </c>
      <c r="AF578" s="22">
        <v>5.4139999999999997</v>
      </c>
      <c r="AG578" s="22">
        <v>5.1559999999999997</v>
      </c>
      <c r="AH578" s="22">
        <f t="shared" si="67"/>
        <v>5.2850000000000001</v>
      </c>
      <c r="AI578" s="27"/>
      <c r="AJ578" s="27"/>
      <c r="AK578" s="27"/>
      <c r="AL578" s="27"/>
      <c r="AM578" s="27"/>
      <c r="AN578" s="27"/>
      <c r="AO578" s="27"/>
      <c r="AP578" s="3"/>
      <c r="AQ578" s="8"/>
    </row>
    <row r="579" spans="1:43">
      <c r="A579" s="1">
        <f t="shared" si="61"/>
        <v>577</v>
      </c>
      <c r="B579" s="31"/>
      <c r="C579" s="1">
        <v>9</v>
      </c>
      <c r="D579" s="4">
        <f t="shared" si="59"/>
        <v>69</v>
      </c>
      <c r="E579" s="4" t="s">
        <v>142</v>
      </c>
      <c r="F579" s="4">
        <v>3</v>
      </c>
      <c r="G579" s="4" t="s">
        <v>11</v>
      </c>
      <c r="H579" s="4" t="s">
        <v>17</v>
      </c>
      <c r="I579" s="4"/>
      <c r="J579" s="26">
        <v>98</v>
      </c>
      <c r="K579" s="65"/>
      <c r="L579" s="45">
        <v>3.625</v>
      </c>
      <c r="M579" s="127" t="s">
        <v>113</v>
      </c>
      <c r="N579" s="25" t="s">
        <v>111</v>
      </c>
      <c r="O579" s="71"/>
      <c r="P579" s="23"/>
      <c r="Q579" s="3"/>
      <c r="R579" s="22">
        <v>3.9140000000000001</v>
      </c>
      <c r="S579" s="22">
        <v>3.93</v>
      </c>
      <c r="T579" s="22">
        <v>4.0090000000000003</v>
      </c>
      <c r="U579" s="22">
        <v>3.3039999999999998</v>
      </c>
      <c r="V579" s="40">
        <v>3.484</v>
      </c>
      <c r="W579" s="41"/>
      <c r="X579" s="41"/>
      <c r="Y579" s="41"/>
      <c r="Z579" s="22">
        <v>3.6779999999999999</v>
      </c>
      <c r="AA579" s="41"/>
      <c r="AB579" s="22">
        <v>3.7280000000000002</v>
      </c>
      <c r="AC579" s="42">
        <v>3.8610000000000002</v>
      </c>
      <c r="AD579" s="22">
        <v>3.8889999999999998</v>
      </c>
      <c r="AE579" s="22">
        <v>3.5310000000000001</v>
      </c>
      <c r="AF579" s="22">
        <v>3.7250000000000001</v>
      </c>
      <c r="AG579" s="22">
        <v>3.238</v>
      </c>
      <c r="AH579" s="22">
        <f t="shared" si="67"/>
        <v>3.4815</v>
      </c>
      <c r="AI579" s="27"/>
      <c r="AJ579" s="27"/>
      <c r="AK579" s="27"/>
      <c r="AL579" s="27"/>
      <c r="AM579" s="27"/>
      <c r="AN579" s="27"/>
      <c r="AO579" s="27"/>
      <c r="AP579" s="3"/>
      <c r="AQ579" s="8"/>
    </row>
    <row r="580" spans="1:43">
      <c r="A580" s="1">
        <f t="shared" si="61"/>
        <v>578</v>
      </c>
      <c r="B580" s="31"/>
      <c r="C580" s="1">
        <v>9</v>
      </c>
      <c r="D580" s="4">
        <f t="shared" ref="D580:D643" si="68">_xlfn.SWITCH(C580,1,12,2,12,3,35,4,35,5,35,6,69,7,69,8,69,9,69,1016)</f>
        <v>69</v>
      </c>
      <c r="E580" s="4" t="s">
        <v>130</v>
      </c>
      <c r="F580" s="4">
        <v>3</v>
      </c>
      <c r="G580" s="4" t="s">
        <v>11</v>
      </c>
      <c r="H580" s="4" t="s">
        <v>12</v>
      </c>
      <c r="I580" s="4"/>
      <c r="J580" s="26">
        <v>96.6</v>
      </c>
      <c r="K580" s="65"/>
      <c r="L580" s="38">
        <v>3.6850000000000001</v>
      </c>
      <c r="M580" s="127" t="s">
        <v>113</v>
      </c>
      <c r="N580" s="4" t="s">
        <v>13</v>
      </c>
      <c r="O580" s="71"/>
      <c r="P580" s="23"/>
      <c r="Q580" s="3"/>
      <c r="R580" s="22">
        <v>3.6419999999999999</v>
      </c>
      <c r="S580" s="22">
        <v>3.6549999999999998</v>
      </c>
      <c r="T580" s="22">
        <v>4.0830000000000002</v>
      </c>
      <c r="U580" s="22">
        <v>3.524</v>
      </c>
      <c r="V580" s="40">
        <v>3.754</v>
      </c>
      <c r="W580" s="43"/>
      <c r="X580" s="43"/>
      <c r="Y580" s="43"/>
      <c r="Z580" s="22">
        <v>3.71</v>
      </c>
      <c r="AA580" s="43"/>
      <c r="AB580" s="22">
        <v>3.782</v>
      </c>
      <c r="AC580" s="42">
        <v>3.9929999999999999</v>
      </c>
      <c r="AD580" s="22">
        <v>3.8820000000000001</v>
      </c>
      <c r="AE580" s="22">
        <v>3.5179999999999998</v>
      </c>
      <c r="AF580" s="22">
        <v>3.415</v>
      </c>
      <c r="AG580" s="22">
        <v>3.7389999999999999</v>
      </c>
      <c r="AH580" s="22">
        <f t="shared" si="67"/>
        <v>3.577</v>
      </c>
      <c r="AI580" s="27"/>
      <c r="AJ580" s="27"/>
      <c r="AK580" s="27"/>
      <c r="AL580" s="27"/>
      <c r="AM580" s="27"/>
      <c r="AN580" s="27"/>
      <c r="AO580" s="27"/>
      <c r="AP580" s="3"/>
      <c r="AQ580" s="8"/>
    </row>
    <row r="581" spans="1:43">
      <c r="A581" s="1">
        <f t="shared" si="61"/>
        <v>579</v>
      </c>
      <c r="B581" s="31"/>
      <c r="C581" s="1">
        <v>9</v>
      </c>
      <c r="D581" s="4">
        <f t="shared" si="68"/>
        <v>69</v>
      </c>
      <c r="E581" s="4" t="s">
        <v>143</v>
      </c>
      <c r="F581" s="4">
        <v>3</v>
      </c>
      <c r="G581" s="4" t="s">
        <v>11</v>
      </c>
      <c r="H581" s="4" t="s">
        <v>17</v>
      </c>
      <c r="I581" s="4"/>
      <c r="J581" s="26">
        <v>98</v>
      </c>
      <c r="K581" s="65"/>
      <c r="L581" s="38">
        <v>3.915</v>
      </c>
      <c r="M581" s="127" t="s">
        <v>113</v>
      </c>
      <c r="N581" s="4" t="s">
        <v>13</v>
      </c>
      <c r="O581" s="71"/>
      <c r="P581" s="23"/>
      <c r="Q581" s="3"/>
      <c r="R581" s="22">
        <v>4.2850000000000001</v>
      </c>
      <c r="S581" s="22">
        <v>4.133</v>
      </c>
      <c r="T581" s="22">
        <v>4.22</v>
      </c>
      <c r="U581" s="22">
        <v>3.5219999999999998</v>
      </c>
      <c r="V581" s="40">
        <v>3.8029999999999999</v>
      </c>
      <c r="W581" s="43"/>
      <c r="X581" s="43"/>
      <c r="Y581" s="43"/>
      <c r="Z581" s="22">
        <v>3.9209999999999998</v>
      </c>
      <c r="AA581" s="43"/>
      <c r="AB581" s="22">
        <v>4.1390000000000002</v>
      </c>
      <c r="AC581" s="22">
        <v>4.1520000000000001</v>
      </c>
      <c r="AD581" s="22">
        <v>4.1479999999999997</v>
      </c>
      <c r="AE581" s="22">
        <v>3.9980000000000002</v>
      </c>
      <c r="AF581" s="22">
        <v>4.1109999999999998</v>
      </c>
      <c r="AG581" s="22">
        <v>3.6190000000000002</v>
      </c>
      <c r="AH581" s="22">
        <f t="shared" si="67"/>
        <v>3.8650000000000002</v>
      </c>
      <c r="AI581" s="27"/>
      <c r="AJ581" s="27"/>
      <c r="AK581" s="27"/>
      <c r="AL581" s="27"/>
      <c r="AM581" s="27"/>
      <c r="AN581" s="27"/>
      <c r="AO581" s="27"/>
      <c r="AP581" s="3"/>
      <c r="AQ581" s="8"/>
    </row>
    <row r="582" spans="1:43">
      <c r="A582" s="1">
        <f t="shared" si="61"/>
        <v>580</v>
      </c>
      <c r="B582" s="31"/>
      <c r="C582" s="1">
        <v>9</v>
      </c>
      <c r="D582" s="4">
        <f t="shared" si="68"/>
        <v>69</v>
      </c>
      <c r="E582" s="4" t="s">
        <v>129</v>
      </c>
      <c r="F582" s="4">
        <v>3</v>
      </c>
      <c r="G582" s="4" t="s">
        <v>11</v>
      </c>
      <c r="H582" s="4" t="s">
        <v>12</v>
      </c>
      <c r="I582" s="4"/>
      <c r="J582" s="26">
        <v>96.6</v>
      </c>
      <c r="K582" s="65"/>
      <c r="L582" s="38">
        <v>4.2039999999999997</v>
      </c>
      <c r="M582" s="127" t="s">
        <v>113</v>
      </c>
      <c r="N582" s="4" t="s">
        <v>13</v>
      </c>
      <c r="O582" s="71"/>
      <c r="P582" s="23"/>
      <c r="Q582" s="3"/>
      <c r="R582" s="22">
        <v>4.2969999999999997</v>
      </c>
      <c r="S582" s="22">
        <v>4.2439999999999998</v>
      </c>
      <c r="T582" s="22">
        <v>4.62</v>
      </c>
      <c r="U582" s="22">
        <v>4.0830000000000002</v>
      </c>
      <c r="V582" s="42">
        <v>4.2859999999999996</v>
      </c>
      <c r="W582" s="43"/>
      <c r="X582" s="43"/>
      <c r="Y582" s="43"/>
      <c r="Z582" s="22">
        <v>4.22</v>
      </c>
      <c r="AA582" s="43"/>
      <c r="AB582" s="22">
        <v>4.3029999999999999</v>
      </c>
      <c r="AC582" s="22">
        <v>4.4950000000000001</v>
      </c>
      <c r="AD582" s="22">
        <v>4.4130000000000003</v>
      </c>
      <c r="AE582" s="22">
        <v>4.0519999999999996</v>
      </c>
      <c r="AF582" s="22">
        <v>4.0110000000000001</v>
      </c>
      <c r="AG582" s="22">
        <v>4.1369999999999996</v>
      </c>
      <c r="AH582" s="22">
        <f t="shared" si="67"/>
        <v>4.0739999999999998</v>
      </c>
      <c r="AI582" s="27"/>
      <c r="AJ582" s="27"/>
      <c r="AK582" s="27"/>
      <c r="AL582" s="27"/>
      <c r="AM582" s="27"/>
      <c r="AN582" s="27"/>
      <c r="AO582" s="27"/>
      <c r="AP582" s="3"/>
      <c r="AQ582" s="8"/>
    </row>
    <row r="583" spans="1:43">
      <c r="A583" s="1">
        <f t="shared" si="61"/>
        <v>581</v>
      </c>
      <c r="B583" s="31" t="s">
        <v>319</v>
      </c>
      <c r="C583" s="1">
        <v>12</v>
      </c>
      <c r="D583" s="4">
        <f t="shared" si="68"/>
        <v>1016</v>
      </c>
      <c r="E583" s="4" t="s">
        <v>118</v>
      </c>
      <c r="F583" s="4">
        <v>1</v>
      </c>
      <c r="G583" s="4" t="s">
        <v>11</v>
      </c>
      <c r="H583" s="4" t="s">
        <v>17</v>
      </c>
      <c r="I583" s="4" t="s">
        <v>274</v>
      </c>
      <c r="J583" s="26"/>
      <c r="K583" s="63" t="s">
        <v>170</v>
      </c>
      <c r="L583" s="38">
        <v>4.133</v>
      </c>
      <c r="M583" s="127" t="s">
        <v>276</v>
      </c>
      <c r="N583" s="4" t="s">
        <v>13</v>
      </c>
      <c r="O583" s="71"/>
      <c r="P583" s="23"/>
      <c r="Q583" s="3"/>
      <c r="R583" s="22">
        <v>4.2889999999999997</v>
      </c>
      <c r="S583" s="22">
        <v>4.0259999999999998</v>
      </c>
      <c r="T583" s="22">
        <v>4.7850000000000001</v>
      </c>
      <c r="U583" s="11"/>
      <c r="V583" s="40">
        <v>4.3860000000000001</v>
      </c>
      <c r="W583" s="40">
        <v>4.234</v>
      </c>
      <c r="X583" s="40">
        <v>4.2110000000000003</v>
      </c>
      <c r="Y583" s="40">
        <v>4.1660000000000004</v>
      </c>
      <c r="Z583" s="22">
        <v>4.0490000000000004</v>
      </c>
      <c r="AA583" s="11"/>
      <c r="AB583" s="22">
        <v>4.1890000000000001</v>
      </c>
      <c r="AC583" s="22">
        <v>4.2850000000000001</v>
      </c>
      <c r="AD583" s="22">
        <v>4.2050000000000001</v>
      </c>
      <c r="AE583" s="22">
        <v>3.9289999999999998</v>
      </c>
      <c r="AF583" s="22">
        <v>3.9140000000000001</v>
      </c>
      <c r="AG583" s="22">
        <v>4.0620000000000003</v>
      </c>
      <c r="AH583" s="22">
        <f t="shared" ref="AH583" si="69">SUM(AF583:AG583)/2</f>
        <v>3.9880000000000004</v>
      </c>
      <c r="AI583" s="27"/>
      <c r="AJ583" s="27"/>
      <c r="AK583" s="27"/>
      <c r="AL583" s="27"/>
      <c r="AM583" s="27"/>
      <c r="AN583" s="27"/>
      <c r="AO583" s="27"/>
      <c r="AP583" s="3"/>
      <c r="AQ583" s="8"/>
    </row>
    <row r="584" spans="1:43">
      <c r="A584" s="1">
        <f t="shared" si="61"/>
        <v>582</v>
      </c>
      <c r="B584" s="31" t="s">
        <v>279</v>
      </c>
      <c r="C584" s="1">
        <v>10</v>
      </c>
      <c r="D584" s="4">
        <f t="shared" si="68"/>
        <v>1016</v>
      </c>
      <c r="E584" s="4" t="s">
        <v>131</v>
      </c>
      <c r="F584" s="4">
        <v>1</v>
      </c>
      <c r="G584" s="4" t="s">
        <v>11</v>
      </c>
      <c r="H584" s="4" t="s">
        <v>12</v>
      </c>
      <c r="I584" s="4"/>
      <c r="J584" s="26">
        <v>83.4</v>
      </c>
      <c r="K584" s="65"/>
      <c r="L584" s="45">
        <v>3.794</v>
      </c>
      <c r="M584" s="127" t="s">
        <v>113</v>
      </c>
      <c r="N584" s="25" t="s">
        <v>111</v>
      </c>
      <c r="O584" s="71"/>
      <c r="P584" s="23"/>
      <c r="Q584" s="3"/>
      <c r="R584" s="6">
        <v>3.4</v>
      </c>
      <c r="S584" s="6">
        <v>3.5510000000000002</v>
      </c>
      <c r="T584" s="6">
        <v>4.2720000000000002</v>
      </c>
      <c r="U584" s="6">
        <v>3.9689999999999999</v>
      </c>
      <c r="V584" s="63">
        <v>4.04</v>
      </c>
      <c r="W584" s="6">
        <v>3.9289999999999998</v>
      </c>
      <c r="X584" s="4">
        <v>3.9390000000000001</v>
      </c>
      <c r="Y584" s="4">
        <v>3.8660000000000001</v>
      </c>
      <c r="Z584" s="6">
        <v>3.7490000000000001</v>
      </c>
      <c r="AA584" s="46"/>
      <c r="AB584" s="6">
        <v>3.6219999999999999</v>
      </c>
      <c r="AC584" s="6">
        <v>3.9159999999999999</v>
      </c>
      <c r="AD584" s="6">
        <v>3.8029999999999999</v>
      </c>
      <c r="AE584" s="6">
        <v>3.3260000000000001</v>
      </c>
      <c r="AF584" s="6">
        <v>3.1880000000000002</v>
      </c>
      <c r="AG584" s="6">
        <v>4.4359999999999999</v>
      </c>
      <c r="AH584" s="22">
        <f t="shared" ref="AH584:AH594" si="70">0.5*(AF584+AG584)</f>
        <v>3.8120000000000003</v>
      </c>
      <c r="AI584" s="27"/>
      <c r="AJ584" s="27"/>
      <c r="AK584" s="27"/>
      <c r="AL584" s="27"/>
      <c r="AM584" s="27"/>
      <c r="AN584" s="27"/>
      <c r="AO584" s="27"/>
      <c r="AP584" s="3"/>
      <c r="AQ584" s="8"/>
    </row>
    <row r="585" spans="1:43">
      <c r="A585" s="1">
        <f t="shared" si="61"/>
        <v>583</v>
      </c>
      <c r="B585" s="31"/>
      <c r="C585" s="1">
        <v>10</v>
      </c>
      <c r="D585" s="4">
        <f t="shared" si="68"/>
        <v>1016</v>
      </c>
      <c r="E585" s="4" t="s">
        <v>131</v>
      </c>
      <c r="F585" s="4">
        <v>1</v>
      </c>
      <c r="G585" s="4" t="s">
        <v>11</v>
      </c>
      <c r="H585" s="4" t="s">
        <v>12</v>
      </c>
      <c r="I585" s="4"/>
      <c r="J585" s="26">
        <v>85.7</v>
      </c>
      <c r="K585" s="65"/>
      <c r="L585" s="38">
        <v>3.9780000000000002</v>
      </c>
      <c r="M585" s="127" t="s">
        <v>113</v>
      </c>
      <c r="N585" s="4" t="s">
        <v>13</v>
      </c>
      <c r="O585" s="71"/>
      <c r="P585" s="23"/>
      <c r="Q585" s="3"/>
      <c r="R585" s="6">
        <v>3.839</v>
      </c>
      <c r="S585" s="6">
        <v>3.9729999999999999</v>
      </c>
      <c r="T585" s="6">
        <v>4.4619999999999997</v>
      </c>
      <c r="U585" s="6">
        <v>3.7360000000000002</v>
      </c>
      <c r="V585" s="63">
        <v>4.1829999999999998</v>
      </c>
      <c r="W585" s="6">
        <v>4.1100000000000003</v>
      </c>
      <c r="X585" s="4">
        <v>4.0869999999999997</v>
      </c>
      <c r="Y585" s="4">
        <v>4.0529999999999999</v>
      </c>
      <c r="Z585" s="6">
        <v>3.9809999999999999</v>
      </c>
      <c r="AA585" s="46"/>
      <c r="AB585" s="6">
        <v>3.9769999999999999</v>
      </c>
      <c r="AC585" s="6">
        <v>4.2249999999999996</v>
      </c>
      <c r="AD585" s="6">
        <v>4.1449999999999996</v>
      </c>
      <c r="AE585" s="6">
        <v>3.6920000000000002</v>
      </c>
      <c r="AF585" s="6">
        <v>3.6930000000000001</v>
      </c>
      <c r="AG585" s="6">
        <v>4.0359999999999996</v>
      </c>
      <c r="AH585" s="22">
        <f t="shared" si="70"/>
        <v>3.8644999999999996</v>
      </c>
      <c r="AI585" s="27"/>
      <c r="AJ585" s="27"/>
      <c r="AK585" s="27"/>
      <c r="AL585" s="27"/>
      <c r="AM585" s="27"/>
      <c r="AN585" s="27"/>
      <c r="AO585" s="27"/>
      <c r="AP585" s="3"/>
      <c r="AQ585" s="8"/>
    </row>
    <row r="586" spans="1:43">
      <c r="A586" s="1">
        <f t="shared" si="61"/>
        <v>584</v>
      </c>
      <c r="B586" s="31"/>
      <c r="C586" s="1">
        <v>10</v>
      </c>
      <c r="D586" s="4">
        <f t="shared" si="68"/>
        <v>1016</v>
      </c>
      <c r="E586" s="4" t="s">
        <v>137</v>
      </c>
      <c r="F586" s="4">
        <v>1</v>
      </c>
      <c r="G586" s="4" t="s">
        <v>11</v>
      </c>
      <c r="H586" s="4" t="s">
        <v>17</v>
      </c>
      <c r="I586" s="4"/>
      <c r="J586" s="26">
        <v>81.7</v>
      </c>
      <c r="K586" s="63" t="s">
        <v>170</v>
      </c>
      <c r="L586" s="45">
        <v>4.0060000000000002</v>
      </c>
      <c r="M586" s="127" t="s">
        <v>113</v>
      </c>
      <c r="N586" s="25" t="s">
        <v>111</v>
      </c>
      <c r="O586" s="71"/>
      <c r="P586" s="23"/>
      <c r="Q586" s="3"/>
      <c r="R586" s="6">
        <v>4.2119999999999997</v>
      </c>
      <c r="S586" s="6">
        <v>3.9870000000000001</v>
      </c>
      <c r="T586" s="6">
        <v>4.593</v>
      </c>
      <c r="U586" s="6">
        <v>3.8570000000000002</v>
      </c>
      <c r="V586" s="63">
        <v>4.2960000000000003</v>
      </c>
      <c r="W586" s="6">
        <v>4.1269999999999998</v>
      </c>
      <c r="X586" s="22">
        <v>4.1399999999999997</v>
      </c>
      <c r="Y586" s="4">
        <v>4.0830000000000002</v>
      </c>
      <c r="Z586" s="6">
        <v>3.9950000000000001</v>
      </c>
      <c r="AA586" s="46"/>
      <c r="AB586" s="6">
        <v>3.83</v>
      </c>
      <c r="AC586" s="6">
        <v>3.9569999999999999</v>
      </c>
      <c r="AD586" s="6">
        <v>3.972</v>
      </c>
      <c r="AE586" s="6">
        <v>3.552</v>
      </c>
      <c r="AF586" s="6">
        <v>3.774</v>
      </c>
      <c r="AG586" s="6">
        <v>4.1639999999999997</v>
      </c>
      <c r="AH586" s="22">
        <f t="shared" si="70"/>
        <v>3.9689999999999999</v>
      </c>
      <c r="AI586" s="27"/>
      <c r="AJ586" s="27"/>
      <c r="AK586" s="27"/>
      <c r="AL586" s="27"/>
      <c r="AM586" s="27"/>
      <c r="AN586" s="27"/>
      <c r="AO586" s="27"/>
      <c r="AP586" s="3"/>
      <c r="AQ586" s="8"/>
    </row>
    <row r="587" spans="1:43">
      <c r="A587" s="1">
        <f t="shared" si="61"/>
        <v>585</v>
      </c>
      <c r="B587" s="31"/>
      <c r="C587" s="1">
        <v>10</v>
      </c>
      <c r="D587" s="4">
        <f t="shared" si="68"/>
        <v>1016</v>
      </c>
      <c r="E587" s="4" t="s">
        <v>118</v>
      </c>
      <c r="F587" s="4">
        <v>1</v>
      </c>
      <c r="G587" s="4" t="s">
        <v>11</v>
      </c>
      <c r="H587" s="4" t="s">
        <v>17</v>
      </c>
      <c r="I587" s="4" t="s">
        <v>274</v>
      </c>
      <c r="J587" s="26">
        <v>84.4</v>
      </c>
      <c r="K587" s="63" t="s">
        <v>170</v>
      </c>
      <c r="L587" s="38">
        <v>4.0780000000000003</v>
      </c>
      <c r="M587" s="127" t="s">
        <v>276</v>
      </c>
      <c r="N587" s="4" t="s">
        <v>13</v>
      </c>
      <c r="O587" s="71"/>
      <c r="P587" s="23"/>
      <c r="Q587" s="3"/>
      <c r="R587" s="6">
        <v>4.1079999999999997</v>
      </c>
      <c r="S587" s="6">
        <v>3.9489999999999998</v>
      </c>
      <c r="T587" s="6">
        <v>4.6020000000000003</v>
      </c>
      <c r="U587" s="46"/>
      <c r="V587" s="63">
        <v>4.32</v>
      </c>
      <c r="W587" s="6">
        <v>4.1769999999999996</v>
      </c>
      <c r="X587" s="4">
        <v>4.1440000000000001</v>
      </c>
      <c r="Y587" s="6">
        <v>4.0999999999999996</v>
      </c>
      <c r="Z587" s="6">
        <v>3.9830000000000001</v>
      </c>
      <c r="AA587" s="46"/>
      <c r="AB587" s="6">
        <v>3.645</v>
      </c>
      <c r="AC587" s="6">
        <v>4.0129999999999999</v>
      </c>
      <c r="AD587" s="6">
        <v>3.9969999999999999</v>
      </c>
      <c r="AE587" s="6">
        <v>3.3580000000000001</v>
      </c>
      <c r="AF587" s="6">
        <v>3.504</v>
      </c>
      <c r="AG587" s="6">
        <v>4.0659999999999998</v>
      </c>
      <c r="AH587" s="22">
        <f t="shared" si="70"/>
        <v>3.7850000000000001</v>
      </c>
      <c r="AI587" s="27"/>
      <c r="AJ587" s="27"/>
      <c r="AK587" s="27"/>
      <c r="AL587" s="27"/>
      <c r="AM587" s="27"/>
      <c r="AN587" s="27"/>
      <c r="AO587" s="27"/>
      <c r="AP587" s="3"/>
      <c r="AQ587" s="8"/>
    </row>
    <row r="588" spans="1:43">
      <c r="A588" s="1">
        <f t="shared" si="61"/>
        <v>586</v>
      </c>
      <c r="B588" s="31"/>
      <c r="C588" s="1">
        <v>10</v>
      </c>
      <c r="D588" s="4">
        <f t="shared" si="68"/>
        <v>1016</v>
      </c>
      <c r="E588" s="4" t="s">
        <v>128</v>
      </c>
      <c r="F588" s="4">
        <v>1</v>
      </c>
      <c r="G588" s="4" t="s">
        <v>11</v>
      </c>
      <c r="H588" s="4" t="s">
        <v>12</v>
      </c>
      <c r="I588" s="4"/>
      <c r="J588" s="26">
        <v>85.7</v>
      </c>
      <c r="K588" s="63" t="s">
        <v>170</v>
      </c>
      <c r="L588" s="38">
        <v>4.3949999999999996</v>
      </c>
      <c r="M588" s="127" t="s">
        <v>113</v>
      </c>
      <c r="N588" s="4" t="s">
        <v>13</v>
      </c>
      <c r="O588" s="71"/>
      <c r="P588" s="23"/>
      <c r="Q588" s="3"/>
      <c r="R588" s="6">
        <v>4.5199999999999996</v>
      </c>
      <c r="S588" s="6">
        <v>4.5199999999999996</v>
      </c>
      <c r="T588" s="6">
        <v>4.9669999999999996</v>
      </c>
      <c r="U588" s="4">
        <v>4.2889999999999997</v>
      </c>
      <c r="V588" s="40">
        <v>4.6040000000000001</v>
      </c>
      <c r="W588" s="4">
        <v>4.5460000000000003</v>
      </c>
      <c r="X588" s="6">
        <v>4.54</v>
      </c>
      <c r="Y588" s="4">
        <v>4.4690000000000003</v>
      </c>
      <c r="Z588" s="6">
        <v>4.4000000000000004</v>
      </c>
      <c r="AA588" s="46"/>
      <c r="AB588" s="6">
        <v>4.4820000000000002</v>
      </c>
      <c r="AC588" s="6">
        <v>4.6920000000000002</v>
      </c>
      <c r="AD588" s="6">
        <v>4.6390000000000002</v>
      </c>
      <c r="AE588" s="6">
        <v>4.2069999999999999</v>
      </c>
      <c r="AF588" s="6">
        <v>4.2729999999999997</v>
      </c>
      <c r="AG588" s="6">
        <v>4.3929999999999998</v>
      </c>
      <c r="AH588" s="22">
        <f t="shared" si="70"/>
        <v>4.3330000000000002</v>
      </c>
      <c r="AI588" s="27"/>
      <c r="AJ588" s="27"/>
      <c r="AK588" s="27"/>
      <c r="AL588" s="27"/>
      <c r="AM588" s="27"/>
      <c r="AN588" s="27"/>
      <c r="AO588" s="27"/>
      <c r="AP588" s="3"/>
      <c r="AQ588" s="8"/>
    </row>
    <row r="589" spans="1:43">
      <c r="A589" s="1">
        <f t="shared" si="61"/>
        <v>587</v>
      </c>
      <c r="B589" s="31"/>
      <c r="C589" s="1">
        <v>10</v>
      </c>
      <c r="D589" s="4">
        <f t="shared" si="68"/>
        <v>1016</v>
      </c>
      <c r="E589" s="4" t="s">
        <v>128</v>
      </c>
      <c r="F589" s="4">
        <v>1</v>
      </c>
      <c r="G589" s="4" t="s">
        <v>11</v>
      </c>
      <c r="H589" s="4" t="s">
        <v>12</v>
      </c>
      <c r="I589" s="4" t="s">
        <v>320</v>
      </c>
      <c r="J589" s="26">
        <v>78.5</v>
      </c>
      <c r="K589" s="63" t="s">
        <v>170</v>
      </c>
      <c r="L589" s="45">
        <v>5.1379999999999999</v>
      </c>
      <c r="M589" s="127" t="s">
        <v>113</v>
      </c>
      <c r="N589" s="25" t="s">
        <v>111</v>
      </c>
      <c r="O589" s="71"/>
      <c r="P589" s="23"/>
      <c r="Q589" s="3"/>
      <c r="R589" s="6">
        <v>5.55</v>
      </c>
      <c r="S589" s="6">
        <v>4.2619999999999996</v>
      </c>
      <c r="T589" s="6">
        <v>5.7919999999999998</v>
      </c>
      <c r="U589" s="46"/>
      <c r="V589" s="4">
        <v>5.8159999999999998</v>
      </c>
      <c r="W589" s="6">
        <v>5.234</v>
      </c>
      <c r="X589" s="6">
        <v>5.2080000000000002</v>
      </c>
      <c r="Y589" s="6">
        <v>5.1840000000000002</v>
      </c>
      <c r="Z589" s="6">
        <v>4.8419999999999996</v>
      </c>
      <c r="AA589" s="46"/>
      <c r="AB589" s="6">
        <v>5.0709999999999997</v>
      </c>
      <c r="AC589" s="6">
        <v>5.3280000000000003</v>
      </c>
      <c r="AD589" s="6">
        <v>4.9690000000000003</v>
      </c>
      <c r="AE589" s="6">
        <v>4.7450000000000001</v>
      </c>
      <c r="AF589" s="6">
        <v>4.0679999999999996</v>
      </c>
      <c r="AG589" s="6">
        <v>6.8470000000000004</v>
      </c>
      <c r="AH589" s="22">
        <f t="shared" si="70"/>
        <v>5.4574999999999996</v>
      </c>
      <c r="AI589" s="27"/>
      <c r="AJ589" s="27"/>
      <c r="AK589" s="27"/>
      <c r="AL589" s="27"/>
      <c r="AM589" s="27"/>
      <c r="AN589" s="27"/>
      <c r="AO589" s="27"/>
      <c r="AP589" s="3"/>
      <c r="AQ589" s="8"/>
    </row>
    <row r="590" spans="1:43">
      <c r="A590" s="1">
        <f t="shared" si="61"/>
        <v>588</v>
      </c>
      <c r="B590" s="31"/>
      <c r="C590" s="1">
        <v>10</v>
      </c>
      <c r="D590" s="4">
        <f t="shared" si="68"/>
        <v>1016</v>
      </c>
      <c r="E590" s="4" t="s">
        <v>143</v>
      </c>
      <c r="F590" s="4">
        <v>3</v>
      </c>
      <c r="G590" s="4" t="s">
        <v>11</v>
      </c>
      <c r="H590" s="4" t="s">
        <v>17</v>
      </c>
      <c r="I590" s="4" t="s">
        <v>208</v>
      </c>
      <c r="J590" s="26">
        <v>97.1</v>
      </c>
      <c r="K590" s="65"/>
      <c r="L590" s="45">
        <v>2.4689999999999999</v>
      </c>
      <c r="M590" s="127" t="s">
        <v>158</v>
      </c>
      <c r="N590" s="25" t="s">
        <v>111</v>
      </c>
      <c r="O590" s="71"/>
      <c r="P590" s="23"/>
      <c r="Q590" s="3"/>
      <c r="R590" s="4">
        <v>2.7770000000000001</v>
      </c>
      <c r="S590" s="4">
        <v>2.6259999999999999</v>
      </c>
      <c r="T590" s="4">
        <v>2.8639999999999999</v>
      </c>
      <c r="U590" s="4">
        <v>2.1760000000000002</v>
      </c>
      <c r="V590" s="4">
        <v>2.327</v>
      </c>
      <c r="W590" s="46"/>
      <c r="X590" s="46"/>
      <c r="Y590" s="46"/>
      <c r="Z590" s="46"/>
      <c r="AA590" s="46"/>
      <c r="AB590" s="6">
        <v>2.5099999999999998</v>
      </c>
      <c r="AC590" s="6">
        <v>2.6429999999999998</v>
      </c>
      <c r="AD590" s="6">
        <v>2.64</v>
      </c>
      <c r="AE590" s="6">
        <v>2.2970000000000002</v>
      </c>
      <c r="AF590" s="6">
        <v>2.411</v>
      </c>
      <c r="AG590" s="6">
        <v>2.1579999999999999</v>
      </c>
      <c r="AH590" s="22">
        <f t="shared" si="70"/>
        <v>2.2845</v>
      </c>
      <c r="AI590" s="27"/>
      <c r="AJ590" s="27"/>
      <c r="AK590" s="27"/>
      <c r="AL590" s="27"/>
      <c r="AM590" s="27"/>
      <c r="AN590" s="27"/>
      <c r="AO590" s="27"/>
      <c r="AP590" s="3"/>
      <c r="AQ590" s="8"/>
    </row>
    <row r="591" spans="1:43">
      <c r="A591" s="1">
        <f t="shared" si="61"/>
        <v>589</v>
      </c>
      <c r="B591" s="31"/>
      <c r="C591" s="1">
        <v>10</v>
      </c>
      <c r="D591" s="4">
        <f t="shared" si="68"/>
        <v>1016</v>
      </c>
      <c r="E591" s="4" t="s">
        <v>130</v>
      </c>
      <c r="F591" s="4">
        <v>3</v>
      </c>
      <c r="G591" s="4" t="s">
        <v>11</v>
      </c>
      <c r="H591" s="4" t="s">
        <v>12</v>
      </c>
      <c r="I591" s="4"/>
      <c r="J591" s="26">
        <v>95.3</v>
      </c>
      <c r="K591" s="65"/>
      <c r="L591" s="45">
        <v>3.6339999999999999</v>
      </c>
      <c r="M591" s="127" t="s">
        <v>158</v>
      </c>
      <c r="N591" s="25" t="s">
        <v>111</v>
      </c>
      <c r="O591" s="71"/>
      <c r="P591" s="23"/>
      <c r="Q591" s="3"/>
      <c r="R591" s="4">
        <v>3.3820000000000001</v>
      </c>
      <c r="S591" s="4">
        <v>3.452</v>
      </c>
      <c r="T591" s="4">
        <v>4.202</v>
      </c>
      <c r="U591" s="4">
        <v>3.4550000000000001</v>
      </c>
      <c r="V591" s="4">
        <v>3.758</v>
      </c>
      <c r="W591" s="46"/>
      <c r="X591" s="46"/>
      <c r="Y591" s="46"/>
      <c r="Z591" s="46"/>
      <c r="AA591" s="46"/>
      <c r="AB591" s="6">
        <v>3.6080000000000001</v>
      </c>
      <c r="AC591" s="6">
        <v>3.883</v>
      </c>
      <c r="AD591" s="6">
        <v>3.746</v>
      </c>
      <c r="AE591" s="6">
        <v>3.3250000000000002</v>
      </c>
      <c r="AF591" s="6">
        <v>3.12</v>
      </c>
      <c r="AG591" s="6">
        <v>3.7519999999999998</v>
      </c>
      <c r="AH591" s="22">
        <f t="shared" si="70"/>
        <v>3.4359999999999999</v>
      </c>
      <c r="AI591" s="27"/>
      <c r="AJ591" s="27"/>
      <c r="AK591" s="27"/>
      <c r="AL591" s="27"/>
      <c r="AM591" s="27"/>
      <c r="AN591" s="27"/>
      <c r="AO591" s="27"/>
      <c r="AP591" s="3"/>
      <c r="AQ591" s="8"/>
    </row>
    <row r="592" spans="1:43">
      <c r="A592" s="1">
        <f t="shared" si="61"/>
        <v>590</v>
      </c>
      <c r="B592" s="31"/>
      <c r="C592" s="1">
        <v>10</v>
      </c>
      <c r="D592" s="4">
        <f t="shared" si="68"/>
        <v>1016</v>
      </c>
      <c r="E592" s="4" t="s">
        <v>142</v>
      </c>
      <c r="F592" s="4">
        <v>3</v>
      </c>
      <c r="G592" s="4" t="s">
        <v>11</v>
      </c>
      <c r="H592" s="4" t="s">
        <v>17</v>
      </c>
      <c r="I592" s="4"/>
      <c r="J592" s="26">
        <v>97.8</v>
      </c>
      <c r="K592" s="65"/>
      <c r="L592" s="45">
        <v>3.6930000000000001</v>
      </c>
      <c r="M592" s="127" t="s">
        <v>158</v>
      </c>
      <c r="N592" s="25" t="s">
        <v>111</v>
      </c>
      <c r="O592" s="71"/>
      <c r="P592" s="23"/>
      <c r="Q592" s="3"/>
      <c r="R592" s="6">
        <v>3.92</v>
      </c>
      <c r="S592" s="4">
        <v>3.9620000000000002</v>
      </c>
      <c r="T592" s="4">
        <v>4.0350000000000001</v>
      </c>
      <c r="U592" s="4">
        <v>3.2490000000000001</v>
      </c>
      <c r="V592" s="4">
        <v>3.4910000000000001</v>
      </c>
      <c r="W592" s="46"/>
      <c r="X592" s="46"/>
      <c r="Y592" s="46"/>
      <c r="Z592" s="46"/>
      <c r="AA592" s="46"/>
      <c r="AB592" s="6">
        <v>3.7269999999999999</v>
      </c>
      <c r="AC592" s="6">
        <v>3.8839999999999999</v>
      </c>
      <c r="AD592" s="6">
        <v>3.915</v>
      </c>
      <c r="AE592" s="6">
        <v>3.528</v>
      </c>
      <c r="AF592" s="6">
        <v>3.7349999999999999</v>
      </c>
      <c r="AG592" s="6">
        <v>3.2519999999999998</v>
      </c>
      <c r="AH592" s="22">
        <f t="shared" si="70"/>
        <v>3.4935</v>
      </c>
      <c r="AI592" s="27"/>
      <c r="AJ592" s="27"/>
      <c r="AK592" s="27"/>
      <c r="AL592" s="27"/>
      <c r="AM592" s="27"/>
      <c r="AN592" s="27"/>
      <c r="AO592" s="27"/>
      <c r="AP592" s="3"/>
      <c r="AQ592" s="8"/>
    </row>
    <row r="593" spans="1:43">
      <c r="A593" s="1">
        <f t="shared" si="61"/>
        <v>591</v>
      </c>
      <c r="B593" s="31"/>
      <c r="C593" s="1">
        <v>10</v>
      </c>
      <c r="D593" s="4">
        <f t="shared" si="68"/>
        <v>1016</v>
      </c>
      <c r="E593" s="4" t="s">
        <v>130</v>
      </c>
      <c r="F593" s="4">
        <v>3</v>
      </c>
      <c r="G593" s="4" t="s">
        <v>11</v>
      </c>
      <c r="H593" s="4" t="s">
        <v>12</v>
      </c>
      <c r="I593" s="4"/>
      <c r="J593" s="26">
        <v>95.5</v>
      </c>
      <c r="K593" s="65"/>
      <c r="L593" s="45">
        <v>3.8039999999999998</v>
      </c>
      <c r="M593" s="127" t="s">
        <v>158</v>
      </c>
      <c r="N593" s="25" t="s">
        <v>111</v>
      </c>
      <c r="O593" s="71"/>
      <c r="P593" s="23"/>
      <c r="Q593" s="3"/>
      <c r="R593" s="4">
        <v>3.665</v>
      </c>
      <c r="S593" s="4">
        <v>3.7330000000000001</v>
      </c>
      <c r="T593" s="4">
        <v>4.0819999999999999</v>
      </c>
      <c r="U593" s="4">
        <v>3.8340000000000001</v>
      </c>
      <c r="V593" s="4">
        <v>3.9670000000000001</v>
      </c>
      <c r="W593" s="46"/>
      <c r="X593" s="46"/>
      <c r="Y593" s="46"/>
      <c r="Z593" s="46"/>
      <c r="AA593" s="46"/>
      <c r="AB593" s="6">
        <v>3.8359999999999999</v>
      </c>
      <c r="AC593" s="6">
        <v>4.069</v>
      </c>
      <c r="AD593" s="6">
        <v>3.9590000000000001</v>
      </c>
      <c r="AE593" s="6">
        <v>3.569</v>
      </c>
      <c r="AF593" s="6">
        <v>3.47</v>
      </c>
      <c r="AG593" s="6">
        <v>4.2469999999999999</v>
      </c>
      <c r="AH593" s="6">
        <f t="shared" si="70"/>
        <v>3.8585000000000003</v>
      </c>
      <c r="AI593" s="27"/>
      <c r="AJ593" s="27"/>
      <c r="AK593" s="27"/>
      <c r="AL593" s="27"/>
      <c r="AM593" s="27"/>
      <c r="AN593" s="27"/>
      <c r="AO593" s="27"/>
      <c r="AP593" s="3"/>
      <c r="AQ593" s="8"/>
    </row>
    <row r="594" spans="1:43">
      <c r="A594" s="1">
        <f t="shared" si="61"/>
        <v>592</v>
      </c>
      <c r="B594" s="31"/>
      <c r="C594" s="1">
        <v>10</v>
      </c>
      <c r="D594" s="4">
        <f t="shared" si="68"/>
        <v>1016</v>
      </c>
      <c r="E594" s="4" t="s">
        <v>142</v>
      </c>
      <c r="F594" s="4">
        <v>3</v>
      </c>
      <c r="G594" s="4" t="s">
        <v>11</v>
      </c>
      <c r="H594" s="4" t="s">
        <v>17</v>
      </c>
      <c r="I594" s="4"/>
      <c r="J594" s="26">
        <v>95.2</v>
      </c>
      <c r="K594" s="65"/>
      <c r="L594" s="45">
        <v>3.8759999999999999</v>
      </c>
      <c r="M594" s="127" t="s">
        <v>158</v>
      </c>
      <c r="N594" s="25" t="s">
        <v>111</v>
      </c>
      <c r="O594" s="71"/>
      <c r="P594" s="23"/>
      <c r="Q594" s="3"/>
      <c r="R594" s="4">
        <v>4.5640000000000001</v>
      </c>
      <c r="S594" s="4">
        <v>3.8730000000000002</v>
      </c>
      <c r="T594" s="4">
        <v>4.335</v>
      </c>
      <c r="U594" s="6">
        <v>3.88</v>
      </c>
      <c r="V594" s="4">
        <v>4.069</v>
      </c>
      <c r="W594" s="46"/>
      <c r="X594" s="46"/>
      <c r="Y594" s="46"/>
      <c r="Z594" s="46"/>
      <c r="AA594" s="46"/>
      <c r="AB594" s="6">
        <v>3.855</v>
      </c>
      <c r="AC594" s="6">
        <v>4.008</v>
      </c>
      <c r="AD594" s="6">
        <v>3.9660000000000002</v>
      </c>
      <c r="AE594" s="6">
        <v>3.6120000000000001</v>
      </c>
      <c r="AF594" s="6">
        <v>3.6539999999999999</v>
      </c>
      <c r="AG594" s="6">
        <v>3.879</v>
      </c>
      <c r="AH594" s="6">
        <f t="shared" si="70"/>
        <v>3.7664999999999997</v>
      </c>
      <c r="AI594" s="27"/>
      <c r="AJ594" s="27"/>
      <c r="AK594" s="27"/>
      <c r="AL594" s="27"/>
      <c r="AM594" s="27"/>
      <c r="AN594" s="27"/>
      <c r="AO594" s="27"/>
      <c r="AP594" s="3"/>
      <c r="AQ594" s="8"/>
    </row>
    <row r="595" spans="1:43">
      <c r="A595" s="1">
        <f t="shared" ref="A595:A715" si="71">A594+1</f>
        <v>593</v>
      </c>
      <c r="B595" s="31" t="s">
        <v>82</v>
      </c>
      <c r="C595" s="1">
        <v>3</v>
      </c>
      <c r="D595" s="4">
        <f t="shared" si="68"/>
        <v>35</v>
      </c>
      <c r="E595" s="4" t="s">
        <v>224</v>
      </c>
      <c r="F595" s="4">
        <v>1</v>
      </c>
      <c r="G595" s="4" t="s">
        <v>11</v>
      </c>
      <c r="H595" s="4" t="s">
        <v>12</v>
      </c>
      <c r="I595" s="4"/>
      <c r="J595" s="5">
        <v>93</v>
      </c>
      <c r="K595" s="63">
        <v>0</v>
      </c>
      <c r="L595" s="38">
        <v>1.952</v>
      </c>
      <c r="M595" s="127" t="s">
        <v>117</v>
      </c>
      <c r="N595" s="4" t="s">
        <v>13</v>
      </c>
      <c r="O595" s="6">
        <v>1.9490000000000001</v>
      </c>
      <c r="P595" s="4" t="s">
        <v>7</v>
      </c>
      <c r="Q595" s="3" t="s">
        <v>205</v>
      </c>
      <c r="R595" s="22">
        <v>2.0329999999999999</v>
      </c>
      <c r="S595" s="6">
        <v>1.976</v>
      </c>
      <c r="T595" s="6">
        <v>2.0089999999999999</v>
      </c>
      <c r="U595" s="6">
        <v>1.744</v>
      </c>
      <c r="V595" s="6">
        <v>1.976</v>
      </c>
      <c r="W595" s="6">
        <v>1.9570000000000001</v>
      </c>
      <c r="X595" s="6">
        <v>1.96</v>
      </c>
      <c r="Y595" s="22">
        <v>1.9630000000000001</v>
      </c>
      <c r="Z595" s="22">
        <v>1.9650000000000001</v>
      </c>
      <c r="AA595" s="22">
        <v>1.9510000000000001</v>
      </c>
      <c r="AB595" s="6">
        <v>2.04</v>
      </c>
      <c r="AC595" s="6">
        <v>2.1230000000000002</v>
      </c>
      <c r="AD595" s="6">
        <v>2.073</v>
      </c>
      <c r="AE595" s="6">
        <v>1.8320000000000001</v>
      </c>
      <c r="AF595" s="6">
        <v>1.875</v>
      </c>
      <c r="AG595" s="6">
        <v>1.7230000000000001</v>
      </c>
      <c r="AH595" s="6">
        <f t="shared" ref="AH595:AH785" si="72">IF((AF595&lt;&gt;0)*AND(AG595&lt;&gt;0),AVERAGE(AF595:AG595),"")</f>
        <v>1.7989999999999999</v>
      </c>
      <c r="AI595" s="7">
        <v>2.12</v>
      </c>
      <c r="AJ595" s="7">
        <v>1.84</v>
      </c>
      <c r="AK595" s="7">
        <v>1.6</v>
      </c>
      <c r="AL595" s="7">
        <v>1.94</v>
      </c>
      <c r="AM595" s="7">
        <v>1.91</v>
      </c>
      <c r="AN595" s="7">
        <v>1.95</v>
      </c>
      <c r="AO595" s="7">
        <v>1.91</v>
      </c>
      <c r="AP595" s="3"/>
      <c r="AQ595" s="8"/>
    </row>
    <row r="596" spans="1:43">
      <c r="A596" s="1">
        <f t="shared" si="71"/>
        <v>594</v>
      </c>
      <c r="B596" s="31"/>
      <c r="C596" s="1">
        <v>3</v>
      </c>
      <c r="D596" s="4">
        <f t="shared" si="68"/>
        <v>35</v>
      </c>
      <c r="E596" s="4" t="s">
        <v>229</v>
      </c>
      <c r="F596" s="4">
        <v>1</v>
      </c>
      <c r="G596" s="4" t="s">
        <v>11</v>
      </c>
      <c r="H596" s="4" t="s">
        <v>121</v>
      </c>
      <c r="I596" s="4" t="s">
        <v>321</v>
      </c>
      <c r="J596" s="5">
        <v>2.5</v>
      </c>
      <c r="K596" s="63">
        <v>0</v>
      </c>
      <c r="L596" s="38">
        <v>4.7320000000000002</v>
      </c>
      <c r="M596" s="127" t="s">
        <v>341</v>
      </c>
      <c r="N596" s="4" t="s">
        <v>13</v>
      </c>
      <c r="O596" s="46"/>
      <c r="P596" s="46"/>
      <c r="Q596" s="3" t="s">
        <v>205</v>
      </c>
      <c r="R596" s="46"/>
      <c r="S596" s="46"/>
      <c r="T596" s="46"/>
      <c r="U596" s="46"/>
      <c r="V596" s="46"/>
      <c r="W596" s="46"/>
      <c r="X596" s="46"/>
      <c r="Y596" s="22">
        <v>6.024</v>
      </c>
      <c r="Z596" s="22">
        <v>5.7569999999999997</v>
      </c>
      <c r="AA596" s="22">
        <v>5.2930000000000001</v>
      </c>
      <c r="AB596" s="46"/>
      <c r="AC596" s="46"/>
      <c r="AD596" s="46"/>
      <c r="AE596" s="46"/>
      <c r="AF596" s="46"/>
      <c r="AG596" s="6">
        <v>2.9940000000000002</v>
      </c>
      <c r="AH596" s="46"/>
      <c r="AI596" s="6">
        <v>4.9660000000000002</v>
      </c>
      <c r="AJ596" s="6">
        <v>4.7869999999999999</v>
      </c>
      <c r="AK596" s="6">
        <v>4.7750000000000004</v>
      </c>
      <c r="AL596" s="6">
        <v>4.7480000000000002</v>
      </c>
      <c r="AM596" s="6">
        <v>4.742</v>
      </c>
      <c r="AN596" s="6">
        <v>4.8150000000000004</v>
      </c>
      <c r="AO596" s="6">
        <v>4.7939999999999996</v>
      </c>
      <c r="AP596" s="3"/>
      <c r="AQ596" s="8"/>
    </row>
    <row r="597" spans="1:43">
      <c r="A597" s="1">
        <f t="shared" si="71"/>
        <v>595</v>
      </c>
      <c r="B597" s="31"/>
      <c r="C597" s="1">
        <v>3</v>
      </c>
      <c r="D597" s="4">
        <f t="shared" si="68"/>
        <v>35</v>
      </c>
      <c r="E597" s="4" t="s">
        <v>229</v>
      </c>
      <c r="F597" s="4">
        <v>1</v>
      </c>
      <c r="G597" s="4" t="s">
        <v>14</v>
      </c>
      <c r="H597" s="4" t="s">
        <v>170</v>
      </c>
      <c r="I597" s="4"/>
      <c r="J597" s="5">
        <v>90.8</v>
      </c>
      <c r="K597" s="63">
        <v>6.0000000000000001E-3</v>
      </c>
      <c r="L597" s="38">
        <v>6.3239999999999998</v>
      </c>
      <c r="M597" s="127" t="s">
        <v>117</v>
      </c>
      <c r="N597" s="4" t="s">
        <v>13</v>
      </c>
      <c r="O597" s="6">
        <v>6.3680000000000003</v>
      </c>
      <c r="P597" s="4" t="s">
        <v>7</v>
      </c>
      <c r="Q597" s="3" t="s">
        <v>205</v>
      </c>
      <c r="R597" s="22">
        <v>5.8879999999999999</v>
      </c>
      <c r="S597" s="6">
        <v>5.84</v>
      </c>
      <c r="T597" s="6">
        <v>6.4930000000000003</v>
      </c>
      <c r="U597" s="6">
        <v>6.5439999999999996</v>
      </c>
      <c r="V597" s="22">
        <v>6.4349999999999996</v>
      </c>
      <c r="W597" s="6">
        <v>6.3239999999999998</v>
      </c>
      <c r="X597" s="6">
        <v>6.327</v>
      </c>
      <c r="Y597" s="22">
        <v>6.3760000000000003</v>
      </c>
      <c r="Z597" s="22">
        <v>6.31</v>
      </c>
      <c r="AA597" s="22">
        <v>6.3040000000000003</v>
      </c>
      <c r="AB597" s="6">
        <v>6.4779999999999998</v>
      </c>
      <c r="AC597" s="6">
        <v>6.4511000000000003</v>
      </c>
      <c r="AD597" s="6">
        <v>6.2469999999999999</v>
      </c>
      <c r="AE597" s="6">
        <v>6.2910000000000004</v>
      </c>
      <c r="AF597" s="6">
        <v>5.86</v>
      </c>
      <c r="AG597" s="6">
        <v>6.4820000000000002</v>
      </c>
      <c r="AH597" s="6">
        <f t="shared" ref="AH597:AH617" si="73">IF((AF597&lt;&gt;0)*AND(AG597&lt;&gt;0),AVERAGE(AF597:AG597),"")</f>
        <v>6.1710000000000003</v>
      </c>
      <c r="AI597" s="7">
        <v>5.87</v>
      </c>
      <c r="AJ597" s="7">
        <v>6.32</v>
      </c>
      <c r="AK597" s="7">
        <v>6.07</v>
      </c>
      <c r="AL597" s="7">
        <v>6.34</v>
      </c>
      <c r="AM597" s="7">
        <v>6.31</v>
      </c>
      <c r="AN597" s="7">
        <v>6.38</v>
      </c>
      <c r="AO597" s="7">
        <v>6.38</v>
      </c>
      <c r="AP597" s="3"/>
      <c r="AQ597" s="8"/>
    </row>
    <row r="598" spans="1:43">
      <c r="A598" s="1">
        <f t="shared" si="71"/>
        <v>596</v>
      </c>
      <c r="B598" s="31"/>
      <c r="C598" s="1">
        <v>3</v>
      </c>
      <c r="D598" s="4">
        <f t="shared" si="68"/>
        <v>35</v>
      </c>
      <c r="E598" s="4" t="s">
        <v>225</v>
      </c>
      <c r="F598" s="4">
        <v>3</v>
      </c>
      <c r="G598" s="4" t="s">
        <v>11</v>
      </c>
      <c r="H598" s="4" t="s">
        <v>12</v>
      </c>
      <c r="I598" s="4"/>
      <c r="J598" s="5">
        <v>98.4</v>
      </c>
      <c r="K598" s="65"/>
      <c r="L598" s="38">
        <v>1.133</v>
      </c>
      <c r="M598" s="127" t="s">
        <v>109</v>
      </c>
      <c r="N598" s="4" t="s">
        <v>13</v>
      </c>
      <c r="O598" s="6">
        <v>1.1419999999999999</v>
      </c>
      <c r="P598" s="4" t="s">
        <v>7</v>
      </c>
      <c r="Q598" s="3" t="s">
        <v>205</v>
      </c>
      <c r="R598" s="22">
        <v>1.1850000000000001</v>
      </c>
      <c r="S598" s="6">
        <v>1.1200000000000001</v>
      </c>
      <c r="T598" s="6">
        <v>1.141</v>
      </c>
      <c r="U598" s="22">
        <v>1.05</v>
      </c>
      <c r="V598" s="22">
        <v>1.107</v>
      </c>
      <c r="W598" s="46"/>
      <c r="X598" s="46"/>
      <c r="Y598" s="46"/>
      <c r="Z598" s="6">
        <v>1.139</v>
      </c>
      <c r="AA598" s="6">
        <v>1.129</v>
      </c>
      <c r="AB598" s="6">
        <v>1.286</v>
      </c>
      <c r="AC598" s="6">
        <v>1.3620000000000001</v>
      </c>
      <c r="AD598" s="6">
        <v>1.28</v>
      </c>
      <c r="AE598" s="6">
        <v>1.1080000000000001</v>
      </c>
      <c r="AF598" s="6">
        <v>1.0249999999999999</v>
      </c>
      <c r="AG598" s="6">
        <v>0.84099999999999997</v>
      </c>
      <c r="AH598" s="6">
        <f t="shared" si="73"/>
        <v>0.93299999999999994</v>
      </c>
      <c r="AI598" s="7">
        <v>1.31</v>
      </c>
      <c r="AJ598" s="7">
        <v>1</v>
      </c>
      <c r="AK598" s="7">
        <v>0.75</v>
      </c>
      <c r="AL598" s="7">
        <v>1.1200000000000001</v>
      </c>
      <c r="AM598" s="7">
        <v>1.0900000000000001</v>
      </c>
      <c r="AN598" s="7">
        <v>1.1299999999999999</v>
      </c>
      <c r="AO598" s="7">
        <v>1.08</v>
      </c>
      <c r="AP598" s="3"/>
      <c r="AQ598" s="8"/>
    </row>
    <row r="599" spans="1:43">
      <c r="A599" s="1">
        <f t="shared" si="71"/>
        <v>597</v>
      </c>
      <c r="B599" s="31"/>
      <c r="C599" s="1">
        <v>3</v>
      </c>
      <c r="D599" s="4">
        <f t="shared" si="68"/>
        <v>35</v>
      </c>
      <c r="E599" s="4" t="s">
        <v>230</v>
      </c>
      <c r="F599" s="4">
        <v>3</v>
      </c>
      <c r="G599" s="4" t="s">
        <v>11</v>
      </c>
      <c r="H599" s="4" t="s">
        <v>17</v>
      </c>
      <c r="I599" s="4"/>
      <c r="J599" s="5">
        <v>98.9</v>
      </c>
      <c r="K599" s="65"/>
      <c r="L599" s="38">
        <v>5.5220000000000002</v>
      </c>
      <c r="M599" s="127" t="s">
        <v>109</v>
      </c>
      <c r="N599" s="4" t="s">
        <v>13</v>
      </c>
      <c r="O599" s="6">
        <v>5.3310000000000004</v>
      </c>
      <c r="P599" s="4" t="s">
        <v>7</v>
      </c>
      <c r="Q599" s="3" t="s">
        <v>205</v>
      </c>
      <c r="R599" s="22">
        <v>5.8940000000000001</v>
      </c>
      <c r="S599" s="6">
        <v>5.835</v>
      </c>
      <c r="T599" s="6">
        <v>5.6769999999999996</v>
      </c>
      <c r="U599" s="22">
        <v>5.45</v>
      </c>
      <c r="V599" s="22">
        <v>5.4249999999999998</v>
      </c>
      <c r="W599" s="46"/>
      <c r="X599" s="46"/>
      <c r="Y599" s="46"/>
      <c r="Z599" s="6">
        <v>5.516</v>
      </c>
      <c r="AA599" s="6">
        <v>5.5060000000000002</v>
      </c>
      <c r="AB599" s="6">
        <v>5.5830000000000002</v>
      </c>
      <c r="AC599" s="6">
        <v>5.6349999999999998</v>
      </c>
      <c r="AD599" s="6">
        <v>5.7089999999999996</v>
      </c>
      <c r="AE599" s="6">
        <v>5.4630000000000001</v>
      </c>
      <c r="AF599" s="6">
        <v>5.7480000000000002</v>
      </c>
      <c r="AG599" s="6">
        <v>5.0449999999999999</v>
      </c>
      <c r="AH599" s="6">
        <f t="shared" si="73"/>
        <v>5.3964999999999996</v>
      </c>
      <c r="AI599" s="7">
        <v>5.52</v>
      </c>
      <c r="AJ599" s="7">
        <v>5.52</v>
      </c>
      <c r="AK599" s="7">
        <v>5.37</v>
      </c>
      <c r="AL599" s="7">
        <v>5.54</v>
      </c>
      <c r="AM599" s="7">
        <v>5.5</v>
      </c>
      <c r="AN599" s="7">
        <v>5.54</v>
      </c>
      <c r="AO599" s="7">
        <v>5.54</v>
      </c>
      <c r="AP599" s="3"/>
      <c r="AQ599" s="8"/>
    </row>
    <row r="600" spans="1:43">
      <c r="A600" s="1">
        <f t="shared" si="71"/>
        <v>598</v>
      </c>
      <c r="B600" s="31"/>
      <c r="C600" s="1">
        <v>3</v>
      </c>
      <c r="D600" s="4">
        <f t="shared" si="68"/>
        <v>35</v>
      </c>
      <c r="E600" s="4" t="s">
        <v>311</v>
      </c>
      <c r="F600" s="4">
        <v>1</v>
      </c>
      <c r="G600" s="4" t="s">
        <v>11</v>
      </c>
      <c r="H600" s="4" t="s">
        <v>12</v>
      </c>
      <c r="I600" s="4" t="s">
        <v>251</v>
      </c>
      <c r="J600" s="5">
        <v>92.7</v>
      </c>
      <c r="K600" s="63">
        <v>0</v>
      </c>
      <c r="L600" s="38">
        <v>1.66</v>
      </c>
      <c r="M600" s="127" t="s">
        <v>117</v>
      </c>
      <c r="N600" s="4" t="s">
        <v>13</v>
      </c>
      <c r="O600" s="6">
        <v>1.6579999999999999</v>
      </c>
      <c r="P600" s="4" t="s">
        <v>7</v>
      </c>
      <c r="Q600" s="3" t="s">
        <v>205</v>
      </c>
      <c r="R600" s="6">
        <v>1.7310000000000001</v>
      </c>
      <c r="S600" s="6">
        <v>1.667</v>
      </c>
      <c r="T600" s="6">
        <v>1.7230000000000001</v>
      </c>
      <c r="U600" s="6">
        <v>1.446</v>
      </c>
      <c r="V600" s="6">
        <v>1.677</v>
      </c>
      <c r="W600" s="6">
        <v>1.663</v>
      </c>
      <c r="X600" s="6">
        <v>1.6659999999999999</v>
      </c>
      <c r="Y600" s="6">
        <v>1.6679999999999999</v>
      </c>
      <c r="Z600" s="22">
        <v>1.67</v>
      </c>
      <c r="AA600" s="22">
        <v>1.657</v>
      </c>
      <c r="AB600" s="6">
        <v>1.724</v>
      </c>
      <c r="AC600" s="6">
        <v>1.8240000000000001</v>
      </c>
      <c r="AD600" s="6">
        <v>1.7709999999999999</v>
      </c>
      <c r="AE600" s="6">
        <v>1.514</v>
      </c>
      <c r="AF600" s="6">
        <v>1.546</v>
      </c>
      <c r="AG600" s="6">
        <v>1.4019999999999999</v>
      </c>
      <c r="AH600" s="6">
        <f t="shared" si="73"/>
        <v>1.474</v>
      </c>
      <c r="AI600" s="7">
        <v>1.83</v>
      </c>
      <c r="AJ600" s="7">
        <v>1.55</v>
      </c>
      <c r="AK600" s="7">
        <v>1.32</v>
      </c>
      <c r="AL600" s="7">
        <v>1.66</v>
      </c>
      <c r="AM600" s="7">
        <v>1.62</v>
      </c>
      <c r="AN600" s="7">
        <v>1.66</v>
      </c>
      <c r="AO600" s="7">
        <v>1.62</v>
      </c>
      <c r="AP600" s="3"/>
      <c r="AQ600" s="8"/>
    </row>
    <row r="601" spans="1:43">
      <c r="A601" s="1">
        <f t="shared" si="71"/>
        <v>599</v>
      </c>
      <c r="B601" s="31" t="s">
        <v>325</v>
      </c>
      <c r="C601" s="1">
        <v>3</v>
      </c>
      <c r="D601" s="4">
        <f t="shared" si="68"/>
        <v>35</v>
      </c>
      <c r="E601" s="4" t="s">
        <v>147</v>
      </c>
      <c r="F601" s="4">
        <v>1</v>
      </c>
      <c r="G601" s="4" t="s">
        <v>11</v>
      </c>
      <c r="H601" s="4" t="s">
        <v>12</v>
      </c>
      <c r="I601" s="4"/>
      <c r="J601" s="5">
        <v>92.2</v>
      </c>
      <c r="K601" s="63">
        <v>1E-3</v>
      </c>
      <c r="L601" s="38">
        <v>3.5270000000000001</v>
      </c>
      <c r="M601" s="127" t="s">
        <v>216</v>
      </c>
      <c r="N601" s="4" t="s">
        <v>13</v>
      </c>
      <c r="O601" s="6">
        <v>3.5230000000000001</v>
      </c>
      <c r="P601" s="4" t="s">
        <v>7</v>
      </c>
      <c r="Q601" s="3"/>
      <c r="R601" s="22">
        <v>3.5710000000000002</v>
      </c>
      <c r="S601" s="22">
        <v>3.669</v>
      </c>
      <c r="T601" s="22">
        <v>3.6</v>
      </c>
      <c r="U601" s="22">
        <v>3.2839999999999998</v>
      </c>
      <c r="V601" s="22">
        <v>3.51</v>
      </c>
      <c r="W601" s="22">
        <v>3.5369999999999999</v>
      </c>
      <c r="X601" s="22">
        <v>3.5449999999999999</v>
      </c>
      <c r="Y601" s="22">
        <v>3.5430000000000001</v>
      </c>
      <c r="Z601" s="22">
        <v>3.5550000000000002</v>
      </c>
      <c r="AA601" s="22">
        <v>3.5179999999999998</v>
      </c>
      <c r="AB601" s="22">
        <v>3.516</v>
      </c>
      <c r="AC601" s="22">
        <v>3.6869999999999998</v>
      </c>
      <c r="AD601" s="22">
        <v>3.6789999999999998</v>
      </c>
      <c r="AE601" s="22">
        <v>3.29</v>
      </c>
      <c r="AF601" s="22">
        <v>3.4289999999999998</v>
      </c>
      <c r="AG601" s="22">
        <v>3.262</v>
      </c>
      <c r="AH601" s="6">
        <f>IF((AF601&lt;&gt;0)*AND(AG601&lt;&gt;0),AVERAGE(AF601:AG601),"")</f>
        <v>3.3454999999999999</v>
      </c>
      <c r="AI601" s="11"/>
      <c r="AJ601" s="11"/>
      <c r="AK601" s="11"/>
      <c r="AL601" s="11"/>
      <c r="AM601" s="11"/>
      <c r="AN601" s="11"/>
      <c r="AO601" s="11"/>
      <c r="AP601" s="3"/>
      <c r="AQ601" s="8"/>
    </row>
    <row r="602" spans="1:43">
      <c r="A602" s="1">
        <f t="shared" si="71"/>
        <v>600</v>
      </c>
      <c r="B602" s="31"/>
      <c r="C602" s="1">
        <v>3</v>
      </c>
      <c r="D602" s="4">
        <f t="shared" si="68"/>
        <v>35</v>
      </c>
      <c r="E602" s="4" t="s">
        <v>229</v>
      </c>
      <c r="F602" s="4">
        <v>1</v>
      </c>
      <c r="G602" s="4" t="s">
        <v>11</v>
      </c>
      <c r="H602" s="4" t="s">
        <v>17</v>
      </c>
      <c r="I602" s="4"/>
      <c r="J602" s="5">
        <v>85.8</v>
      </c>
      <c r="K602" s="63">
        <v>3.4000000000000002E-2</v>
      </c>
      <c r="L602" s="38">
        <v>6.2409999999999997</v>
      </c>
      <c r="M602" s="127" t="s">
        <v>216</v>
      </c>
      <c r="N602" s="4" t="s">
        <v>13</v>
      </c>
      <c r="O602" s="6">
        <v>6.2429999999999994</v>
      </c>
      <c r="P602" s="4" t="s">
        <v>7</v>
      </c>
      <c r="Q602" s="3"/>
      <c r="R602" s="22">
        <v>6.4560000000000004</v>
      </c>
      <c r="S602" s="22">
        <v>5.9059999999999997</v>
      </c>
      <c r="T602" s="22">
        <v>6.8410000000000002</v>
      </c>
      <c r="U602" s="22">
        <v>6.0720000000000001</v>
      </c>
      <c r="V602" s="22">
        <v>6.6920000000000002</v>
      </c>
      <c r="W602" s="22">
        <v>6.3739999999999997</v>
      </c>
      <c r="X602" s="22">
        <v>6.3609999999999998</v>
      </c>
      <c r="Y602" s="22">
        <v>6.3230000000000004</v>
      </c>
      <c r="Z602" s="22">
        <v>6.1719999999999997</v>
      </c>
      <c r="AA602" s="22">
        <v>6.2720000000000002</v>
      </c>
      <c r="AB602" s="22">
        <v>6.3220000000000001</v>
      </c>
      <c r="AC602" s="22">
        <v>6.3719999999999999</v>
      </c>
      <c r="AD602" s="22">
        <v>6.2089999999999996</v>
      </c>
      <c r="AE602" s="22">
        <v>6.0060000000000002</v>
      </c>
      <c r="AF602" s="22">
        <v>5.7750000000000004</v>
      </c>
      <c r="AG602" s="22">
        <v>6.8209999999999997</v>
      </c>
      <c r="AH602" s="6">
        <f>IF((AF602&lt;&gt;0)*AND(AG602&lt;&gt;0),AVERAGE(AF602:AG602),"")</f>
        <v>6.298</v>
      </c>
      <c r="AI602" s="11"/>
      <c r="AJ602" s="11"/>
      <c r="AK602" s="11"/>
      <c r="AL602" s="11"/>
      <c r="AM602" s="11"/>
      <c r="AN602" s="11"/>
      <c r="AO602" s="11"/>
      <c r="AP602" s="3"/>
      <c r="AQ602" s="8"/>
    </row>
    <row r="603" spans="1:43">
      <c r="A603" s="1">
        <f t="shared" si="71"/>
        <v>601</v>
      </c>
      <c r="B603" s="31"/>
      <c r="C603" s="1">
        <v>3</v>
      </c>
      <c r="D603" s="4">
        <f t="shared" si="68"/>
        <v>35</v>
      </c>
      <c r="E603" s="4" t="s">
        <v>147</v>
      </c>
      <c r="F603" s="4">
        <v>1</v>
      </c>
      <c r="G603" s="4" t="s">
        <v>11</v>
      </c>
      <c r="H603" s="4" t="s">
        <v>12</v>
      </c>
      <c r="I603" s="4"/>
      <c r="J603" s="5">
        <v>85.1</v>
      </c>
      <c r="K603" s="63">
        <v>0</v>
      </c>
      <c r="L603" s="38">
        <v>7.2760000000000016</v>
      </c>
      <c r="M603" s="127" t="s">
        <v>216</v>
      </c>
      <c r="N603" s="4" t="s">
        <v>13</v>
      </c>
      <c r="O603" s="6">
        <v>7.2680000000000007</v>
      </c>
      <c r="P603" s="4" t="s">
        <v>7</v>
      </c>
      <c r="Q603" s="3"/>
      <c r="R603" s="22">
        <v>7.883</v>
      </c>
      <c r="S603" s="22">
        <v>7.44</v>
      </c>
      <c r="T603" s="22">
        <v>7.726</v>
      </c>
      <c r="U603" s="22">
        <v>7.1840000000000002</v>
      </c>
      <c r="V603" s="22">
        <v>7.6070000000000002</v>
      </c>
      <c r="W603" s="22">
        <v>7.4329999999999998</v>
      </c>
      <c r="X603" s="22">
        <v>7.4279999999999999</v>
      </c>
      <c r="Y603" s="22">
        <v>7.383</v>
      </c>
      <c r="Z603" s="22">
        <v>7.3170000000000002</v>
      </c>
      <c r="AA603" s="22">
        <v>7.3120000000000003</v>
      </c>
      <c r="AB603" s="22">
        <v>7.673</v>
      </c>
      <c r="AC603" s="22">
        <v>7.7510000000000003</v>
      </c>
      <c r="AD603" s="22">
        <v>7.6539999999999999</v>
      </c>
      <c r="AE603" s="22">
        <v>7.423</v>
      </c>
      <c r="AF603" s="22">
        <v>7.3179999999999996</v>
      </c>
      <c r="AG603" s="22">
        <v>7.0789999999999997</v>
      </c>
      <c r="AH603" s="6">
        <f>IF((AF603&lt;&gt;0)*AND(AG603&lt;&gt;0),AVERAGE(AF603:AG603),"")</f>
        <v>7.1984999999999992</v>
      </c>
      <c r="AI603" s="11"/>
      <c r="AJ603" s="11"/>
      <c r="AK603" s="11"/>
      <c r="AL603" s="11"/>
      <c r="AM603" s="11"/>
      <c r="AN603" s="11"/>
      <c r="AO603" s="11"/>
      <c r="AP603" s="3"/>
      <c r="AQ603" s="8"/>
    </row>
    <row r="604" spans="1:43">
      <c r="A604" s="1">
        <f t="shared" si="71"/>
        <v>602</v>
      </c>
      <c r="B604" s="31"/>
      <c r="C604" s="1">
        <v>3</v>
      </c>
      <c r="D604" s="4">
        <f t="shared" si="68"/>
        <v>35</v>
      </c>
      <c r="E604" s="4" t="s">
        <v>229</v>
      </c>
      <c r="F604" s="4">
        <v>1</v>
      </c>
      <c r="G604" s="4" t="s">
        <v>14</v>
      </c>
      <c r="H604" s="4" t="s">
        <v>15</v>
      </c>
      <c r="I604" s="4"/>
      <c r="J604" s="5">
        <v>91</v>
      </c>
      <c r="K604" s="63">
        <v>3.7999999999999999E-2</v>
      </c>
      <c r="L604" s="38">
        <v>7.4650000000000007</v>
      </c>
      <c r="M604" s="127" t="s">
        <v>216</v>
      </c>
      <c r="N604" s="4" t="s">
        <v>13</v>
      </c>
      <c r="O604" s="6">
        <v>7.5100000000000007</v>
      </c>
      <c r="P604" s="4" t="s">
        <v>7</v>
      </c>
      <c r="Q604" s="3"/>
      <c r="R604" s="22">
        <v>7.2290000000000001</v>
      </c>
      <c r="S604" s="22">
        <v>7.1269999999999998</v>
      </c>
      <c r="T604" s="22">
        <v>7.8570000000000002</v>
      </c>
      <c r="U604" s="22">
        <v>7.65</v>
      </c>
      <c r="V604" s="22">
        <v>7.6929999999999996</v>
      </c>
      <c r="W604" s="22">
        <v>7.5369999999999999</v>
      </c>
      <c r="X604" s="22">
        <v>7.5369999999999999</v>
      </c>
      <c r="Y604" s="22">
        <v>7.5389999999999997</v>
      </c>
      <c r="Z604" s="22">
        <v>7.4409999999999998</v>
      </c>
      <c r="AA604" s="22">
        <v>7.484</v>
      </c>
      <c r="AB604" s="22">
        <v>7.7789999999999999</v>
      </c>
      <c r="AC604" s="22">
        <v>7.7160000000000002</v>
      </c>
      <c r="AD604" s="22">
        <v>7.5179999999999998</v>
      </c>
      <c r="AE604" s="22">
        <v>7.5860000000000003</v>
      </c>
      <c r="AF604" s="22">
        <v>7.1749999999999998</v>
      </c>
      <c r="AG604" s="22">
        <v>7.6109999999999998</v>
      </c>
      <c r="AH604" s="6">
        <f>IF((AF604&lt;&gt;0)*AND(AG604&lt;&gt;0),AVERAGE(AF604:AG604),"")</f>
        <v>7.3929999999999998</v>
      </c>
      <c r="AI604" s="11"/>
      <c r="AJ604" s="11"/>
      <c r="AK604" s="11"/>
      <c r="AL604" s="11"/>
      <c r="AM604" s="11"/>
      <c r="AN604" s="11"/>
      <c r="AO604" s="11"/>
      <c r="AP604" s="3"/>
      <c r="AQ604" s="8"/>
    </row>
    <row r="605" spans="1:43">
      <c r="A605" s="1">
        <f t="shared" si="71"/>
        <v>603</v>
      </c>
      <c r="B605" s="31"/>
      <c r="C605" s="1">
        <v>3</v>
      </c>
      <c r="D605" s="4">
        <f t="shared" si="68"/>
        <v>35</v>
      </c>
      <c r="E605" s="4" t="s">
        <v>147</v>
      </c>
      <c r="F605" s="4">
        <v>1</v>
      </c>
      <c r="G605" s="4" t="s">
        <v>14</v>
      </c>
      <c r="H605" s="4" t="s">
        <v>22</v>
      </c>
      <c r="I605" s="4"/>
      <c r="J605" s="5">
        <v>91.3</v>
      </c>
      <c r="K605" s="63">
        <v>2.4E-2</v>
      </c>
      <c r="L605" s="38">
        <v>8.6819999999999986</v>
      </c>
      <c r="M605" s="127" t="s">
        <v>216</v>
      </c>
      <c r="N605" s="4" t="s">
        <v>13</v>
      </c>
      <c r="O605" s="6">
        <v>8.7319999999999993</v>
      </c>
      <c r="P605" s="4" t="s">
        <v>7</v>
      </c>
      <c r="Q605" s="3"/>
      <c r="R605" s="22">
        <v>8.3949999999999996</v>
      </c>
      <c r="S605" s="22">
        <v>8.4039999999999999</v>
      </c>
      <c r="T605" s="22">
        <v>8.8559999999999999</v>
      </c>
      <c r="U605" s="22">
        <v>8.6059999999999999</v>
      </c>
      <c r="V605" s="22">
        <v>8.7219999999999995</v>
      </c>
      <c r="W605" s="22">
        <v>8.6839999999999993</v>
      </c>
      <c r="X605" s="22">
        <v>8.6940000000000008</v>
      </c>
      <c r="Y605" s="22">
        <v>8.7149999999999999</v>
      </c>
      <c r="Z605" s="22">
        <v>8.6739999999999995</v>
      </c>
      <c r="AA605" s="22">
        <v>8.6639999999999997</v>
      </c>
      <c r="AB605" s="22">
        <v>8.6180000000000003</v>
      </c>
      <c r="AC605" s="22">
        <v>8.6440000000000001</v>
      </c>
      <c r="AD605" s="22">
        <v>8.5630000000000006</v>
      </c>
      <c r="AE605" s="22">
        <v>8.4269999999999996</v>
      </c>
      <c r="AF605" s="22">
        <v>8.3379999999999992</v>
      </c>
      <c r="AG605" s="22">
        <v>8.8170000000000002</v>
      </c>
      <c r="AH605" s="6">
        <f>IF((AF605&lt;&gt;0)*AND(AG605&lt;&gt;0),AVERAGE(AF605:AG605),"")</f>
        <v>8.5775000000000006</v>
      </c>
      <c r="AI605" s="11"/>
      <c r="AJ605" s="46"/>
      <c r="AK605" s="46"/>
      <c r="AL605" s="11"/>
      <c r="AM605" s="11"/>
      <c r="AN605" s="11"/>
      <c r="AO605" s="11"/>
      <c r="AP605" s="3"/>
      <c r="AQ605" s="8"/>
    </row>
    <row r="606" spans="1:43" ht="15">
      <c r="A606" s="1">
        <f t="shared" si="71"/>
        <v>604</v>
      </c>
      <c r="B606" s="31"/>
      <c r="C606" s="1">
        <v>3</v>
      </c>
      <c r="D606" s="4">
        <f t="shared" si="68"/>
        <v>35</v>
      </c>
      <c r="E606" s="4" t="s">
        <v>229</v>
      </c>
      <c r="F606" s="4">
        <v>1</v>
      </c>
      <c r="G606" s="4" t="s">
        <v>11</v>
      </c>
      <c r="H606" s="4" t="s">
        <v>121</v>
      </c>
      <c r="I606" s="4" t="s">
        <v>321</v>
      </c>
      <c r="J606" s="5">
        <v>50.6</v>
      </c>
      <c r="K606" s="63">
        <v>8.5000000000000006E-2</v>
      </c>
      <c r="L606" s="38">
        <v>7.9690000000000003</v>
      </c>
      <c r="M606" s="127" t="s">
        <v>103</v>
      </c>
      <c r="N606" s="4" t="s">
        <v>13</v>
      </c>
      <c r="O606" s="11"/>
      <c r="P606" s="11"/>
      <c r="Q606" s="3"/>
      <c r="R606" s="11"/>
      <c r="S606" s="11"/>
      <c r="T606" s="11"/>
      <c r="U606" s="11"/>
      <c r="V606" s="11"/>
      <c r="W606" s="11"/>
      <c r="X606" s="11"/>
      <c r="Y606" s="22">
        <v>9.3350000000000009</v>
      </c>
      <c r="Z606" s="22">
        <v>9.1050000000000004</v>
      </c>
      <c r="AA606" s="22">
        <v>8.5239999999999991</v>
      </c>
      <c r="AB606" s="11"/>
      <c r="AC606" s="11"/>
      <c r="AD606" s="11"/>
      <c r="AE606" s="11"/>
      <c r="AF606" s="11"/>
      <c r="AG606" s="22">
        <v>6.0170000000000003</v>
      </c>
      <c r="AH606" s="11"/>
      <c r="AI606" s="96">
        <v>8.1850000000000005</v>
      </c>
      <c r="AJ606" s="90">
        <v>7.9669999999999996</v>
      </c>
      <c r="AK606" s="90">
        <v>7.97</v>
      </c>
      <c r="AL606" s="90">
        <v>7.9390000000000001</v>
      </c>
      <c r="AM606" s="90">
        <v>7.9450000000000003</v>
      </c>
      <c r="AN606" s="96">
        <v>7.992</v>
      </c>
      <c r="AO606" s="96">
        <v>8.0009999999999994</v>
      </c>
      <c r="AP606" s="3"/>
      <c r="AQ606" s="8"/>
    </row>
    <row r="607" spans="1:43">
      <c r="A607" s="1">
        <f t="shared" si="71"/>
        <v>605</v>
      </c>
      <c r="B607" s="31"/>
      <c r="C607" s="1">
        <v>3</v>
      </c>
      <c r="D607" s="4">
        <f t="shared" si="68"/>
        <v>35</v>
      </c>
      <c r="E607" s="4" t="s">
        <v>225</v>
      </c>
      <c r="F607" s="4">
        <v>3</v>
      </c>
      <c r="G607" s="4" t="s">
        <v>11</v>
      </c>
      <c r="H607" s="4" t="s">
        <v>12</v>
      </c>
      <c r="I607" s="4"/>
      <c r="J607" s="5">
        <v>98.1</v>
      </c>
      <c r="K607" s="65"/>
      <c r="L607" s="38">
        <v>2.6970000000000001</v>
      </c>
      <c r="M607" s="127" t="s">
        <v>109</v>
      </c>
      <c r="N607" s="4" t="s">
        <v>13</v>
      </c>
      <c r="O607" s="6">
        <v>2.7030000000000003</v>
      </c>
      <c r="P607" s="4" t="s">
        <v>7</v>
      </c>
      <c r="Q607" s="3"/>
      <c r="R607" s="22">
        <v>2.7280000000000002</v>
      </c>
      <c r="S607" s="22">
        <v>2.7949999999999999</v>
      </c>
      <c r="T607" s="22">
        <v>2.7170000000000001</v>
      </c>
      <c r="U607" s="22">
        <v>2.5590000000000002</v>
      </c>
      <c r="V607" s="22">
        <v>2.6230000000000002</v>
      </c>
      <c r="W607" s="11"/>
      <c r="X607" s="11"/>
      <c r="Y607" s="11"/>
      <c r="Z607" s="22">
        <v>2.718</v>
      </c>
      <c r="AA607" s="22">
        <v>2.6850000000000001</v>
      </c>
      <c r="AB607" s="22">
        <v>2.7650000000000001</v>
      </c>
      <c r="AC607" s="22">
        <v>2.9220000000000002</v>
      </c>
      <c r="AD607" s="22">
        <v>2.8769999999999998</v>
      </c>
      <c r="AE607" s="22">
        <v>2.5720000000000001</v>
      </c>
      <c r="AF607" s="22">
        <v>2.5680000000000001</v>
      </c>
      <c r="AG607" s="22">
        <v>2.16</v>
      </c>
      <c r="AH607" s="6">
        <f>IF((AF607&lt;&gt;0)*AND(AG607&lt;&gt;0),AVERAGE(AF607:AG607),"")</f>
        <v>2.3639999999999999</v>
      </c>
      <c r="AI607" s="11"/>
      <c r="AJ607" s="46"/>
      <c r="AK607" s="46"/>
      <c r="AL607" s="11"/>
      <c r="AM607" s="11"/>
      <c r="AN607" s="11"/>
      <c r="AO607" s="11"/>
      <c r="AP607" s="3"/>
      <c r="AQ607" s="8"/>
    </row>
    <row r="608" spans="1:43">
      <c r="A608" s="1">
        <f t="shared" si="71"/>
        <v>606</v>
      </c>
      <c r="B608" s="31"/>
      <c r="C608" s="1">
        <v>3</v>
      </c>
      <c r="D608" s="4">
        <f t="shared" si="68"/>
        <v>35</v>
      </c>
      <c r="E608" s="4" t="s">
        <v>230</v>
      </c>
      <c r="F608" s="4">
        <v>3</v>
      </c>
      <c r="G608" s="4" t="s">
        <v>11</v>
      </c>
      <c r="H608" s="4" t="s">
        <v>17</v>
      </c>
      <c r="I608" s="4"/>
      <c r="J608" s="5">
        <v>97.2</v>
      </c>
      <c r="K608" s="65"/>
      <c r="L608" s="38">
        <v>5.0560000000000018</v>
      </c>
      <c r="M608" s="127" t="s">
        <v>109</v>
      </c>
      <c r="N608" s="4" t="s">
        <v>13</v>
      </c>
      <c r="O608" s="6">
        <v>5.0640000000000027</v>
      </c>
      <c r="P608" s="4" t="s">
        <v>7</v>
      </c>
      <c r="Q608" s="3"/>
      <c r="R608" s="1">
        <v>5.9850000000000003</v>
      </c>
      <c r="S608" s="6">
        <v>5.1210000000000004</v>
      </c>
      <c r="T608" s="87">
        <v>5.3979999999999997</v>
      </c>
      <c r="U608" s="1">
        <v>4.9690000000000003</v>
      </c>
      <c r="V608" s="22">
        <v>5.12</v>
      </c>
      <c r="W608" s="11"/>
      <c r="X608" s="11"/>
      <c r="Y608" s="11"/>
      <c r="Z608" s="22">
        <v>5.0659999999999998</v>
      </c>
      <c r="AA608" s="22">
        <v>5.0510000000000002</v>
      </c>
      <c r="AB608" s="22">
        <v>5.31</v>
      </c>
      <c r="AC608" s="22">
        <v>5.3879999999999999</v>
      </c>
      <c r="AD608" s="22">
        <v>5.3159999999999998</v>
      </c>
      <c r="AE608" s="22">
        <v>5.1070000000000002</v>
      </c>
      <c r="AF608" s="22">
        <v>4.9930000000000003</v>
      </c>
      <c r="AG608" s="1">
        <v>4.9790000000000001</v>
      </c>
      <c r="AH608" s="6">
        <f>IF((AF608&lt;&gt;0)*AND(AG608&lt;&gt;0),AVERAGE(AF608:AG608),"")</f>
        <v>4.9860000000000007</v>
      </c>
      <c r="AI608" s="11"/>
      <c r="AJ608" s="11"/>
      <c r="AK608" s="11"/>
      <c r="AL608" s="11"/>
      <c r="AM608" s="11"/>
      <c r="AN608" s="11"/>
      <c r="AO608" s="11"/>
      <c r="AP608" s="3"/>
      <c r="AQ608" s="8"/>
    </row>
    <row r="609" spans="1:43">
      <c r="A609" s="1">
        <f t="shared" si="71"/>
        <v>607</v>
      </c>
      <c r="B609" s="31"/>
      <c r="C609" s="1">
        <v>3</v>
      </c>
      <c r="D609" s="4">
        <f t="shared" si="68"/>
        <v>35</v>
      </c>
      <c r="E609" s="4" t="s">
        <v>225</v>
      </c>
      <c r="F609" s="4">
        <v>3</v>
      </c>
      <c r="G609" s="4" t="s">
        <v>11</v>
      </c>
      <c r="H609" s="4" t="s">
        <v>12</v>
      </c>
      <c r="I609" s="4"/>
      <c r="J609" s="5">
        <v>96.9</v>
      </c>
      <c r="K609" s="65"/>
      <c r="L609" s="38">
        <v>6.8449999999999998</v>
      </c>
      <c r="M609" s="127" t="s">
        <v>109</v>
      </c>
      <c r="N609" s="4" t="s">
        <v>13</v>
      </c>
      <c r="O609" s="6">
        <v>6.8450000000000006</v>
      </c>
      <c r="P609" s="4" t="s">
        <v>7</v>
      </c>
      <c r="Q609" s="3"/>
      <c r="R609" s="1">
        <v>7.2279999999999998</v>
      </c>
      <c r="S609" s="1">
        <v>6.9589999999999996</v>
      </c>
      <c r="T609" s="1">
        <v>7.0869999999999997</v>
      </c>
      <c r="U609" s="1">
        <v>6.8280000000000003</v>
      </c>
      <c r="V609" s="22">
        <v>6.99</v>
      </c>
      <c r="W609" s="11"/>
      <c r="X609" s="11"/>
      <c r="Y609" s="11"/>
      <c r="Z609" s="22">
        <v>6.8710000000000004</v>
      </c>
      <c r="AA609" s="22">
        <v>6.8540000000000001</v>
      </c>
      <c r="AB609" s="22">
        <v>7.1840000000000002</v>
      </c>
      <c r="AC609" s="22">
        <v>7.2880000000000003</v>
      </c>
      <c r="AD609" s="22">
        <v>7.1820000000000004</v>
      </c>
      <c r="AE609" s="22">
        <v>6.9779999999999998</v>
      </c>
      <c r="AF609" s="22">
        <v>6.8109999999999999</v>
      </c>
      <c r="AG609" s="1">
        <v>6.694</v>
      </c>
      <c r="AH609" s="6">
        <f>IF((AF609&lt;&gt;0)*AND(AG609&lt;&gt;0),AVERAGE(AF609:AG609),"")</f>
        <v>6.7524999999999995</v>
      </c>
      <c r="AI609" s="11"/>
      <c r="AJ609" s="11"/>
      <c r="AK609" s="11"/>
      <c r="AL609" s="11"/>
      <c r="AM609" s="11"/>
      <c r="AN609" s="11"/>
      <c r="AO609" s="11"/>
      <c r="AP609" s="3"/>
      <c r="AQ609" s="8"/>
    </row>
    <row r="610" spans="1:43">
      <c r="A610" s="1">
        <f t="shared" si="71"/>
        <v>608</v>
      </c>
      <c r="B610" s="31" t="s">
        <v>314</v>
      </c>
      <c r="C610" s="1">
        <v>3</v>
      </c>
      <c r="D610" s="4">
        <f t="shared" si="68"/>
        <v>35</v>
      </c>
      <c r="E610" s="4" t="s">
        <v>243</v>
      </c>
      <c r="F610" s="4">
        <v>1</v>
      </c>
      <c r="G610" s="4" t="s">
        <v>11</v>
      </c>
      <c r="H610" s="4" t="s">
        <v>17</v>
      </c>
      <c r="I610" s="4"/>
      <c r="J610" s="13">
        <v>92.5</v>
      </c>
      <c r="K610" s="65"/>
      <c r="L610" s="38">
        <v>6.9560000000000004</v>
      </c>
      <c r="M610" s="127" t="s">
        <v>216</v>
      </c>
      <c r="N610" s="4" t="s">
        <v>13</v>
      </c>
      <c r="O610" s="6">
        <v>6.9560000000000004</v>
      </c>
      <c r="P610" s="4" t="s">
        <v>326</v>
      </c>
      <c r="Q610" s="3"/>
      <c r="R610" s="22">
        <v>7.4770000000000003</v>
      </c>
      <c r="S610" s="22">
        <v>7.3040000000000003</v>
      </c>
      <c r="T610" s="22">
        <v>7.3710000000000004</v>
      </c>
      <c r="U610" s="22">
        <v>6.8380000000000001</v>
      </c>
      <c r="V610" s="22">
        <v>6.9850000000000003</v>
      </c>
      <c r="W610" s="22">
        <v>7.02</v>
      </c>
      <c r="X610" s="22">
        <v>7.0359999999999996</v>
      </c>
      <c r="Y610" s="22">
        <v>6.9950000000000001</v>
      </c>
      <c r="Z610" s="22">
        <v>7.0010000000000003</v>
      </c>
      <c r="AA610" s="22">
        <v>6.9530000000000003</v>
      </c>
      <c r="AB610" s="22">
        <v>7.0430000000000001</v>
      </c>
      <c r="AC610" s="22">
        <v>7.2839999999999998</v>
      </c>
      <c r="AD610" s="22">
        <v>7.2889999999999997</v>
      </c>
      <c r="AE610" s="22">
        <v>6.8090000000000002</v>
      </c>
      <c r="AF610" s="22">
        <v>6.9770000000000003</v>
      </c>
      <c r="AG610" s="22">
        <v>6.6360000000000001</v>
      </c>
      <c r="AH610" s="6">
        <f t="shared" si="73"/>
        <v>6.8064999999999998</v>
      </c>
      <c r="AI610" s="27"/>
      <c r="AJ610" s="27"/>
      <c r="AK610" s="27"/>
      <c r="AL610" s="27"/>
      <c r="AM610" s="27"/>
      <c r="AN610" s="27"/>
      <c r="AO610" s="27"/>
      <c r="AP610" s="3"/>
      <c r="AQ610" s="8"/>
    </row>
    <row r="611" spans="1:43">
      <c r="A611" s="1">
        <f t="shared" si="71"/>
        <v>609</v>
      </c>
      <c r="B611" s="31"/>
      <c r="C611" s="1">
        <v>3</v>
      </c>
      <c r="D611" s="4">
        <f t="shared" si="68"/>
        <v>35</v>
      </c>
      <c r="E611" s="4" t="s">
        <v>136</v>
      </c>
      <c r="F611" s="4">
        <v>1</v>
      </c>
      <c r="G611" s="4" t="s">
        <v>11</v>
      </c>
      <c r="H611" s="4" t="s">
        <v>17</v>
      </c>
      <c r="I611" s="4"/>
      <c r="J611" s="13">
        <v>91.5</v>
      </c>
      <c r="K611" s="65"/>
      <c r="L611" s="38">
        <v>7.141</v>
      </c>
      <c r="M611" s="127" t="s">
        <v>216</v>
      </c>
      <c r="N611" s="4" t="s">
        <v>13</v>
      </c>
      <c r="O611" s="6">
        <v>7.1390000000000011</v>
      </c>
      <c r="P611" s="4" t="s">
        <v>7</v>
      </c>
      <c r="Q611" s="3"/>
      <c r="R611" s="22">
        <v>7.6989999999999998</v>
      </c>
      <c r="S611" s="22">
        <v>7.516</v>
      </c>
      <c r="T611" s="22">
        <v>7.55</v>
      </c>
      <c r="U611" s="22">
        <v>7.0410000000000004</v>
      </c>
      <c r="V611" s="22">
        <v>7.1829999999999998</v>
      </c>
      <c r="W611" s="22">
        <v>7.2030000000000003</v>
      </c>
      <c r="X611" s="22">
        <v>7.2229999999999999</v>
      </c>
      <c r="Y611" s="22">
        <v>7.181</v>
      </c>
      <c r="Z611" s="22">
        <v>7.1820000000000004</v>
      </c>
      <c r="AA611" s="22">
        <v>7.1379999999999999</v>
      </c>
      <c r="AB611" s="22">
        <v>7.0880000000000001</v>
      </c>
      <c r="AC611" s="22">
        <v>7.3529999999999998</v>
      </c>
      <c r="AD611" s="22">
        <v>7.4050000000000002</v>
      </c>
      <c r="AE611" s="22">
        <v>6.84</v>
      </c>
      <c r="AF611" s="22">
        <v>7.1470000000000002</v>
      </c>
      <c r="AG611" s="22">
        <v>6.8540000000000001</v>
      </c>
      <c r="AH611" s="6">
        <f t="shared" si="73"/>
        <v>7.0005000000000006</v>
      </c>
      <c r="AI611" s="27"/>
      <c r="AJ611" s="27"/>
      <c r="AK611" s="27"/>
      <c r="AL611" s="27"/>
      <c r="AM611" s="27"/>
      <c r="AN611" s="27"/>
      <c r="AO611" s="27"/>
      <c r="AP611" s="3"/>
      <c r="AQ611" s="8"/>
    </row>
    <row r="612" spans="1:43">
      <c r="A612" s="1">
        <f t="shared" si="71"/>
        <v>610</v>
      </c>
      <c r="B612" s="31"/>
      <c r="C612" s="1">
        <v>3</v>
      </c>
      <c r="D612" s="4">
        <f t="shared" si="68"/>
        <v>35</v>
      </c>
      <c r="E612" s="4" t="s">
        <v>242</v>
      </c>
      <c r="F612" s="4">
        <v>1</v>
      </c>
      <c r="G612" s="4" t="s">
        <v>14</v>
      </c>
      <c r="H612" s="4" t="s">
        <v>170</v>
      </c>
      <c r="I612" s="4"/>
      <c r="J612" s="13">
        <v>93.2</v>
      </c>
      <c r="K612" s="63">
        <v>0</v>
      </c>
      <c r="L612" s="38">
        <v>8.533000000000003</v>
      </c>
      <c r="M612" s="127" t="s">
        <v>216</v>
      </c>
      <c r="N612" s="4" t="s">
        <v>13</v>
      </c>
      <c r="O612" s="6">
        <v>8.5480000000000036</v>
      </c>
      <c r="P612" s="4" t="s">
        <v>7</v>
      </c>
      <c r="Q612" s="3"/>
      <c r="R612" s="22">
        <v>8.5649999999999995</v>
      </c>
      <c r="S612" s="22">
        <v>8.5090000000000003</v>
      </c>
      <c r="T612" s="22">
        <v>8.9540000000000006</v>
      </c>
      <c r="U612" s="22">
        <v>8.4879999999999995</v>
      </c>
      <c r="V612" s="22">
        <v>8.6240000000000006</v>
      </c>
      <c r="W612" s="22">
        <v>8.548</v>
      </c>
      <c r="X612" s="22">
        <v>8.5649999999999995</v>
      </c>
      <c r="Y612" s="22">
        <v>8.5730000000000004</v>
      </c>
      <c r="Z612" s="22">
        <v>8.5329999999999995</v>
      </c>
      <c r="AA612" s="22">
        <v>8.532</v>
      </c>
      <c r="AB612" s="22">
        <v>8.6880000000000006</v>
      </c>
      <c r="AC612" s="22">
        <v>8.7309999999999999</v>
      </c>
      <c r="AD612" s="22">
        <v>8.657</v>
      </c>
      <c r="AE612" s="22">
        <v>8.5069999999999997</v>
      </c>
      <c r="AF612" s="22">
        <v>8.4169999999999998</v>
      </c>
      <c r="AG612" s="22">
        <v>8.4770000000000003</v>
      </c>
      <c r="AH612" s="6">
        <f t="shared" si="73"/>
        <v>8.4469999999999992</v>
      </c>
      <c r="AI612" s="27"/>
      <c r="AJ612" s="27"/>
      <c r="AK612" s="27"/>
      <c r="AL612" s="27"/>
      <c r="AM612" s="27"/>
      <c r="AN612" s="27"/>
      <c r="AO612" s="27"/>
      <c r="AP612" s="3"/>
      <c r="AQ612" s="8"/>
    </row>
    <row r="613" spans="1:43">
      <c r="A613" s="1">
        <f t="shared" si="71"/>
        <v>611</v>
      </c>
      <c r="B613" s="31"/>
      <c r="C613" s="1">
        <v>3</v>
      </c>
      <c r="D613" s="4">
        <f t="shared" si="68"/>
        <v>35</v>
      </c>
      <c r="E613" s="4" t="s">
        <v>244</v>
      </c>
      <c r="F613" s="4">
        <v>1</v>
      </c>
      <c r="G613" s="4" t="s">
        <v>11</v>
      </c>
      <c r="H613" s="4" t="s">
        <v>17</v>
      </c>
      <c r="I613" s="4"/>
      <c r="J613" s="13">
        <v>89.7</v>
      </c>
      <c r="K613" s="63">
        <v>0.51400000000000001</v>
      </c>
      <c r="L613" s="38">
        <v>9.8249999999999975</v>
      </c>
      <c r="M613" s="127" t="s">
        <v>216</v>
      </c>
      <c r="N613" s="4" t="s">
        <v>13</v>
      </c>
      <c r="O613" s="6">
        <v>9.8089999999999957</v>
      </c>
      <c r="P613" s="4" t="s">
        <v>7</v>
      </c>
      <c r="Q613" s="3"/>
      <c r="R613" s="22">
        <v>9.6199999999999992</v>
      </c>
      <c r="S613" s="22">
        <v>9.2840000000000007</v>
      </c>
      <c r="T613" s="22">
        <v>10.226000000000001</v>
      </c>
      <c r="U613" s="22">
        <v>9.5559999999999992</v>
      </c>
      <c r="V613" s="22">
        <v>10.003</v>
      </c>
      <c r="W613" s="22">
        <v>9.8390000000000004</v>
      </c>
      <c r="X613" s="22">
        <v>9.8290000000000006</v>
      </c>
      <c r="Y613" s="22">
        <v>9.8840000000000003</v>
      </c>
      <c r="Z613" s="22">
        <v>9.8059999999999992</v>
      </c>
      <c r="AA613" s="22">
        <v>9.8179999999999996</v>
      </c>
      <c r="AB613" s="22">
        <v>9.2810000000000006</v>
      </c>
      <c r="AC613" s="22">
        <v>9.5540000000000003</v>
      </c>
      <c r="AD613" s="22">
        <v>9.4649999999999999</v>
      </c>
      <c r="AE613" s="22">
        <v>9</v>
      </c>
      <c r="AF613" s="22">
        <v>8.9060000000000006</v>
      </c>
      <c r="AG613" s="22">
        <v>10.115</v>
      </c>
      <c r="AH613" s="6">
        <f t="shared" si="73"/>
        <v>9.5105000000000004</v>
      </c>
      <c r="AI613" s="27"/>
      <c r="AJ613" s="27"/>
      <c r="AK613" s="27"/>
      <c r="AL613" s="27"/>
      <c r="AM613" s="27"/>
      <c r="AN613" s="27"/>
      <c r="AO613" s="27"/>
      <c r="AP613" s="3"/>
      <c r="AQ613" s="8"/>
    </row>
    <row r="614" spans="1:43">
      <c r="A614" s="1">
        <f t="shared" si="71"/>
        <v>612</v>
      </c>
      <c r="B614" s="31"/>
      <c r="C614" s="1">
        <v>3</v>
      </c>
      <c r="D614" s="4">
        <f t="shared" si="68"/>
        <v>35</v>
      </c>
      <c r="E614" s="4" t="s">
        <v>244</v>
      </c>
      <c r="F614" s="4">
        <v>3</v>
      </c>
      <c r="G614" s="4" t="s">
        <v>11</v>
      </c>
      <c r="H614" s="4" t="s">
        <v>17</v>
      </c>
      <c r="I614" s="4"/>
      <c r="J614" s="13">
        <v>98.4</v>
      </c>
      <c r="K614" s="65"/>
      <c r="L614" s="38">
        <v>5.7779999999999996</v>
      </c>
      <c r="M614" s="127" t="s">
        <v>117</v>
      </c>
      <c r="N614" s="4" t="s">
        <v>13</v>
      </c>
      <c r="O614" s="6">
        <v>5.7960000000000003</v>
      </c>
      <c r="P614" s="4" t="s">
        <v>7</v>
      </c>
      <c r="Q614" s="3"/>
      <c r="R614" s="22">
        <v>6.3330000000000002</v>
      </c>
      <c r="S614" s="22">
        <v>6.1890000000000001</v>
      </c>
      <c r="T614" s="22">
        <v>6.2370000000000001</v>
      </c>
      <c r="U614" s="22">
        <v>5.6260000000000003</v>
      </c>
      <c r="V614" s="22">
        <v>5.657</v>
      </c>
      <c r="W614" s="46"/>
      <c r="X614" s="46"/>
      <c r="Y614" s="46"/>
      <c r="Z614" s="22">
        <v>5.81</v>
      </c>
      <c r="AA614" s="22">
        <v>5.7489999999999997</v>
      </c>
      <c r="AB614" s="22">
        <v>5.7039999999999997</v>
      </c>
      <c r="AC614" s="22">
        <v>5.8049999999999997</v>
      </c>
      <c r="AD614" s="22">
        <v>5.9489999999999998</v>
      </c>
      <c r="AE614" s="22">
        <v>5.5519999999999996</v>
      </c>
      <c r="AF614" s="22">
        <v>5.952</v>
      </c>
      <c r="AG614" s="22">
        <v>5.39</v>
      </c>
      <c r="AH614" s="6">
        <f>IF((AF614&lt;&gt;0)*AND(AG614&lt;&gt;0),AVERAGE(AF614:AG614),"")</f>
        <v>5.6709999999999994</v>
      </c>
      <c r="AI614" s="27"/>
      <c r="AJ614" s="27"/>
      <c r="AK614" s="27"/>
      <c r="AL614" s="27"/>
      <c r="AM614" s="27"/>
      <c r="AN614" s="27"/>
      <c r="AO614" s="27"/>
      <c r="AP614" s="3"/>
      <c r="AQ614" s="8"/>
    </row>
    <row r="615" spans="1:43">
      <c r="A615" s="1">
        <f t="shared" si="71"/>
        <v>613</v>
      </c>
      <c r="B615" s="31"/>
      <c r="C615" s="1">
        <v>3</v>
      </c>
      <c r="D615" s="4">
        <f t="shared" si="68"/>
        <v>35</v>
      </c>
      <c r="E615" s="4" t="s">
        <v>136</v>
      </c>
      <c r="F615" s="4">
        <v>3</v>
      </c>
      <c r="G615" s="4" t="s">
        <v>11</v>
      </c>
      <c r="H615" s="4" t="s">
        <v>17</v>
      </c>
      <c r="I615" s="4"/>
      <c r="J615" s="13">
        <v>98.1</v>
      </c>
      <c r="K615" s="65"/>
      <c r="L615" s="38">
        <v>6.4489999999999998</v>
      </c>
      <c r="M615" s="127" t="s">
        <v>117</v>
      </c>
      <c r="N615" s="4" t="s">
        <v>13</v>
      </c>
      <c r="O615" s="6">
        <v>6.4539999999999997</v>
      </c>
      <c r="P615" s="4" t="s">
        <v>7</v>
      </c>
      <c r="Q615" s="3"/>
      <c r="R615" s="22">
        <v>6.9829999999999997</v>
      </c>
      <c r="S615" s="22">
        <v>6.8140000000000001</v>
      </c>
      <c r="T615" s="22">
        <v>6.8710000000000004</v>
      </c>
      <c r="U615" s="22">
        <v>6.3460000000000001</v>
      </c>
      <c r="V615" s="22">
        <v>6.4089999999999998</v>
      </c>
      <c r="W615" s="46"/>
      <c r="X615" s="46"/>
      <c r="Y615" s="46"/>
      <c r="Z615" s="22">
        <v>6.4950000000000001</v>
      </c>
      <c r="AA615" s="22">
        <v>6.4370000000000003</v>
      </c>
      <c r="AB615" s="22">
        <v>6.6660000000000004</v>
      </c>
      <c r="AC615" s="22">
        <v>6.8780000000000001</v>
      </c>
      <c r="AD615" s="22">
        <v>6.8559999999999999</v>
      </c>
      <c r="AE615" s="22">
        <v>6.4589999999999996</v>
      </c>
      <c r="AF615" s="22">
        <v>6.5330000000000004</v>
      </c>
      <c r="AG615" s="22">
        <v>6.0830000000000002</v>
      </c>
      <c r="AH615" s="6">
        <f t="shared" si="73"/>
        <v>6.3079999999999998</v>
      </c>
      <c r="AI615" s="27"/>
      <c r="AJ615" s="27"/>
      <c r="AK615" s="27"/>
      <c r="AL615" s="27"/>
      <c r="AM615" s="27"/>
      <c r="AN615" s="27"/>
      <c r="AO615" s="27"/>
      <c r="AP615" s="3"/>
      <c r="AQ615" s="8"/>
    </row>
    <row r="616" spans="1:43">
      <c r="A616" s="1">
        <f t="shared" si="71"/>
        <v>614</v>
      </c>
      <c r="B616" s="31"/>
      <c r="C616" s="1">
        <v>3</v>
      </c>
      <c r="D616" s="4">
        <f t="shared" si="68"/>
        <v>35</v>
      </c>
      <c r="E616" s="4" t="s">
        <v>243</v>
      </c>
      <c r="F616" s="4">
        <v>3</v>
      </c>
      <c r="G616" s="4" t="s">
        <v>11</v>
      </c>
      <c r="H616" s="4" t="s">
        <v>17</v>
      </c>
      <c r="I616" s="4"/>
      <c r="J616" s="13">
        <v>97.6</v>
      </c>
      <c r="K616" s="65"/>
      <c r="L616" s="38">
        <v>6.8860000000000001</v>
      </c>
      <c r="M616" s="127" t="s">
        <v>117</v>
      </c>
      <c r="N616" s="4" t="s">
        <v>13</v>
      </c>
      <c r="O616" s="6">
        <v>6.8879999999999999</v>
      </c>
      <c r="P616" s="4" t="s">
        <v>7</v>
      </c>
      <c r="Q616" s="3"/>
      <c r="R616" s="22">
        <v>7.4610000000000003</v>
      </c>
      <c r="S616" s="22">
        <v>7.2839999999999998</v>
      </c>
      <c r="T616" s="22">
        <v>7.3390000000000004</v>
      </c>
      <c r="U616" s="22">
        <v>6.8739999999999997</v>
      </c>
      <c r="V616" s="22">
        <v>6.9260000000000002</v>
      </c>
      <c r="W616" s="46"/>
      <c r="X616" s="46"/>
      <c r="Y616" s="46"/>
      <c r="Z616" s="22">
        <v>6.9320000000000004</v>
      </c>
      <c r="AA616" s="22">
        <v>6.8840000000000003</v>
      </c>
      <c r="AB616" s="22">
        <v>7.03</v>
      </c>
      <c r="AC616" s="22">
        <v>7.2619999999999996</v>
      </c>
      <c r="AD616" s="22">
        <v>7.2670000000000003</v>
      </c>
      <c r="AE616" s="22">
        <v>6.7969999999999997</v>
      </c>
      <c r="AF616" s="22">
        <v>6.9669999999999996</v>
      </c>
      <c r="AG616" s="22">
        <v>6.5659999999999998</v>
      </c>
      <c r="AH616" s="6">
        <f t="shared" si="73"/>
        <v>6.7664999999999997</v>
      </c>
      <c r="AI616" s="27"/>
      <c r="AJ616" s="27"/>
      <c r="AK616" s="27"/>
      <c r="AL616" s="27"/>
      <c r="AM616" s="27"/>
      <c r="AN616" s="27"/>
      <c r="AO616" s="27"/>
      <c r="AP616" s="3"/>
      <c r="AQ616" s="8"/>
    </row>
    <row r="617" spans="1:43">
      <c r="A617" s="1">
        <f t="shared" si="71"/>
        <v>615</v>
      </c>
      <c r="B617" s="31"/>
      <c r="C617" s="1">
        <v>3</v>
      </c>
      <c r="D617" s="4">
        <f t="shared" si="68"/>
        <v>35</v>
      </c>
      <c r="E617" s="4" t="s">
        <v>242</v>
      </c>
      <c r="F617" s="4">
        <v>3</v>
      </c>
      <c r="G617" s="4" t="s">
        <v>14</v>
      </c>
      <c r="H617" s="4" t="s">
        <v>170</v>
      </c>
      <c r="I617" s="4"/>
      <c r="J617" s="13">
        <v>97.8</v>
      </c>
      <c r="K617" s="65"/>
      <c r="L617" s="38">
        <v>8.2129999999999992</v>
      </c>
      <c r="M617" s="127" t="s">
        <v>117</v>
      </c>
      <c r="N617" s="4" t="s">
        <v>13</v>
      </c>
      <c r="O617" s="6">
        <v>8.2390000000000008</v>
      </c>
      <c r="P617" s="4" t="s">
        <v>7</v>
      </c>
      <c r="Q617" s="3"/>
      <c r="R617" s="22">
        <v>8.3160000000000007</v>
      </c>
      <c r="S617" s="22">
        <v>8.2469999999999999</v>
      </c>
      <c r="T617" s="22">
        <v>8.5820000000000007</v>
      </c>
      <c r="U617" s="22">
        <v>8.1980000000000004</v>
      </c>
      <c r="V617" s="22">
        <v>8.2690000000000001</v>
      </c>
      <c r="W617" s="46"/>
      <c r="X617" s="46"/>
      <c r="Y617" s="46"/>
      <c r="Z617" s="22">
        <v>8.2189999999999994</v>
      </c>
      <c r="AA617" s="22">
        <v>8.2070000000000007</v>
      </c>
      <c r="AB617" s="22">
        <v>8.44</v>
      </c>
      <c r="AC617" s="22">
        <v>8.5039999999999996</v>
      </c>
      <c r="AD617" s="22">
        <v>8.4179999999999993</v>
      </c>
      <c r="AE617" s="22">
        <v>8.27</v>
      </c>
      <c r="AF617" s="22">
        <v>8.1329999999999991</v>
      </c>
      <c r="AG617" s="22">
        <v>8.1270000000000007</v>
      </c>
      <c r="AH617" s="6">
        <f t="shared" si="73"/>
        <v>8.129999999999999</v>
      </c>
      <c r="AI617" s="27"/>
      <c r="AJ617" s="27"/>
      <c r="AK617" s="27"/>
      <c r="AL617" s="27"/>
      <c r="AM617" s="27"/>
      <c r="AN617" s="27"/>
      <c r="AO617" s="27"/>
      <c r="AP617" s="3"/>
      <c r="AQ617" s="8"/>
    </row>
    <row r="618" spans="1:43">
      <c r="A618" s="1">
        <f t="shared" si="71"/>
        <v>616</v>
      </c>
      <c r="B618" s="31" t="s">
        <v>277</v>
      </c>
      <c r="C618" s="1">
        <v>2</v>
      </c>
      <c r="D618" s="4">
        <f t="shared" si="68"/>
        <v>12</v>
      </c>
      <c r="E618" s="4" t="s">
        <v>224</v>
      </c>
      <c r="F618" s="4">
        <v>1</v>
      </c>
      <c r="G618" s="4" t="s">
        <v>11</v>
      </c>
      <c r="H618" s="4" t="s">
        <v>12</v>
      </c>
      <c r="I618" s="4"/>
      <c r="J618" s="5">
        <v>93.2</v>
      </c>
      <c r="K618" s="63">
        <v>0</v>
      </c>
      <c r="L618" s="37">
        <v>1.7430000000000001</v>
      </c>
      <c r="M618" s="129" t="s">
        <v>220</v>
      </c>
      <c r="N618" s="1" t="s">
        <v>13</v>
      </c>
      <c r="O618" s="22">
        <v>1.7390000000000001</v>
      </c>
      <c r="P618" s="4" t="s">
        <v>7</v>
      </c>
      <c r="Q618" s="3" t="s">
        <v>205</v>
      </c>
      <c r="R618" s="22">
        <v>1.8029999999999999</v>
      </c>
      <c r="S618" s="42">
        <v>1.7410000000000001</v>
      </c>
      <c r="T618" s="42">
        <v>1.7390000000000001</v>
      </c>
      <c r="U618" s="42">
        <v>1.571</v>
      </c>
      <c r="V618" s="42">
        <v>1.756</v>
      </c>
      <c r="W618" s="42">
        <v>1.738</v>
      </c>
      <c r="X618" s="22">
        <v>1.74</v>
      </c>
      <c r="Y618" s="22">
        <v>1.746</v>
      </c>
      <c r="Z618" s="22">
        <v>1.7470000000000001</v>
      </c>
      <c r="AA618" s="22">
        <v>1.7370000000000001</v>
      </c>
      <c r="AB618" s="6">
        <v>1.875</v>
      </c>
      <c r="AC618" s="6">
        <v>1.9330000000000001</v>
      </c>
      <c r="AD618" s="6">
        <v>1.869</v>
      </c>
      <c r="AE618" s="6">
        <v>1.6759999999999999</v>
      </c>
      <c r="AF618" s="6">
        <v>1.6759999999999999</v>
      </c>
      <c r="AG618" s="6">
        <v>1.4950000000000001</v>
      </c>
      <c r="AH618" s="6">
        <f t="shared" si="72"/>
        <v>1.5855000000000001</v>
      </c>
      <c r="AI618" s="9"/>
      <c r="AJ618" s="9"/>
      <c r="AK618" s="9"/>
      <c r="AL618" s="9"/>
      <c r="AM618" s="9"/>
      <c r="AN618" s="9"/>
      <c r="AO618" s="9"/>
      <c r="AP618" s="3"/>
      <c r="AQ618" s="8"/>
    </row>
    <row r="619" spans="1:43">
      <c r="A619" s="1">
        <f t="shared" si="71"/>
        <v>617</v>
      </c>
      <c r="B619" s="31"/>
      <c r="C619" s="1">
        <v>2</v>
      </c>
      <c r="D619" s="4">
        <f t="shared" si="68"/>
        <v>12</v>
      </c>
      <c r="E619" s="4" t="s">
        <v>229</v>
      </c>
      <c r="F619" s="4">
        <v>1</v>
      </c>
      <c r="G619" s="4" t="s">
        <v>11</v>
      </c>
      <c r="H619" s="4" t="s">
        <v>121</v>
      </c>
      <c r="I619" s="4" t="s">
        <v>321</v>
      </c>
      <c r="J619" s="5">
        <v>0.3</v>
      </c>
      <c r="K619" s="63">
        <v>0</v>
      </c>
      <c r="L619" s="37">
        <v>4.3330000000000002</v>
      </c>
      <c r="M619" s="129" t="s">
        <v>103</v>
      </c>
      <c r="N619" s="1" t="s">
        <v>13</v>
      </c>
      <c r="O619" s="22">
        <v>4.3109999999999999</v>
      </c>
      <c r="P619" s="4" t="s">
        <v>7</v>
      </c>
      <c r="Q619" s="3" t="s">
        <v>205</v>
      </c>
      <c r="R619" s="46"/>
      <c r="S619" s="46"/>
      <c r="T619" s="46"/>
      <c r="U619" s="46"/>
      <c r="V619" s="46"/>
      <c r="W619" s="46"/>
      <c r="X619" s="46"/>
      <c r="Y619" s="22">
        <v>5.5060000000000002</v>
      </c>
      <c r="Z619" s="22">
        <v>5.2569999999999997</v>
      </c>
      <c r="AA619" s="22">
        <v>4.7850000000000001</v>
      </c>
      <c r="AB619" s="46"/>
      <c r="AC619" s="46"/>
      <c r="AD619" s="46"/>
      <c r="AE619" s="46"/>
      <c r="AF619" s="46"/>
      <c r="AG619" s="6">
        <v>2.5489999999999999</v>
      </c>
      <c r="AH619" s="46"/>
      <c r="AI619" s="22">
        <v>4.67</v>
      </c>
      <c r="AJ619" s="22">
        <v>4.3659999999999997</v>
      </c>
      <c r="AK619" s="22">
        <v>4.3579999999999997</v>
      </c>
      <c r="AL619" s="22">
        <v>4.3639999999999999</v>
      </c>
      <c r="AM619" s="22">
        <v>4.3609999999999998</v>
      </c>
      <c r="AN619" s="22">
        <v>4.3979999999999997</v>
      </c>
      <c r="AO619" s="22">
        <v>4.3710000000000004</v>
      </c>
      <c r="AP619" s="3"/>
      <c r="AQ619" s="8"/>
    </row>
    <row r="620" spans="1:43">
      <c r="A620" s="1">
        <f t="shared" si="71"/>
        <v>618</v>
      </c>
      <c r="B620" s="31"/>
      <c r="C620" s="1">
        <v>2</v>
      </c>
      <c r="D620" s="4">
        <f t="shared" si="68"/>
        <v>12</v>
      </c>
      <c r="E620" s="4" t="s">
        <v>229</v>
      </c>
      <c r="F620" s="4">
        <v>1</v>
      </c>
      <c r="G620" s="4" t="s">
        <v>14</v>
      </c>
      <c r="H620" s="4" t="s">
        <v>170</v>
      </c>
      <c r="I620" s="4"/>
      <c r="J620" s="5">
        <v>92.4</v>
      </c>
      <c r="K620" s="42">
        <v>3.7999999999999999E-2</v>
      </c>
      <c r="L620" s="37">
        <v>6.2709999999999999</v>
      </c>
      <c r="M620" s="129" t="s">
        <v>220</v>
      </c>
      <c r="N620" s="1" t="s">
        <v>13</v>
      </c>
      <c r="O620" s="22">
        <v>6.319</v>
      </c>
      <c r="P620" s="4" t="s">
        <v>7</v>
      </c>
      <c r="Q620" s="3" t="s">
        <v>205</v>
      </c>
      <c r="R620" s="22">
        <v>5.8129999999999997</v>
      </c>
      <c r="S620" s="42">
        <v>5.7169999999999996</v>
      </c>
      <c r="T620" s="42">
        <v>6.3289999999999997</v>
      </c>
      <c r="U620" s="42">
        <v>6.2789999999999999</v>
      </c>
      <c r="V620" s="42">
        <v>6.31</v>
      </c>
      <c r="W620" s="42">
        <v>6.25</v>
      </c>
      <c r="X620" s="42">
        <v>6.2539999999999996</v>
      </c>
      <c r="Y620" s="22">
        <v>6.2910000000000004</v>
      </c>
      <c r="Z620" s="22">
        <v>6.2560000000000002</v>
      </c>
      <c r="AA620" s="22">
        <v>6.2489999999999997</v>
      </c>
      <c r="AB620" s="6">
        <v>6.2709999999999999</v>
      </c>
      <c r="AC620" s="6">
        <v>6.2469999999999999</v>
      </c>
      <c r="AD620" s="6">
        <v>6.0709999999999997</v>
      </c>
      <c r="AE620" s="6">
        <v>6.0880000000000001</v>
      </c>
      <c r="AF620" s="6">
        <v>5.73</v>
      </c>
      <c r="AG620" s="6">
        <v>6.4189999999999996</v>
      </c>
      <c r="AH620" s="6">
        <f t="shared" si="72"/>
        <v>6.0745000000000005</v>
      </c>
      <c r="AI620" s="9"/>
      <c r="AJ620" s="9"/>
      <c r="AK620" s="9"/>
      <c r="AL620" s="9"/>
      <c r="AM620" s="9"/>
      <c r="AN620" s="9"/>
      <c r="AO620" s="9"/>
      <c r="AP620" s="3"/>
      <c r="AQ620" s="8"/>
    </row>
    <row r="621" spans="1:43">
      <c r="A621" s="1">
        <f t="shared" si="71"/>
        <v>619</v>
      </c>
      <c r="B621" s="31"/>
      <c r="C621" s="1">
        <v>2</v>
      </c>
      <c r="D621" s="4">
        <f t="shared" si="68"/>
        <v>12</v>
      </c>
      <c r="E621" s="4" t="s">
        <v>225</v>
      </c>
      <c r="F621" s="4">
        <v>3</v>
      </c>
      <c r="G621" s="4" t="s">
        <v>11</v>
      </c>
      <c r="H621" s="4" t="s">
        <v>12</v>
      </c>
      <c r="I621" s="4"/>
      <c r="J621" s="5">
        <v>99.2</v>
      </c>
      <c r="K621" s="65"/>
      <c r="L621" s="37">
        <v>0.88100000000000001</v>
      </c>
      <c r="M621" s="129" t="s">
        <v>117</v>
      </c>
      <c r="N621" s="1" t="s">
        <v>13</v>
      </c>
      <c r="O621" s="22">
        <v>0.88900000000000001</v>
      </c>
      <c r="P621" s="4" t="s">
        <v>7</v>
      </c>
      <c r="Q621" s="3" t="s">
        <v>205</v>
      </c>
      <c r="R621" s="22">
        <v>0.90900000000000003</v>
      </c>
      <c r="S621" s="6">
        <v>0.83499999999999996</v>
      </c>
      <c r="T621" s="42">
        <v>0.84299999999999997</v>
      </c>
      <c r="U621" s="42">
        <v>0.76500000000000001</v>
      </c>
      <c r="V621" s="42">
        <v>0.85399999999999998</v>
      </c>
      <c r="W621" s="46"/>
      <c r="X621" s="46"/>
      <c r="Y621" s="46"/>
      <c r="Z621" s="22">
        <v>0.88100000000000001</v>
      </c>
      <c r="AA621" s="22">
        <v>0.876</v>
      </c>
      <c r="AB621" s="6">
        <v>1.081</v>
      </c>
      <c r="AC621" s="6">
        <v>1.1339999999999999</v>
      </c>
      <c r="AD621" s="6">
        <v>1.034</v>
      </c>
      <c r="AE621" s="6">
        <v>0.91</v>
      </c>
      <c r="AF621" s="6">
        <v>0.77800000000000002</v>
      </c>
      <c r="AG621" s="6">
        <v>0.59199999999999997</v>
      </c>
      <c r="AH621" s="6">
        <f t="shared" si="72"/>
        <v>0.68500000000000005</v>
      </c>
      <c r="AI621" s="9"/>
      <c r="AJ621" s="9"/>
      <c r="AK621" s="9"/>
      <c r="AL621" s="9"/>
      <c r="AM621" s="9"/>
      <c r="AN621" s="9"/>
      <c r="AO621" s="9"/>
      <c r="AP621" s="3"/>
      <c r="AQ621" s="8"/>
    </row>
    <row r="622" spans="1:43">
      <c r="A622" s="1">
        <f t="shared" si="71"/>
        <v>620</v>
      </c>
      <c r="B622" s="31"/>
      <c r="C622" s="1">
        <v>2</v>
      </c>
      <c r="D622" s="4">
        <f t="shared" si="68"/>
        <v>12</v>
      </c>
      <c r="E622" s="4" t="s">
        <v>230</v>
      </c>
      <c r="F622" s="4">
        <v>3</v>
      </c>
      <c r="G622" s="4" t="s">
        <v>11</v>
      </c>
      <c r="H622" s="4" t="s">
        <v>17</v>
      </c>
      <c r="I622" s="4"/>
      <c r="J622" s="5">
        <v>98.5</v>
      </c>
      <c r="K622" s="65"/>
      <c r="L622" s="37">
        <v>5.6040000000000001</v>
      </c>
      <c r="M622" s="129" t="s">
        <v>117</v>
      </c>
      <c r="N622" s="1" t="s">
        <v>13</v>
      </c>
      <c r="O622" s="22">
        <v>5.6150000000000002</v>
      </c>
      <c r="P622" s="4" t="s">
        <v>7</v>
      </c>
      <c r="Q622" s="3" t="s">
        <v>205</v>
      </c>
      <c r="R622" s="22">
        <v>5.899</v>
      </c>
      <c r="S622" s="6">
        <v>5.91</v>
      </c>
      <c r="T622" s="6">
        <v>5.7279999999999998</v>
      </c>
      <c r="U622" s="42">
        <v>5.2469999999999999</v>
      </c>
      <c r="V622" s="42">
        <v>5.4870000000000001</v>
      </c>
      <c r="W622" s="46"/>
      <c r="X622" s="46"/>
      <c r="Y622" s="46"/>
      <c r="Z622" s="22">
        <v>5.5880000000000001</v>
      </c>
      <c r="AA622" s="22">
        <v>5.5860000000000003</v>
      </c>
      <c r="AB622" s="6">
        <v>5.5940000000000003</v>
      </c>
      <c r="AC622" s="6">
        <v>5.6340000000000003</v>
      </c>
      <c r="AD622" s="6">
        <v>5.73</v>
      </c>
      <c r="AE622" s="6">
        <v>5.4889999999999999</v>
      </c>
      <c r="AF622" s="6">
        <v>5.835</v>
      </c>
      <c r="AG622" s="6">
        <v>5.0759999999999996</v>
      </c>
      <c r="AH622" s="6">
        <f t="shared" si="72"/>
        <v>5.4554999999999998</v>
      </c>
      <c r="AI622" s="9"/>
      <c r="AJ622" s="9"/>
      <c r="AK622" s="9"/>
      <c r="AL622" s="9"/>
      <c r="AM622" s="9"/>
      <c r="AN622" s="9"/>
      <c r="AO622" s="9"/>
      <c r="AP622" s="3"/>
      <c r="AQ622" s="8"/>
    </row>
    <row r="623" spans="1:43">
      <c r="A623" s="1">
        <f t="shared" si="71"/>
        <v>621</v>
      </c>
      <c r="B623" s="31" t="s">
        <v>176</v>
      </c>
      <c r="C623" s="1">
        <v>8</v>
      </c>
      <c r="D623" s="4">
        <f t="shared" si="68"/>
        <v>69</v>
      </c>
      <c r="E623" s="4" t="s">
        <v>223</v>
      </c>
      <c r="F623" s="4">
        <v>1</v>
      </c>
      <c r="G623" s="4" t="s">
        <v>11</v>
      </c>
      <c r="H623" s="4" t="s">
        <v>17</v>
      </c>
      <c r="I623" s="4"/>
      <c r="J623" s="5">
        <v>91.5</v>
      </c>
      <c r="K623" s="63">
        <v>1.5569999999999999</v>
      </c>
      <c r="L623" s="37">
        <v>4.7789999999999999</v>
      </c>
      <c r="M623" s="129" t="s">
        <v>113</v>
      </c>
      <c r="N623" s="1" t="s">
        <v>13</v>
      </c>
      <c r="O623" s="71"/>
      <c r="P623" s="23"/>
      <c r="Q623" s="3" t="s">
        <v>205</v>
      </c>
      <c r="R623" s="22">
        <v>4.6929999999999996</v>
      </c>
      <c r="S623" s="22">
        <v>4.5739999999999998</v>
      </c>
      <c r="T623" s="6">
        <v>4.8659999999999997</v>
      </c>
      <c r="U623" s="22">
        <v>4.7969999999999997</v>
      </c>
      <c r="V623" s="22">
        <v>4.8780000000000001</v>
      </c>
      <c r="W623" s="22">
        <v>4.7489999999999997</v>
      </c>
      <c r="X623" s="22">
        <v>4.7430000000000003</v>
      </c>
      <c r="Y623" s="22">
        <v>4.7750000000000004</v>
      </c>
      <c r="Z623" s="6">
        <v>4.7460000000000004</v>
      </c>
      <c r="AA623" s="46"/>
      <c r="AB623" s="6">
        <v>4.7990000000000004</v>
      </c>
      <c r="AC623" s="6">
        <v>4.8499999999999996</v>
      </c>
      <c r="AD623" s="6">
        <v>4.7590000000000003</v>
      </c>
      <c r="AE623" s="22">
        <v>4.6239999999999997</v>
      </c>
      <c r="AF623" s="22">
        <v>4.5190000000000001</v>
      </c>
      <c r="AG623" s="22">
        <v>4.5250000000000004</v>
      </c>
      <c r="AH623" s="6">
        <f t="shared" si="72"/>
        <v>4.5220000000000002</v>
      </c>
      <c r="AI623" s="9"/>
      <c r="AJ623" s="9"/>
      <c r="AK623" s="9"/>
      <c r="AL623" s="9"/>
      <c r="AM623" s="9"/>
      <c r="AN623" s="9"/>
      <c r="AO623" s="9"/>
      <c r="AP623" s="3"/>
      <c r="AQ623" s="8"/>
    </row>
    <row r="624" spans="1:43">
      <c r="A624" s="1">
        <f t="shared" si="71"/>
        <v>622</v>
      </c>
      <c r="B624" s="31"/>
      <c r="C624" s="1">
        <v>8</v>
      </c>
      <c r="D624" s="4">
        <f t="shared" si="68"/>
        <v>69</v>
      </c>
      <c r="E624" s="4" t="s">
        <v>120</v>
      </c>
      <c r="F624" s="4">
        <v>1</v>
      </c>
      <c r="G624" s="4" t="s">
        <v>11</v>
      </c>
      <c r="H624" s="4" t="s">
        <v>17</v>
      </c>
      <c r="I624" s="4" t="s">
        <v>320</v>
      </c>
      <c r="J624" s="5">
        <v>63.7</v>
      </c>
      <c r="K624" s="65"/>
      <c r="L624" s="50">
        <v>4.68</v>
      </c>
      <c r="M624" s="127" t="s">
        <v>564</v>
      </c>
      <c r="N624" s="25" t="s">
        <v>111</v>
      </c>
      <c r="O624" s="71"/>
      <c r="P624" s="23"/>
      <c r="Q624" s="3" t="s">
        <v>205</v>
      </c>
      <c r="R624" s="22">
        <v>6.3579999999999997</v>
      </c>
      <c r="S624" s="22">
        <v>5.8019999999999996</v>
      </c>
      <c r="T624" s="6">
        <v>6.1619999999999999</v>
      </c>
      <c r="U624" s="46"/>
      <c r="V624" s="22">
        <v>6.0309999999999997</v>
      </c>
      <c r="W624" s="22">
        <v>5.5339999999999998</v>
      </c>
      <c r="X624" s="22">
        <v>5.5039999999999996</v>
      </c>
      <c r="Y624" s="22">
        <v>5.242</v>
      </c>
      <c r="Z624" s="6">
        <v>5.0419999999999998</v>
      </c>
      <c r="AA624" s="46"/>
      <c r="AB624" s="6">
        <v>6.2949999999999999</v>
      </c>
      <c r="AC624" s="6">
        <v>6.2809999999999997</v>
      </c>
      <c r="AD624" s="6">
        <v>6.1210000000000004</v>
      </c>
      <c r="AE624" s="22">
        <v>6.077</v>
      </c>
      <c r="AF624" s="22">
        <v>5.8739999999999997</v>
      </c>
      <c r="AG624" s="22">
        <v>3.9119999999999999</v>
      </c>
      <c r="AH624" s="6">
        <f t="shared" si="72"/>
        <v>4.8929999999999998</v>
      </c>
      <c r="AI624" s="42">
        <v>4.8789999999999996</v>
      </c>
      <c r="AJ624" s="42">
        <v>4.7409999999999997</v>
      </c>
      <c r="AK624" s="42">
        <v>4.3259999999999996</v>
      </c>
      <c r="AL624" s="42">
        <v>4.7510000000000003</v>
      </c>
      <c r="AM624" s="42">
        <v>4.68</v>
      </c>
      <c r="AN624" s="42">
        <v>4.8140000000000001</v>
      </c>
      <c r="AO624" s="42">
        <v>4.7830000000000004</v>
      </c>
      <c r="AP624" s="3"/>
      <c r="AQ624" s="8"/>
    </row>
    <row r="625" spans="1:43">
      <c r="A625" s="1">
        <f t="shared" si="71"/>
        <v>623</v>
      </c>
      <c r="B625" s="31"/>
      <c r="C625" s="1">
        <v>8</v>
      </c>
      <c r="D625" s="4">
        <f t="shared" si="68"/>
        <v>69</v>
      </c>
      <c r="E625" s="4" t="s">
        <v>177</v>
      </c>
      <c r="F625" s="4">
        <v>3</v>
      </c>
      <c r="G625" s="4" t="s">
        <v>11</v>
      </c>
      <c r="H625" s="4" t="s">
        <v>17</v>
      </c>
      <c r="I625" s="4"/>
      <c r="J625" s="5">
        <v>97.5</v>
      </c>
      <c r="K625" s="65"/>
      <c r="L625" s="37">
        <v>2.3559999999999999</v>
      </c>
      <c r="M625" s="129" t="s">
        <v>113</v>
      </c>
      <c r="N625" s="1" t="s">
        <v>13</v>
      </c>
      <c r="O625" s="71"/>
      <c r="P625" s="23"/>
      <c r="Q625" s="3" t="s">
        <v>205</v>
      </c>
      <c r="R625" s="22">
        <v>2.64</v>
      </c>
      <c r="S625" s="22">
        <v>2.4710000000000001</v>
      </c>
      <c r="T625" s="6">
        <v>2.5230000000000001</v>
      </c>
      <c r="U625" s="6">
        <v>2.149</v>
      </c>
      <c r="V625" s="22">
        <v>2.3119999999999998</v>
      </c>
      <c r="W625" s="46"/>
      <c r="X625" s="46"/>
      <c r="Y625" s="46"/>
      <c r="Z625" s="6">
        <v>2.36</v>
      </c>
      <c r="AA625" s="46"/>
      <c r="AB625" s="6">
        <v>2.6520000000000001</v>
      </c>
      <c r="AC625" s="6">
        <v>2.653</v>
      </c>
      <c r="AD625" s="6">
        <v>2.5939999999999999</v>
      </c>
      <c r="AE625" s="22">
        <v>2.5230000000000001</v>
      </c>
      <c r="AF625" s="22">
        <v>2.492</v>
      </c>
      <c r="AG625" s="22">
        <v>2.0609999999999999</v>
      </c>
      <c r="AH625" s="6">
        <f t="shared" si="72"/>
        <v>2.2765</v>
      </c>
      <c r="AI625" s="9"/>
      <c r="AJ625" s="9"/>
      <c r="AK625" s="9"/>
      <c r="AL625" s="9"/>
      <c r="AM625" s="9"/>
      <c r="AN625" s="9"/>
      <c r="AO625" s="9"/>
      <c r="AP625" s="3"/>
      <c r="AQ625" s="8"/>
    </row>
    <row r="626" spans="1:43">
      <c r="A626" s="1">
        <f t="shared" si="71"/>
        <v>624</v>
      </c>
      <c r="B626" s="31"/>
      <c r="C626" s="1">
        <v>8</v>
      </c>
      <c r="D626" s="4">
        <f t="shared" si="68"/>
        <v>69</v>
      </c>
      <c r="E626" s="4" t="s">
        <v>169</v>
      </c>
      <c r="F626" s="4">
        <v>3</v>
      </c>
      <c r="G626" s="4" t="s">
        <v>11</v>
      </c>
      <c r="H626" s="4" t="s">
        <v>17</v>
      </c>
      <c r="I626" s="4"/>
      <c r="J626" s="5">
        <v>98</v>
      </c>
      <c r="K626" s="65"/>
      <c r="L626" s="37">
        <v>3.7229999999999999</v>
      </c>
      <c r="M626" s="129" t="s">
        <v>113</v>
      </c>
      <c r="N626" s="1" t="s">
        <v>13</v>
      </c>
      <c r="O626" s="71"/>
      <c r="P626" s="23"/>
      <c r="Q626" s="3" t="s">
        <v>205</v>
      </c>
      <c r="R626" s="22">
        <v>3.923</v>
      </c>
      <c r="S626" s="22">
        <v>3.8260000000000001</v>
      </c>
      <c r="T626" s="6">
        <v>3.774</v>
      </c>
      <c r="U626" s="6">
        <v>3.556</v>
      </c>
      <c r="V626" s="22">
        <v>3.677</v>
      </c>
      <c r="W626" s="46"/>
      <c r="X626" s="46"/>
      <c r="Y626" s="46"/>
      <c r="Z626" s="6">
        <v>3.7250000000000001</v>
      </c>
      <c r="AA626" s="46"/>
      <c r="AB626" s="6">
        <v>3.83</v>
      </c>
      <c r="AC626" s="6">
        <v>3.8330000000000002</v>
      </c>
      <c r="AD626" s="6">
        <v>3.831</v>
      </c>
      <c r="AE626" s="22">
        <v>3.7149999999999999</v>
      </c>
      <c r="AF626" s="22">
        <v>3.8140000000000001</v>
      </c>
      <c r="AG626" s="22">
        <v>3.4159999999999999</v>
      </c>
      <c r="AH626" s="6">
        <f t="shared" si="72"/>
        <v>3.6150000000000002</v>
      </c>
      <c r="AI626" s="9"/>
      <c r="AJ626" s="9"/>
      <c r="AK626" s="9"/>
      <c r="AL626" s="9"/>
      <c r="AM626" s="9"/>
      <c r="AN626" s="9"/>
      <c r="AO626" s="9"/>
      <c r="AP626" s="3"/>
      <c r="AQ626" s="8"/>
    </row>
    <row r="627" spans="1:43">
      <c r="A627" s="1">
        <f t="shared" si="71"/>
        <v>625</v>
      </c>
      <c r="B627" s="31" t="s">
        <v>327</v>
      </c>
      <c r="C627" s="1">
        <v>6</v>
      </c>
      <c r="D627" s="4">
        <f t="shared" si="68"/>
        <v>69</v>
      </c>
      <c r="E627" s="4" t="s">
        <v>150</v>
      </c>
      <c r="F627" s="4">
        <v>1</v>
      </c>
      <c r="G627" s="4" t="s">
        <v>11</v>
      </c>
      <c r="H627" s="4" t="s">
        <v>12</v>
      </c>
      <c r="I627" s="4"/>
      <c r="J627" s="5">
        <v>90.7</v>
      </c>
      <c r="K627" s="63">
        <v>0</v>
      </c>
      <c r="L627" s="37">
        <v>4.593</v>
      </c>
      <c r="M627" s="127" t="s">
        <v>212</v>
      </c>
      <c r="N627" s="1" t="s">
        <v>13</v>
      </c>
      <c r="O627" s="89">
        <v>4.5969999999999978</v>
      </c>
      <c r="P627" s="4" t="s">
        <v>7</v>
      </c>
      <c r="Q627" s="3"/>
      <c r="R627" s="74">
        <v>4.6550000000000002</v>
      </c>
      <c r="S627" s="74">
        <v>4.6360000000000001</v>
      </c>
      <c r="T627" s="74">
        <v>4.7779999999999996</v>
      </c>
      <c r="U627" s="1">
        <v>4.4829999999999997</v>
      </c>
      <c r="V627" s="74">
        <v>4.6989999999999998</v>
      </c>
      <c r="W627" s="74">
        <v>4.6379999999999999</v>
      </c>
      <c r="X627" s="74">
        <v>4.6369999999999996</v>
      </c>
      <c r="Y627" s="74">
        <v>4.6269999999999998</v>
      </c>
      <c r="Z627" s="74">
        <v>4.5990000000000002</v>
      </c>
      <c r="AA627" s="22">
        <v>4.5839999999999996</v>
      </c>
      <c r="AB627" s="74">
        <v>4.6980000000000004</v>
      </c>
      <c r="AC627" s="74">
        <v>4.8620000000000001</v>
      </c>
      <c r="AD627" s="74">
        <v>4.79</v>
      </c>
      <c r="AE627" s="74">
        <v>4.4610000000000003</v>
      </c>
      <c r="AF627" s="74">
        <v>4.4480000000000004</v>
      </c>
      <c r="AG627" s="74">
        <v>4.633</v>
      </c>
      <c r="AH627" s="73">
        <f t="shared" si="72"/>
        <v>4.5404999999999998</v>
      </c>
      <c r="AI627" s="9"/>
      <c r="AJ627" s="9"/>
      <c r="AK627" s="9"/>
      <c r="AL627" s="9"/>
      <c r="AM627" s="9"/>
      <c r="AN627" s="9"/>
      <c r="AO627" s="9"/>
      <c r="AP627" s="3"/>
      <c r="AQ627" s="8"/>
    </row>
    <row r="628" spans="1:43">
      <c r="A628" s="1">
        <f t="shared" si="71"/>
        <v>626</v>
      </c>
      <c r="B628" s="31"/>
      <c r="C628" s="1">
        <v>6</v>
      </c>
      <c r="D628" s="4">
        <f t="shared" si="68"/>
        <v>69</v>
      </c>
      <c r="E628" s="4" t="s">
        <v>219</v>
      </c>
      <c r="F628" s="4">
        <v>1</v>
      </c>
      <c r="G628" s="4" t="s">
        <v>11</v>
      </c>
      <c r="H628" s="4" t="s">
        <v>12</v>
      </c>
      <c r="I628" s="4"/>
      <c r="J628" s="5">
        <v>89.1</v>
      </c>
      <c r="K628" s="65"/>
      <c r="L628" s="37">
        <v>5.931</v>
      </c>
      <c r="M628" s="127" t="s">
        <v>212</v>
      </c>
      <c r="N628" s="1" t="s">
        <v>13</v>
      </c>
      <c r="O628" s="89">
        <v>5.9339999999999984</v>
      </c>
      <c r="P628" s="4" t="s">
        <v>7</v>
      </c>
      <c r="Q628" s="3"/>
      <c r="R628" s="74">
        <v>6.0759999999999996</v>
      </c>
      <c r="S628" s="74">
        <v>6.1150000000000002</v>
      </c>
      <c r="T628" s="74">
        <v>6.0960000000000001</v>
      </c>
      <c r="U628" s="1">
        <v>5.8390000000000004</v>
      </c>
      <c r="V628" s="74">
        <v>6.069</v>
      </c>
      <c r="W628" s="74">
        <v>6.0060000000000002</v>
      </c>
      <c r="X628" s="74">
        <v>6.0030000000000001</v>
      </c>
      <c r="Y628" s="74">
        <v>6.0060000000000002</v>
      </c>
      <c r="Z628" s="74">
        <v>5.9560000000000004</v>
      </c>
      <c r="AA628" s="22">
        <v>5.93</v>
      </c>
      <c r="AB628" s="74">
        <v>6.0259999999999998</v>
      </c>
      <c r="AC628" s="74">
        <v>6.2370000000000001</v>
      </c>
      <c r="AD628" s="74">
        <v>6.2</v>
      </c>
      <c r="AE628" s="74">
        <v>5.7960000000000003</v>
      </c>
      <c r="AF628" s="74">
        <v>5.8680000000000003</v>
      </c>
      <c r="AG628" s="74">
        <v>5.9710000000000001</v>
      </c>
      <c r="AH628" s="73">
        <f t="shared" si="72"/>
        <v>5.9195000000000002</v>
      </c>
      <c r="AI628" s="9"/>
      <c r="AJ628" s="9"/>
      <c r="AK628" s="9"/>
      <c r="AL628" s="9"/>
      <c r="AM628" s="9"/>
      <c r="AN628" s="9"/>
      <c r="AO628" s="9"/>
      <c r="AP628" s="3"/>
      <c r="AQ628" s="8"/>
    </row>
    <row r="629" spans="1:43">
      <c r="A629" s="1">
        <f t="shared" si="71"/>
        <v>627</v>
      </c>
      <c r="B629" s="31"/>
      <c r="C629" s="1">
        <v>6</v>
      </c>
      <c r="D629" s="4">
        <f t="shared" si="68"/>
        <v>69</v>
      </c>
      <c r="E629" s="4" t="s">
        <v>150</v>
      </c>
      <c r="F629" s="4">
        <v>1</v>
      </c>
      <c r="G629" s="4" t="s">
        <v>11</v>
      </c>
      <c r="H629" s="4" t="s">
        <v>12</v>
      </c>
      <c r="I629" s="4"/>
      <c r="J629" s="5">
        <v>89.9</v>
      </c>
      <c r="K629" s="63">
        <v>1E-3</v>
      </c>
      <c r="L629" s="37">
        <v>7.9269999999999996</v>
      </c>
      <c r="M629" s="127" t="s">
        <v>212</v>
      </c>
      <c r="N629" s="1" t="s">
        <v>13</v>
      </c>
      <c r="O629" s="89">
        <v>7.9359999999999991</v>
      </c>
      <c r="P629" s="4" t="s">
        <v>7</v>
      </c>
      <c r="Q629" s="3"/>
      <c r="R629" s="74">
        <v>8.1240000000000006</v>
      </c>
      <c r="S629" s="74">
        <v>7.6950000000000003</v>
      </c>
      <c r="T629" s="74">
        <v>8.2560000000000002</v>
      </c>
      <c r="U629" s="1">
        <v>7.806</v>
      </c>
      <c r="V629" s="74">
        <v>8.16</v>
      </c>
      <c r="W629" s="74">
        <v>7.9770000000000003</v>
      </c>
      <c r="X629" s="74">
        <v>7.9710000000000001</v>
      </c>
      <c r="Y629" s="74">
        <v>7.9640000000000004</v>
      </c>
      <c r="Z629" s="74">
        <v>7.8890000000000002</v>
      </c>
      <c r="AA629" s="22">
        <v>7.9029999999999996</v>
      </c>
      <c r="AB629" s="74">
        <v>8.1300000000000008</v>
      </c>
      <c r="AC629" s="74">
        <v>8.2390000000000008</v>
      </c>
      <c r="AD629" s="74">
        <v>8.0630000000000006</v>
      </c>
      <c r="AE629" s="74">
        <v>7.8520000000000003</v>
      </c>
      <c r="AF629" s="74">
        <v>7.585</v>
      </c>
      <c r="AG629" s="74">
        <v>8.2929999999999993</v>
      </c>
      <c r="AH629" s="73">
        <f t="shared" si="72"/>
        <v>7.9390000000000001</v>
      </c>
      <c r="AI629" s="9"/>
      <c r="AJ629" s="9"/>
      <c r="AK629" s="9"/>
      <c r="AL629" s="9"/>
      <c r="AM629" s="9"/>
      <c r="AN629" s="9"/>
      <c r="AO629" s="9"/>
      <c r="AP629" s="3"/>
      <c r="AQ629" s="8"/>
    </row>
    <row r="630" spans="1:43">
      <c r="A630" s="1">
        <f t="shared" si="71"/>
        <v>628</v>
      </c>
      <c r="B630" s="31"/>
      <c r="C630" s="1">
        <v>6</v>
      </c>
      <c r="D630" s="4">
        <f t="shared" si="68"/>
        <v>69</v>
      </c>
      <c r="E630" s="4" t="s">
        <v>223</v>
      </c>
      <c r="F630" s="4">
        <v>1</v>
      </c>
      <c r="G630" s="4" t="s">
        <v>11</v>
      </c>
      <c r="H630" s="4" t="s">
        <v>17</v>
      </c>
      <c r="I630" s="4"/>
      <c r="J630" s="5">
        <v>88.8</v>
      </c>
      <c r="K630" s="63">
        <v>0.23799999999999999</v>
      </c>
      <c r="L630" s="37">
        <v>8.2949999999999999</v>
      </c>
      <c r="M630" s="127" t="s">
        <v>212</v>
      </c>
      <c r="N630" s="1" t="s">
        <v>13</v>
      </c>
      <c r="O630" s="89">
        <v>8.2960000000000029</v>
      </c>
      <c r="P630" s="4" t="s">
        <v>7</v>
      </c>
      <c r="Q630" s="3"/>
      <c r="R630" s="74">
        <v>8.6630000000000003</v>
      </c>
      <c r="S630" s="74">
        <v>8.42</v>
      </c>
      <c r="T630" s="74">
        <v>8.6340000000000003</v>
      </c>
      <c r="U630" s="74">
        <v>8.3010000000000002</v>
      </c>
      <c r="V630" s="74">
        <v>8.5869999999999997</v>
      </c>
      <c r="W630" s="74">
        <v>8.3870000000000005</v>
      </c>
      <c r="X630" s="74">
        <v>8.3689999999999998</v>
      </c>
      <c r="Y630" s="74">
        <v>8.3870000000000005</v>
      </c>
      <c r="Z630" s="74">
        <v>8.2940000000000005</v>
      </c>
      <c r="AA630" s="22">
        <v>8.3230000000000004</v>
      </c>
      <c r="AB630" s="74">
        <v>8.5020000000000007</v>
      </c>
      <c r="AC630" s="74">
        <v>8.6989999999999998</v>
      </c>
      <c r="AD630" s="74">
        <v>8.6120000000000001</v>
      </c>
      <c r="AE630" s="74">
        <v>8.2569999999999997</v>
      </c>
      <c r="AF630" s="74">
        <v>8.2189999999999994</v>
      </c>
      <c r="AG630" s="74">
        <v>8.3239999999999998</v>
      </c>
      <c r="AH630" s="73">
        <f t="shared" si="72"/>
        <v>8.2714999999999996</v>
      </c>
      <c r="AI630" s="9"/>
      <c r="AJ630" s="9"/>
      <c r="AK630" s="9"/>
      <c r="AL630" s="9"/>
      <c r="AM630" s="9"/>
      <c r="AN630" s="9"/>
      <c r="AO630" s="9"/>
      <c r="AP630" s="3"/>
      <c r="AQ630" s="8"/>
    </row>
    <row r="631" spans="1:43">
      <c r="A631" s="1">
        <f t="shared" si="71"/>
        <v>629</v>
      </c>
      <c r="B631" s="31"/>
      <c r="C631" s="1">
        <v>6</v>
      </c>
      <c r="D631" s="4">
        <f t="shared" si="68"/>
        <v>69</v>
      </c>
      <c r="E631" s="4" t="s">
        <v>120</v>
      </c>
      <c r="F631" s="4">
        <v>1</v>
      </c>
      <c r="G631" s="4" t="s">
        <v>11</v>
      </c>
      <c r="H631" s="4" t="s">
        <v>17</v>
      </c>
      <c r="I631" s="4"/>
      <c r="J631" s="5">
        <v>89.1</v>
      </c>
      <c r="K631" s="65"/>
      <c r="L631" s="37">
        <v>8.4480000000000004</v>
      </c>
      <c r="M631" s="127" t="s">
        <v>212</v>
      </c>
      <c r="N631" s="1" t="s">
        <v>13</v>
      </c>
      <c r="O631" s="89">
        <v>8.4560000000000013</v>
      </c>
      <c r="P631" s="4" t="s">
        <v>7</v>
      </c>
      <c r="Q631" s="3"/>
      <c r="R631" s="74">
        <v>8.9179999999999993</v>
      </c>
      <c r="S631" s="74">
        <v>8.3859999999999992</v>
      </c>
      <c r="T631" s="74">
        <v>8.8719999999999999</v>
      </c>
      <c r="U631" s="74">
        <v>8.5020000000000007</v>
      </c>
      <c r="V631" s="74">
        <v>8.81</v>
      </c>
      <c r="W631" s="74">
        <v>8.6059999999999999</v>
      </c>
      <c r="X631" s="74">
        <v>8.5370000000000008</v>
      </c>
      <c r="Y631" s="74">
        <v>8.5269999999999992</v>
      </c>
      <c r="Z631" s="74">
        <v>8.4290000000000003</v>
      </c>
      <c r="AA631" s="22">
        <v>8.4589999999999996</v>
      </c>
      <c r="AB631" s="74">
        <v>8.68</v>
      </c>
      <c r="AC631" s="74">
        <v>8.8409999999999993</v>
      </c>
      <c r="AD631" s="74">
        <v>8.6950000000000003</v>
      </c>
      <c r="AE631" s="74">
        <v>8.4060000000000006</v>
      </c>
      <c r="AF631" s="74">
        <v>8.24</v>
      </c>
      <c r="AG631" s="74">
        <v>8.609</v>
      </c>
      <c r="AH631" s="73">
        <f t="shared" si="72"/>
        <v>8.4245000000000001</v>
      </c>
      <c r="AI631" s="9"/>
      <c r="AJ631" s="9"/>
      <c r="AK631" s="9"/>
      <c r="AL631" s="9"/>
      <c r="AM631" s="9"/>
      <c r="AN631" s="9"/>
      <c r="AO631" s="9"/>
      <c r="AP631" s="3"/>
      <c r="AQ631" s="8"/>
    </row>
    <row r="632" spans="1:43">
      <c r="A632" s="1">
        <f t="shared" si="71"/>
        <v>630</v>
      </c>
      <c r="B632" s="31"/>
      <c r="C632" s="1">
        <v>6</v>
      </c>
      <c r="D632" s="4">
        <f t="shared" si="68"/>
        <v>69</v>
      </c>
      <c r="E632" s="4" t="s">
        <v>120</v>
      </c>
      <c r="F632" s="4">
        <v>1</v>
      </c>
      <c r="G632" s="4" t="s">
        <v>14</v>
      </c>
      <c r="H632" s="4" t="s">
        <v>15</v>
      </c>
      <c r="I632" s="4"/>
      <c r="J632" s="5">
        <v>91.2</v>
      </c>
      <c r="K632" s="65"/>
      <c r="L632" s="37">
        <v>8.9410000000000007</v>
      </c>
      <c r="M632" s="127" t="s">
        <v>212</v>
      </c>
      <c r="N632" s="1" t="s">
        <v>13</v>
      </c>
      <c r="O632" s="89">
        <v>8.9710000000000036</v>
      </c>
      <c r="P632" s="4" t="s">
        <v>7</v>
      </c>
      <c r="Q632" s="3"/>
      <c r="R632" s="74">
        <v>8.5039999999999996</v>
      </c>
      <c r="S632" s="74">
        <v>8.5980000000000008</v>
      </c>
      <c r="T632" s="74">
        <v>9.2629999999999999</v>
      </c>
      <c r="U632" s="1">
        <v>9.0180000000000007</v>
      </c>
      <c r="V632" s="74">
        <v>9.14</v>
      </c>
      <c r="W632" s="74">
        <v>8.9209999999999994</v>
      </c>
      <c r="X632" s="74">
        <v>8.9689999999999994</v>
      </c>
      <c r="Y632" s="74">
        <v>9.0060000000000002</v>
      </c>
      <c r="Z632" s="74">
        <v>8.9149999999999991</v>
      </c>
      <c r="AA632" s="22">
        <v>8.9410000000000007</v>
      </c>
      <c r="AB632" s="74">
        <v>9.1270000000000007</v>
      </c>
      <c r="AC632" s="74">
        <v>9.1300000000000008</v>
      </c>
      <c r="AD632" s="74">
        <v>8.9510000000000005</v>
      </c>
      <c r="AE632" s="74">
        <v>8.9190000000000005</v>
      </c>
      <c r="AF632" s="74">
        <v>8.57</v>
      </c>
      <c r="AG632" s="74">
        <v>9.3179999999999996</v>
      </c>
      <c r="AH632" s="73">
        <f t="shared" si="72"/>
        <v>8.9439999999999991</v>
      </c>
      <c r="AI632" s="9"/>
      <c r="AJ632" s="9"/>
      <c r="AK632" s="9"/>
      <c r="AL632" s="9"/>
      <c r="AM632" s="9"/>
      <c r="AN632" s="9"/>
      <c r="AO632" s="9"/>
      <c r="AP632" s="3"/>
      <c r="AQ632" s="8"/>
    </row>
    <row r="633" spans="1:43">
      <c r="A633" s="1">
        <f t="shared" si="71"/>
        <v>631</v>
      </c>
      <c r="B633" s="31"/>
      <c r="C633" s="1">
        <v>6</v>
      </c>
      <c r="D633" s="4">
        <f t="shared" si="68"/>
        <v>69</v>
      </c>
      <c r="E633" s="4" t="s">
        <v>120</v>
      </c>
      <c r="F633" s="4">
        <v>1</v>
      </c>
      <c r="G633" s="4" t="s">
        <v>11</v>
      </c>
      <c r="H633" s="4" t="s">
        <v>121</v>
      </c>
      <c r="I633" s="4" t="s">
        <v>321</v>
      </c>
      <c r="J633" s="5">
        <v>1.67</v>
      </c>
      <c r="K633" s="65"/>
      <c r="L633" s="50">
        <v>8.923</v>
      </c>
      <c r="M633" s="127" t="s">
        <v>564</v>
      </c>
      <c r="N633" s="25" t="s">
        <v>111</v>
      </c>
      <c r="O633" s="71"/>
      <c r="P633" s="71"/>
      <c r="Q633" s="3"/>
      <c r="R633" s="88"/>
      <c r="S633" s="88"/>
      <c r="T633" s="88"/>
      <c r="U633" s="88"/>
      <c r="V633" s="88"/>
      <c r="W633" s="88"/>
      <c r="X633" s="88"/>
      <c r="Y633" s="74">
        <v>10.875999999999999</v>
      </c>
      <c r="Z633" s="74">
        <v>10.305</v>
      </c>
      <c r="AA633" s="74">
        <v>10.028</v>
      </c>
      <c r="AB633" s="88"/>
      <c r="AC633" s="88"/>
      <c r="AD633" s="88"/>
      <c r="AE633" s="88"/>
      <c r="AF633" s="88"/>
      <c r="AG633" s="74">
        <v>8.9809999999999999</v>
      </c>
      <c r="AH633" s="88"/>
      <c r="AI633" s="22">
        <v>9.0440000000000005</v>
      </c>
      <c r="AJ633" s="22">
        <v>8.8140000000000001</v>
      </c>
      <c r="AK633" s="22">
        <v>8.6430000000000007</v>
      </c>
      <c r="AL633" s="22">
        <v>8.8989999999999991</v>
      </c>
      <c r="AM633" s="22">
        <v>8.923</v>
      </c>
      <c r="AN633" s="22">
        <v>8.9580000000000002</v>
      </c>
      <c r="AO633" s="22">
        <v>9.9420000000000002</v>
      </c>
      <c r="AP633" s="3"/>
      <c r="AQ633" s="8"/>
    </row>
    <row r="634" spans="1:43">
      <c r="A634" s="1">
        <f t="shared" si="71"/>
        <v>632</v>
      </c>
      <c r="B634" s="31"/>
      <c r="C634" s="1">
        <v>6</v>
      </c>
      <c r="D634" s="4">
        <f t="shared" si="68"/>
        <v>69</v>
      </c>
      <c r="E634" s="4" t="s">
        <v>149</v>
      </c>
      <c r="F634" s="4">
        <v>3</v>
      </c>
      <c r="G634" s="4" t="s">
        <v>11</v>
      </c>
      <c r="H634" s="4" t="s">
        <v>12</v>
      </c>
      <c r="I634" s="4"/>
      <c r="J634" s="5">
        <v>97.5</v>
      </c>
      <c r="K634" s="65"/>
      <c r="L634" s="37">
        <v>4.1840000000000002</v>
      </c>
      <c r="M634" s="127" t="s">
        <v>110</v>
      </c>
      <c r="N634" s="1" t="s">
        <v>13</v>
      </c>
      <c r="O634" s="89">
        <v>4.194</v>
      </c>
      <c r="P634" s="4" t="s">
        <v>7</v>
      </c>
      <c r="Q634" s="3"/>
      <c r="R634" s="74">
        <v>4.2530000000000001</v>
      </c>
      <c r="S634" s="74">
        <v>4.1989999999999998</v>
      </c>
      <c r="T634" s="74">
        <v>4.3330000000000002</v>
      </c>
      <c r="U634" s="74">
        <v>4.0720000000000001</v>
      </c>
      <c r="V634" s="74">
        <v>4.2389999999999999</v>
      </c>
      <c r="W634" s="88"/>
      <c r="X634" s="88"/>
      <c r="Y634" s="88"/>
      <c r="Z634" s="22">
        <v>4.2009999999999996</v>
      </c>
      <c r="AA634" s="88"/>
      <c r="AB634" s="74">
        <v>4.3490000000000002</v>
      </c>
      <c r="AC634" s="74">
        <v>4.4980000000000002</v>
      </c>
      <c r="AD634" s="74">
        <v>4.4000000000000004</v>
      </c>
      <c r="AE634" s="74">
        <v>4.1340000000000003</v>
      </c>
      <c r="AF634" s="74">
        <v>4.0259999999999998</v>
      </c>
      <c r="AG634" s="74">
        <v>4.1890000000000001</v>
      </c>
      <c r="AH634" s="73">
        <f t="shared" si="72"/>
        <v>4.1074999999999999</v>
      </c>
      <c r="AI634" s="9"/>
      <c r="AJ634" s="9"/>
      <c r="AK634" s="9"/>
      <c r="AL634" s="9"/>
      <c r="AM634" s="9"/>
      <c r="AN634" s="9"/>
      <c r="AO634" s="9"/>
      <c r="AP634" s="3"/>
      <c r="AQ634" s="8"/>
    </row>
    <row r="635" spans="1:43">
      <c r="A635" s="1">
        <f t="shared" si="71"/>
        <v>633</v>
      </c>
      <c r="B635" s="31"/>
      <c r="C635" s="1">
        <v>6</v>
      </c>
      <c r="D635" s="4">
        <f t="shared" si="68"/>
        <v>69</v>
      </c>
      <c r="E635" s="4" t="s">
        <v>221</v>
      </c>
      <c r="F635" s="4">
        <v>3</v>
      </c>
      <c r="G635" s="4" t="s">
        <v>11</v>
      </c>
      <c r="H635" s="4" t="s">
        <v>12</v>
      </c>
      <c r="I635" s="4"/>
      <c r="J635" s="5">
        <v>97.4</v>
      </c>
      <c r="K635" s="65"/>
      <c r="L635" s="37">
        <v>5.65</v>
      </c>
      <c r="M635" s="127" t="s">
        <v>110</v>
      </c>
      <c r="N635" s="1" t="s">
        <v>13</v>
      </c>
      <c r="O635" s="89">
        <v>5.6579999999999995</v>
      </c>
      <c r="P635" s="4" t="s">
        <v>7</v>
      </c>
      <c r="Q635" s="3"/>
      <c r="R635" s="74">
        <v>5.7329999999999997</v>
      </c>
      <c r="S635" s="74">
        <v>5.758</v>
      </c>
      <c r="T635" s="74">
        <v>5.7450000000000001</v>
      </c>
      <c r="U635" s="74">
        <v>5.5640000000000001</v>
      </c>
      <c r="V635" s="74">
        <v>5.7030000000000003</v>
      </c>
      <c r="W635" s="88"/>
      <c r="X635" s="88"/>
      <c r="Y635" s="88"/>
      <c r="Z635" s="22">
        <v>5.6790000000000003</v>
      </c>
      <c r="AA635" s="88"/>
      <c r="AB635" s="74">
        <v>5.7569999999999997</v>
      </c>
      <c r="AC635" s="74">
        <v>5.9550000000000001</v>
      </c>
      <c r="AD635" s="74">
        <v>5.8920000000000003</v>
      </c>
      <c r="AE635" s="74">
        <v>5.5490000000000004</v>
      </c>
      <c r="AF635" s="74">
        <v>5.5220000000000002</v>
      </c>
      <c r="AG635" s="74">
        <v>5.6680000000000001</v>
      </c>
      <c r="AH635" s="73">
        <f t="shared" si="72"/>
        <v>5.5950000000000006</v>
      </c>
      <c r="AI635" s="9"/>
      <c r="AJ635" s="9"/>
      <c r="AK635" s="9"/>
      <c r="AL635" s="9"/>
      <c r="AM635" s="9"/>
      <c r="AN635" s="9"/>
      <c r="AO635" s="9"/>
      <c r="AP635" s="3"/>
      <c r="AQ635" s="8"/>
    </row>
    <row r="636" spans="1:43">
      <c r="A636" s="1">
        <f t="shared" si="71"/>
        <v>634</v>
      </c>
      <c r="B636" s="31"/>
      <c r="C636" s="1">
        <v>6</v>
      </c>
      <c r="D636" s="4">
        <f t="shared" si="68"/>
        <v>69</v>
      </c>
      <c r="E636" s="4" t="s">
        <v>177</v>
      </c>
      <c r="F636" s="4">
        <v>3</v>
      </c>
      <c r="G636" s="4" t="s">
        <v>11</v>
      </c>
      <c r="H636" s="4" t="s">
        <v>17</v>
      </c>
      <c r="I636" s="4"/>
      <c r="J636" s="5">
        <v>98.4</v>
      </c>
      <c r="K636" s="65"/>
      <c r="L636" s="37">
        <v>5.9249999999999998</v>
      </c>
      <c r="M636" s="127" t="s">
        <v>110</v>
      </c>
      <c r="N636" s="1" t="s">
        <v>13</v>
      </c>
      <c r="O636" s="89">
        <v>5.9360000000000017</v>
      </c>
      <c r="P636" s="4" t="s">
        <v>7</v>
      </c>
      <c r="Q636" s="3"/>
      <c r="R636" s="74">
        <v>6.226</v>
      </c>
      <c r="S636" s="74">
        <v>6.1509999999999998</v>
      </c>
      <c r="T636" s="74">
        <v>6.0789999999999997</v>
      </c>
      <c r="U636" s="74">
        <v>5.6989999999999998</v>
      </c>
      <c r="V636" s="74">
        <v>5.8630000000000004</v>
      </c>
      <c r="W636" s="88"/>
      <c r="X636" s="88"/>
      <c r="Y636" s="88"/>
      <c r="Z636" s="22">
        <v>5.9550000000000001</v>
      </c>
      <c r="AA636" s="88"/>
      <c r="AB636" s="74">
        <v>6.0380000000000003</v>
      </c>
      <c r="AC636" s="74">
        <v>6.157</v>
      </c>
      <c r="AD636" s="74">
        <v>6.16</v>
      </c>
      <c r="AE636" s="74">
        <v>5.8869999999999996</v>
      </c>
      <c r="AF636" s="74">
        <v>5.99</v>
      </c>
      <c r="AG636" s="74">
        <v>5.7060000000000004</v>
      </c>
      <c r="AH636" s="73">
        <f t="shared" si="72"/>
        <v>5.8480000000000008</v>
      </c>
      <c r="AI636" s="9"/>
      <c r="AJ636" s="9"/>
      <c r="AK636" s="9"/>
      <c r="AL636" s="9"/>
      <c r="AM636" s="9"/>
      <c r="AN636" s="9"/>
      <c r="AO636" s="9"/>
      <c r="AP636" s="3"/>
      <c r="AQ636" s="8"/>
    </row>
    <row r="637" spans="1:43">
      <c r="A637" s="1">
        <f t="shared" si="71"/>
        <v>635</v>
      </c>
      <c r="B637" s="31"/>
      <c r="C637" s="1">
        <v>6</v>
      </c>
      <c r="D637" s="4">
        <f t="shared" si="68"/>
        <v>69</v>
      </c>
      <c r="E637" s="4" t="s">
        <v>169</v>
      </c>
      <c r="F637" s="4">
        <v>3</v>
      </c>
      <c r="G637" s="4" t="s">
        <v>11</v>
      </c>
      <c r="H637" s="4" t="s">
        <v>17</v>
      </c>
      <c r="I637" s="4"/>
      <c r="J637" s="5">
        <v>98.3</v>
      </c>
      <c r="K637" s="65"/>
      <c r="L637" s="37">
        <v>6.399</v>
      </c>
      <c r="M637" s="127" t="s">
        <v>110</v>
      </c>
      <c r="N637" s="1" t="s">
        <v>13</v>
      </c>
      <c r="O637" s="89">
        <v>6.4119999999999981</v>
      </c>
      <c r="P637" s="4" t="s">
        <v>7</v>
      </c>
      <c r="Q637" s="3"/>
      <c r="R637" s="74">
        <v>6.7590000000000003</v>
      </c>
      <c r="S637" s="74">
        <v>6.5419999999999998</v>
      </c>
      <c r="T637" s="74">
        <v>6.55</v>
      </c>
      <c r="U637" s="74">
        <v>6.1870000000000003</v>
      </c>
      <c r="V637" s="74">
        <v>6.367</v>
      </c>
      <c r="W637" s="88"/>
      <c r="X637" s="88"/>
      <c r="Y637" s="88"/>
      <c r="Z637" s="22">
        <v>6.4180000000000001</v>
      </c>
      <c r="AA637" s="88"/>
      <c r="AB637" s="74">
        <v>6.48</v>
      </c>
      <c r="AC637" s="74">
        <v>6.6</v>
      </c>
      <c r="AD637" s="74">
        <v>6.59</v>
      </c>
      <c r="AE637" s="74">
        <v>6.3209999999999997</v>
      </c>
      <c r="AF637" s="74">
        <v>6.3879999999999999</v>
      </c>
      <c r="AG637" s="74">
        <v>6.2469999999999999</v>
      </c>
      <c r="AH637" s="73">
        <f t="shared" si="72"/>
        <v>6.3174999999999999</v>
      </c>
      <c r="AI637" s="9"/>
      <c r="AJ637" s="9"/>
      <c r="AK637" s="9"/>
      <c r="AL637" s="9"/>
      <c r="AM637" s="9"/>
      <c r="AN637" s="9"/>
      <c r="AO637" s="9"/>
      <c r="AP637" s="3"/>
      <c r="AQ637" s="8"/>
    </row>
    <row r="638" spans="1:43">
      <c r="A638" s="1">
        <f t="shared" si="71"/>
        <v>636</v>
      </c>
      <c r="B638" s="31" t="s">
        <v>413</v>
      </c>
      <c r="C638" s="1">
        <v>10</v>
      </c>
      <c r="D638" s="4">
        <f t="shared" si="68"/>
        <v>1016</v>
      </c>
      <c r="E638" s="4" t="s">
        <v>120</v>
      </c>
      <c r="F638" s="4">
        <v>1</v>
      </c>
      <c r="G638" s="4" t="s">
        <v>11</v>
      </c>
      <c r="H638" s="4" t="s">
        <v>17</v>
      </c>
      <c r="I638" s="4"/>
      <c r="J638" s="5">
        <v>87.6</v>
      </c>
      <c r="K638" s="65"/>
      <c r="L638" s="37">
        <v>2.0010000000000003</v>
      </c>
      <c r="M638" s="127" t="s">
        <v>110</v>
      </c>
      <c r="N638" s="1" t="s">
        <v>13</v>
      </c>
      <c r="O638" s="71"/>
      <c r="P638" s="23"/>
      <c r="Q638" s="3"/>
      <c r="R638" s="22">
        <v>2.1389999999999998</v>
      </c>
      <c r="S638" s="22">
        <v>2.0030000000000001</v>
      </c>
      <c r="T638" s="22">
        <v>2.3809999999999998</v>
      </c>
      <c r="U638" s="22">
        <v>2.0190000000000001</v>
      </c>
      <c r="V638" s="22">
        <v>2.2330000000000001</v>
      </c>
      <c r="W638" s="22">
        <v>2.0950000000000002</v>
      </c>
      <c r="X638" s="22">
        <v>2.093</v>
      </c>
      <c r="Y638" s="22">
        <v>2.0550000000000002</v>
      </c>
      <c r="Z638" s="22">
        <v>1.998</v>
      </c>
      <c r="AA638" s="41"/>
      <c r="AB638" s="22">
        <v>2.3849999999999998</v>
      </c>
      <c r="AC638" s="22">
        <v>2.415</v>
      </c>
      <c r="AD638" s="22">
        <v>2.2759999999999998</v>
      </c>
      <c r="AE638" s="22">
        <v>2.2000000000000002</v>
      </c>
      <c r="AF638" s="22">
        <v>2.0230000000000001</v>
      </c>
      <c r="AG638" s="22">
        <v>1.401</v>
      </c>
      <c r="AH638" s="22">
        <f>AVERAGE(AF638:AG638)</f>
        <v>1.7120000000000002</v>
      </c>
      <c r="AI638" s="1">
        <v>2.5009999999999999</v>
      </c>
      <c r="AJ638" s="22">
        <v>2.052</v>
      </c>
      <c r="AK638" s="22">
        <v>1.7789999999999999</v>
      </c>
      <c r="AL638" s="22">
        <v>2.093</v>
      </c>
      <c r="AM638" s="22">
        <v>2.052</v>
      </c>
      <c r="AN638" s="1">
        <v>1.857</v>
      </c>
      <c r="AO638" s="1">
        <v>1.827</v>
      </c>
      <c r="AP638" s="3"/>
      <c r="AQ638" s="8"/>
    </row>
    <row r="639" spans="1:43">
      <c r="A639" s="1">
        <f t="shared" si="71"/>
        <v>637</v>
      </c>
      <c r="B639" s="31"/>
      <c r="C639" s="1">
        <v>10</v>
      </c>
      <c r="D639" s="4">
        <f t="shared" si="68"/>
        <v>1016</v>
      </c>
      <c r="E639" s="4" t="s">
        <v>120</v>
      </c>
      <c r="F639" s="4">
        <v>1</v>
      </c>
      <c r="G639" s="4" t="s">
        <v>11</v>
      </c>
      <c r="H639" s="4" t="s">
        <v>121</v>
      </c>
      <c r="I639" s="4" t="s">
        <v>321</v>
      </c>
      <c r="J639" s="5">
        <v>12.2</v>
      </c>
      <c r="K639" s="65"/>
      <c r="L639" s="50">
        <v>3.2879999999999998</v>
      </c>
      <c r="M639" s="127" t="s">
        <v>564</v>
      </c>
      <c r="N639" s="25" t="s">
        <v>111</v>
      </c>
      <c r="O639" s="71"/>
      <c r="P639" s="23"/>
      <c r="Q639" s="3"/>
      <c r="R639" s="41"/>
      <c r="S639" s="41"/>
      <c r="T639" s="41"/>
      <c r="U639" s="41"/>
      <c r="V639" s="41"/>
      <c r="W639" s="41"/>
      <c r="X639" s="41"/>
      <c r="Y639" s="22">
        <v>4.681</v>
      </c>
      <c r="Z639" s="22">
        <v>4.2910000000000004</v>
      </c>
      <c r="AA639" s="41"/>
      <c r="AB639" s="41"/>
      <c r="AC639" s="41"/>
      <c r="AD639" s="41"/>
      <c r="AE639" s="41"/>
      <c r="AF639" s="41"/>
      <c r="AG639" s="22">
        <v>2.452</v>
      </c>
      <c r="AH639" s="41"/>
      <c r="AI639" s="1">
        <v>4.1749999999999998</v>
      </c>
      <c r="AJ639" s="1">
        <v>3.2189999999999999</v>
      </c>
      <c r="AK639" s="1">
        <v>2.9780000000000002</v>
      </c>
      <c r="AL639" s="1">
        <v>3.3330000000000002</v>
      </c>
      <c r="AM639" s="1">
        <v>3.2879999999999998</v>
      </c>
      <c r="AN639" s="1">
        <v>2.899</v>
      </c>
      <c r="AO639" s="1">
        <v>2.8410000000000002</v>
      </c>
      <c r="AP639" s="3"/>
      <c r="AQ639" s="8"/>
    </row>
    <row r="640" spans="1:43">
      <c r="A640" s="1">
        <f t="shared" si="71"/>
        <v>638</v>
      </c>
      <c r="B640" s="31"/>
      <c r="C640" s="1">
        <v>10</v>
      </c>
      <c r="D640" s="4">
        <f t="shared" si="68"/>
        <v>1016</v>
      </c>
      <c r="E640" s="4" t="s">
        <v>223</v>
      </c>
      <c r="F640" s="4">
        <v>1</v>
      </c>
      <c r="G640" s="4" t="s">
        <v>11</v>
      </c>
      <c r="H640" s="4" t="s">
        <v>17</v>
      </c>
      <c r="I640" s="4"/>
      <c r="J640" s="5">
        <v>84</v>
      </c>
      <c r="K640" s="63">
        <v>7.8E-2</v>
      </c>
      <c r="L640" s="37">
        <v>4.0320000000000009</v>
      </c>
      <c r="M640" s="127" t="s">
        <v>110</v>
      </c>
      <c r="N640" s="1" t="s">
        <v>13</v>
      </c>
      <c r="O640" s="71"/>
      <c r="P640" s="23"/>
      <c r="Q640" s="3"/>
      <c r="R640" s="22">
        <v>4.1710000000000003</v>
      </c>
      <c r="S640" s="22">
        <v>4.0519999999999996</v>
      </c>
      <c r="T640" s="22">
        <v>4.4210000000000003</v>
      </c>
      <c r="U640" s="22">
        <v>4.1669999999999998</v>
      </c>
      <c r="V640" s="22">
        <v>4.2910000000000004</v>
      </c>
      <c r="W640" s="22">
        <v>4.101</v>
      </c>
      <c r="X640" s="22">
        <v>4.0960000000000001</v>
      </c>
      <c r="Y640" s="22">
        <v>4.0949999999999998</v>
      </c>
      <c r="Z640" s="22">
        <v>4.024</v>
      </c>
      <c r="AA640" s="41"/>
      <c r="AB640" s="22">
        <v>4.3220000000000001</v>
      </c>
      <c r="AC640" s="22">
        <v>4.3440000000000003</v>
      </c>
      <c r="AD640" s="22">
        <v>4.2450000000000001</v>
      </c>
      <c r="AE640" s="22">
        <v>4.1319999999999997</v>
      </c>
      <c r="AF640" s="22">
        <v>4.024</v>
      </c>
      <c r="AG640" s="22">
        <v>3.46</v>
      </c>
      <c r="AH640" s="22">
        <f>AVERAGE(AF640:AG640)</f>
        <v>3.742</v>
      </c>
      <c r="AI640" s="41"/>
      <c r="AJ640" s="41"/>
      <c r="AK640" s="41"/>
      <c r="AL640" s="41"/>
      <c r="AM640" s="41"/>
      <c r="AN640" s="41"/>
      <c r="AO640" s="41"/>
      <c r="AP640" s="3"/>
      <c r="AQ640" s="8"/>
    </row>
    <row r="641" spans="1:43">
      <c r="A641" s="1">
        <f t="shared" si="71"/>
        <v>639</v>
      </c>
      <c r="B641" s="31"/>
      <c r="C641" s="1">
        <v>10</v>
      </c>
      <c r="D641" s="4">
        <f t="shared" si="68"/>
        <v>1016</v>
      </c>
      <c r="E641" s="4" t="s">
        <v>169</v>
      </c>
      <c r="F641" s="4">
        <v>3</v>
      </c>
      <c r="G641" s="4" t="s">
        <v>11</v>
      </c>
      <c r="H641" s="4" t="s">
        <v>17</v>
      </c>
      <c r="I641" s="4"/>
      <c r="J641" s="5">
        <v>97.7</v>
      </c>
      <c r="K641" s="65"/>
      <c r="L641" s="37">
        <v>1.2650000000000001</v>
      </c>
      <c r="M641" s="127" t="s">
        <v>113</v>
      </c>
      <c r="N641" s="1" t="s">
        <v>13</v>
      </c>
      <c r="O641" s="71"/>
      <c r="P641" s="23"/>
      <c r="Q641" s="3"/>
      <c r="R641" s="22">
        <v>1.419</v>
      </c>
      <c r="S641" s="22">
        <v>1.2450000000000001</v>
      </c>
      <c r="T641" s="22">
        <v>1.458</v>
      </c>
      <c r="U641" s="22">
        <v>1.1000000000000001</v>
      </c>
      <c r="V641" s="22">
        <v>1.2310000000000001</v>
      </c>
      <c r="W641" s="41"/>
      <c r="X641" s="41"/>
      <c r="Y641" s="41"/>
      <c r="Z641" s="22">
        <v>1.2609999999999999</v>
      </c>
      <c r="AA641" s="41"/>
      <c r="AB641" s="22">
        <v>1.5580000000000001</v>
      </c>
      <c r="AC641" s="22">
        <v>1.573</v>
      </c>
      <c r="AD641" s="22">
        <v>1.464</v>
      </c>
      <c r="AE641" s="22">
        <v>1.409</v>
      </c>
      <c r="AF641" s="22">
        <v>1.244</v>
      </c>
      <c r="AG641" s="22">
        <v>0.95299999999999996</v>
      </c>
      <c r="AH641" s="22">
        <f>AVERAGE(AF641:AG641)</f>
        <v>1.0985</v>
      </c>
      <c r="AI641" s="41"/>
      <c r="AJ641" s="41"/>
      <c r="AK641" s="41"/>
      <c r="AL641" s="41"/>
      <c r="AM641" s="41"/>
      <c r="AN641" s="41"/>
      <c r="AO641" s="41"/>
      <c r="AP641" s="3"/>
      <c r="AQ641" s="8"/>
    </row>
    <row r="642" spans="1:43">
      <c r="A642" s="1">
        <f t="shared" si="71"/>
        <v>640</v>
      </c>
      <c r="B642" s="31"/>
      <c r="C642" s="1">
        <v>10</v>
      </c>
      <c r="D642" s="4">
        <f t="shared" si="68"/>
        <v>1016</v>
      </c>
      <c r="E642" s="4" t="s">
        <v>177</v>
      </c>
      <c r="F642" s="4">
        <v>3</v>
      </c>
      <c r="G642" s="4" t="s">
        <v>11</v>
      </c>
      <c r="H642" s="4" t="s">
        <v>17</v>
      </c>
      <c r="I642" s="4"/>
      <c r="J642" s="5">
        <v>97.4</v>
      </c>
      <c r="K642" s="65"/>
      <c r="L642" s="37">
        <v>2.4289999999999998</v>
      </c>
      <c r="M642" s="127" t="s">
        <v>113</v>
      </c>
      <c r="N642" s="1" t="s">
        <v>13</v>
      </c>
      <c r="O642" s="71"/>
      <c r="P642" s="23"/>
      <c r="Q642" s="3"/>
      <c r="R642" s="22">
        <v>2.665</v>
      </c>
      <c r="S642" s="22">
        <v>2.504</v>
      </c>
      <c r="T642" s="22">
        <v>2.6509999999999998</v>
      </c>
      <c r="U642" s="22">
        <v>2.1949999999999998</v>
      </c>
      <c r="V642" s="22">
        <v>2.4020000000000001</v>
      </c>
      <c r="W642" s="41"/>
      <c r="X642" s="41"/>
      <c r="Y642" s="41"/>
      <c r="Z642" s="22">
        <v>2.4390000000000001</v>
      </c>
      <c r="AA642" s="41"/>
      <c r="AB642" s="22">
        <v>2.6230000000000002</v>
      </c>
      <c r="AC642" s="22">
        <v>2.6320000000000001</v>
      </c>
      <c r="AD642" s="22">
        <v>2.5910000000000002</v>
      </c>
      <c r="AE642" s="22">
        <v>2.4820000000000002</v>
      </c>
      <c r="AF642" s="22">
        <v>2.4990000000000001</v>
      </c>
      <c r="AG642" s="22">
        <v>2.0379999999999998</v>
      </c>
      <c r="AH642" s="22">
        <f>AVERAGE(AF642:AG642)</f>
        <v>2.2685</v>
      </c>
      <c r="AI642" s="41"/>
      <c r="AJ642" s="41"/>
      <c r="AK642" s="41"/>
      <c r="AL642" s="41"/>
      <c r="AM642" s="41"/>
      <c r="AN642" s="41"/>
      <c r="AO642" s="41"/>
      <c r="AP642" s="3"/>
      <c r="AQ642" s="8"/>
    </row>
    <row r="643" spans="1:43">
      <c r="A643" s="1">
        <f t="shared" si="71"/>
        <v>641</v>
      </c>
      <c r="B643" s="31" t="s">
        <v>559</v>
      </c>
      <c r="C643" s="1">
        <v>10</v>
      </c>
      <c r="D643" s="4">
        <f t="shared" si="68"/>
        <v>1016</v>
      </c>
      <c r="E643" s="4" t="s">
        <v>124</v>
      </c>
      <c r="F643" s="4">
        <v>1</v>
      </c>
      <c r="G643" s="4" t="s">
        <v>11</v>
      </c>
      <c r="H643" s="4" t="s">
        <v>17</v>
      </c>
      <c r="I643" s="4"/>
      <c r="J643" s="5">
        <v>88.4</v>
      </c>
      <c r="K643" s="65"/>
      <c r="L643" s="37">
        <v>0.22500000000000001</v>
      </c>
      <c r="M643" s="127" t="s">
        <v>339</v>
      </c>
      <c r="N643" s="1" t="s">
        <v>13</v>
      </c>
      <c r="O643" s="71"/>
      <c r="P643" s="23"/>
      <c r="Q643" s="3"/>
      <c r="R643" s="22">
        <v>0.161</v>
      </c>
      <c r="S643" s="22">
        <v>0.222</v>
      </c>
      <c r="T643" s="22">
        <v>0.55900000000000005</v>
      </c>
      <c r="U643" s="22">
        <v>-0.26500000000000001</v>
      </c>
      <c r="V643" s="22">
        <v>0.19</v>
      </c>
      <c r="W643" s="22">
        <v>0.20599999999999999</v>
      </c>
      <c r="X643" s="22">
        <v>0.219</v>
      </c>
      <c r="Y643" s="22">
        <v>0.215</v>
      </c>
      <c r="Z643" s="22">
        <v>0.215</v>
      </c>
      <c r="AA643" s="41"/>
      <c r="AB643" s="22">
        <v>8.0000000000000002E-3</v>
      </c>
      <c r="AC643" s="22">
        <v>0.26800000000000002</v>
      </c>
      <c r="AD643" s="22">
        <v>0.253</v>
      </c>
      <c r="AE643" s="22">
        <v>8.9999999999999993E-3</v>
      </c>
      <c r="AF643" s="22">
        <v>0.14799999999999999</v>
      </c>
      <c r="AG643" s="22">
        <v>-0.106</v>
      </c>
      <c r="AH643" s="22">
        <f>AVERAGE(AF643:AG643)</f>
        <v>2.0999999999999998E-2</v>
      </c>
      <c r="AI643" s="41"/>
      <c r="AJ643" s="41"/>
      <c r="AK643" s="41"/>
      <c r="AL643" s="41"/>
      <c r="AM643" s="41"/>
      <c r="AN643" s="41"/>
      <c r="AO643" s="41"/>
      <c r="AP643" s="3"/>
      <c r="AQ643" s="8"/>
    </row>
    <row r="644" spans="1:43">
      <c r="A644" s="1">
        <f t="shared" si="71"/>
        <v>642</v>
      </c>
      <c r="B644" s="31"/>
      <c r="C644" s="1">
        <v>10</v>
      </c>
      <c r="D644" s="4">
        <f t="shared" ref="D644:D707" si="74">_xlfn.SWITCH(C644,1,12,2,12,3,35,4,35,5,35,6,69,7,69,8,69,9,69,1016)</f>
        <v>1016</v>
      </c>
      <c r="E644" s="4" t="s">
        <v>125</v>
      </c>
      <c r="F644" s="4">
        <v>3</v>
      </c>
      <c r="G644" s="4" t="s">
        <v>11</v>
      </c>
      <c r="H644" s="4" t="s">
        <v>17</v>
      </c>
      <c r="I644" s="4"/>
      <c r="J644" s="5">
        <v>96.8</v>
      </c>
      <c r="K644" s="65"/>
      <c r="L644" s="37">
        <v>0.38400000000000001</v>
      </c>
      <c r="M644" s="127" t="s">
        <v>110</v>
      </c>
      <c r="N644" s="1" t="s">
        <v>13</v>
      </c>
      <c r="O644" s="71"/>
      <c r="P644" s="23"/>
      <c r="Q644" s="3"/>
      <c r="R644" s="22">
        <v>0.47099999999999997</v>
      </c>
      <c r="S644" s="22">
        <v>0.46</v>
      </c>
      <c r="T644" s="22">
        <v>0.64700000000000002</v>
      </c>
      <c r="U644" s="22">
        <v>0.27400000000000002</v>
      </c>
      <c r="V644" s="22">
        <v>0.30199999999999999</v>
      </c>
      <c r="W644" s="41"/>
      <c r="X644" s="41"/>
      <c r="Y644" s="41"/>
      <c r="Z644" s="22">
        <v>0.4</v>
      </c>
      <c r="AA644" s="41"/>
      <c r="AB644" s="22">
        <v>2.1999999999999999E-2</v>
      </c>
      <c r="AC644" s="22">
        <v>0.66400000000000003</v>
      </c>
      <c r="AD644" s="22">
        <v>0.59499999999999997</v>
      </c>
      <c r="AE644" s="22">
        <v>0.42099999999999999</v>
      </c>
      <c r="AF644" s="22">
        <v>0.374</v>
      </c>
      <c r="AG644" s="22">
        <v>-4.5999999999999999E-2</v>
      </c>
      <c r="AH644" s="22">
        <f>AVERAGE(AF644:AG644)</f>
        <v>0.16400000000000001</v>
      </c>
      <c r="AI644" s="41"/>
      <c r="AJ644" s="41"/>
      <c r="AK644" s="41"/>
      <c r="AL644" s="41"/>
      <c r="AM644" s="41"/>
      <c r="AN644" s="41"/>
      <c r="AO644" s="41"/>
      <c r="AP644" s="3"/>
      <c r="AQ644" s="8"/>
    </row>
    <row r="645" spans="1:43">
      <c r="A645" s="1">
        <f t="shared" si="71"/>
        <v>643</v>
      </c>
      <c r="B645" s="31" t="s">
        <v>397</v>
      </c>
      <c r="C645" s="1">
        <v>7</v>
      </c>
      <c r="D645" s="4">
        <f t="shared" si="74"/>
        <v>69</v>
      </c>
      <c r="E645" s="4" t="s">
        <v>229</v>
      </c>
      <c r="F645" s="4">
        <v>1</v>
      </c>
      <c r="G645" s="4" t="s">
        <v>11</v>
      </c>
      <c r="H645" s="4" t="s">
        <v>17</v>
      </c>
      <c r="I645" s="4"/>
      <c r="J645" s="5">
        <v>86.8</v>
      </c>
      <c r="K645" s="63">
        <v>1.9E-2</v>
      </c>
      <c r="L645" s="37">
        <v>4.835</v>
      </c>
      <c r="M645" s="127" t="s">
        <v>110</v>
      </c>
      <c r="N645" s="1" t="s">
        <v>13</v>
      </c>
      <c r="O645" s="71"/>
      <c r="P645" s="71"/>
      <c r="Q645" s="3"/>
      <c r="R645" s="22">
        <v>5.0519999999999996</v>
      </c>
      <c r="S645" s="22">
        <v>4.9630000000000001</v>
      </c>
      <c r="T645" s="22">
        <v>5.2290000000000001</v>
      </c>
      <c r="U645" s="22">
        <v>4.7839999999999998</v>
      </c>
      <c r="V645" s="22">
        <v>4.99</v>
      </c>
      <c r="W645" s="22">
        <v>4.9080000000000004</v>
      </c>
      <c r="X645" s="22">
        <v>4.9119999999999999</v>
      </c>
      <c r="Y645" s="22">
        <v>4.8869999999999996</v>
      </c>
      <c r="Z645" s="1">
        <v>4.8540000000000001</v>
      </c>
      <c r="AA645" s="41"/>
      <c r="AB645" s="22">
        <v>4.819</v>
      </c>
      <c r="AC645" s="22">
        <v>4.819</v>
      </c>
      <c r="AD645" s="22">
        <v>4.8710000000000004</v>
      </c>
      <c r="AE645" s="22">
        <v>4.5949999999999998</v>
      </c>
      <c r="AF645" s="22">
        <v>4.952</v>
      </c>
      <c r="AG645" s="22">
        <v>4.8129999999999997</v>
      </c>
      <c r="AH645" s="22">
        <f>SUM(AF645:AG645)/2</f>
        <v>4.8825000000000003</v>
      </c>
      <c r="AI645" s="9"/>
      <c r="AJ645" s="9"/>
      <c r="AK645" s="9"/>
      <c r="AL645" s="9"/>
      <c r="AM645" s="9"/>
      <c r="AN645" s="9"/>
      <c r="AO645" s="9"/>
      <c r="AP645" s="3"/>
      <c r="AQ645" s="8"/>
    </row>
    <row r="646" spans="1:43">
      <c r="A646" s="1">
        <f t="shared" si="71"/>
        <v>644</v>
      </c>
      <c r="B646" s="31"/>
      <c r="C646" s="1">
        <v>7</v>
      </c>
      <c r="D646" s="4">
        <f t="shared" si="74"/>
        <v>69</v>
      </c>
      <c r="E646" s="4" t="s">
        <v>147</v>
      </c>
      <c r="F646" s="4">
        <v>1</v>
      </c>
      <c r="G646" s="4" t="s">
        <v>14</v>
      </c>
      <c r="H646" s="4" t="s">
        <v>170</v>
      </c>
      <c r="I646" s="4"/>
      <c r="J646" s="5">
        <v>92.6</v>
      </c>
      <c r="K646" s="63">
        <v>0</v>
      </c>
      <c r="L646" s="37">
        <v>5.6319999999999997</v>
      </c>
      <c r="M646" s="127" t="s">
        <v>110</v>
      </c>
      <c r="N646" s="1" t="s">
        <v>13</v>
      </c>
      <c r="O646" s="71"/>
      <c r="P646" s="71"/>
      <c r="Q646" s="3"/>
      <c r="R646" s="22">
        <v>5.7140000000000004</v>
      </c>
      <c r="S646" s="22">
        <v>5.52</v>
      </c>
      <c r="T646" s="22">
        <v>5.9489999999999998</v>
      </c>
      <c r="U646" s="22">
        <v>5.7069999999999999</v>
      </c>
      <c r="V646" s="22">
        <v>5.7140000000000004</v>
      </c>
      <c r="W646" s="22">
        <v>5.6639999999999997</v>
      </c>
      <c r="X646" s="22">
        <v>5.6689999999999996</v>
      </c>
      <c r="Y646" s="22">
        <v>5.6580000000000004</v>
      </c>
      <c r="Z646" s="1">
        <v>5.6269999999999998</v>
      </c>
      <c r="AA646" s="41"/>
      <c r="AB646" s="22">
        <v>5.8129999999999997</v>
      </c>
      <c r="AC646" s="22">
        <v>5.7610000000000001</v>
      </c>
      <c r="AD646" s="22">
        <v>5.6820000000000004</v>
      </c>
      <c r="AE646" s="22">
        <v>5.6740000000000004</v>
      </c>
      <c r="AF646" s="22">
        <v>5.57</v>
      </c>
      <c r="AG646" s="22">
        <v>5.5759999999999996</v>
      </c>
      <c r="AH646" s="22">
        <f t="shared" ref="AH646:AH652" si="75">SUM(AF646:AG646)/2</f>
        <v>5.5730000000000004</v>
      </c>
      <c r="AI646" s="9"/>
      <c r="AJ646" s="9"/>
      <c r="AK646" s="9"/>
      <c r="AL646" s="9"/>
      <c r="AM646" s="9"/>
      <c r="AN646" s="9"/>
      <c r="AO646" s="9"/>
      <c r="AP646" s="3"/>
      <c r="AQ646" s="8"/>
    </row>
    <row r="647" spans="1:43">
      <c r="A647" s="1">
        <f t="shared" si="71"/>
        <v>645</v>
      </c>
      <c r="B647" s="31"/>
      <c r="C647" s="1">
        <v>7</v>
      </c>
      <c r="D647" s="4">
        <f t="shared" si="74"/>
        <v>69</v>
      </c>
      <c r="E647" s="4" t="s">
        <v>147</v>
      </c>
      <c r="F647" s="4">
        <v>1</v>
      </c>
      <c r="G647" s="4" t="s">
        <v>14</v>
      </c>
      <c r="H647" s="4" t="s">
        <v>170</v>
      </c>
      <c r="I647" s="4"/>
      <c r="J647" s="5">
        <v>92.5</v>
      </c>
      <c r="K647" s="63" t="s">
        <v>170</v>
      </c>
      <c r="L647" s="37">
        <v>6.1440000000000001</v>
      </c>
      <c r="M647" s="127" t="s">
        <v>110</v>
      </c>
      <c r="N647" s="1" t="s">
        <v>13</v>
      </c>
      <c r="O647" s="71"/>
      <c r="P647" s="71"/>
      <c r="Q647" s="3"/>
      <c r="R647" s="22">
        <v>6.1680000000000001</v>
      </c>
      <c r="S647" s="22">
        <v>6.0129999999999999</v>
      </c>
      <c r="T647" s="22">
        <v>6.4470000000000001</v>
      </c>
      <c r="U647" s="22">
        <v>6.27</v>
      </c>
      <c r="V647" s="22">
        <v>6.2160000000000002</v>
      </c>
      <c r="W647" s="22">
        <v>6.1689999999999996</v>
      </c>
      <c r="X647" s="22">
        <v>6.1749999999999998</v>
      </c>
      <c r="Y647" s="22">
        <v>6.1669999999999998</v>
      </c>
      <c r="Z647" s="1">
        <v>6.1379999999999999</v>
      </c>
      <c r="AA647" s="41"/>
      <c r="AB647" s="22">
        <v>6.2750000000000004</v>
      </c>
      <c r="AC647" s="22">
        <v>6.2249999999999996</v>
      </c>
      <c r="AD647" s="22">
        <v>6.1550000000000002</v>
      </c>
      <c r="AE647" s="22">
        <v>6.14</v>
      </c>
      <c r="AF647" s="22">
        <v>6.0579999999999998</v>
      </c>
      <c r="AG647" s="22">
        <v>6.0650000000000004</v>
      </c>
      <c r="AH647" s="22">
        <f t="shared" si="75"/>
        <v>6.0615000000000006</v>
      </c>
      <c r="AI647" s="9"/>
      <c r="AJ647" s="9"/>
      <c r="AK647" s="9"/>
      <c r="AL647" s="9"/>
      <c r="AM647" s="9"/>
      <c r="AN647" s="9"/>
      <c r="AO647" s="9"/>
      <c r="AP647" s="3"/>
      <c r="AQ647" s="8"/>
    </row>
    <row r="648" spans="1:43">
      <c r="A648" s="1">
        <f t="shared" si="71"/>
        <v>646</v>
      </c>
      <c r="B648" s="31"/>
      <c r="C648" s="1">
        <v>7</v>
      </c>
      <c r="D648" s="4">
        <f t="shared" si="74"/>
        <v>69</v>
      </c>
      <c r="E648" s="4" t="s">
        <v>229</v>
      </c>
      <c r="F648" s="4">
        <v>1</v>
      </c>
      <c r="G648" s="4" t="s">
        <v>11</v>
      </c>
      <c r="H648" s="4" t="s">
        <v>17</v>
      </c>
      <c r="I648" s="4"/>
      <c r="J648" s="5">
        <v>91.6</v>
      </c>
      <c r="K648" s="63" t="s">
        <v>170</v>
      </c>
      <c r="L648" s="37">
        <v>6.1360000000000001</v>
      </c>
      <c r="M648" s="127" t="s">
        <v>110</v>
      </c>
      <c r="N648" s="1" t="s">
        <v>13</v>
      </c>
      <c r="O648" s="71"/>
      <c r="P648" s="71"/>
      <c r="Q648" s="3"/>
      <c r="R648" s="22">
        <v>6.37</v>
      </c>
      <c r="S648" s="22">
        <v>6.1120000000000001</v>
      </c>
      <c r="T648" s="22">
        <v>6.3879999999999999</v>
      </c>
      <c r="U648" s="88"/>
      <c r="V648" s="22">
        <v>6.22</v>
      </c>
      <c r="W648" s="22">
        <v>6.1710000000000003</v>
      </c>
      <c r="X648" s="22">
        <v>6.1660000000000004</v>
      </c>
      <c r="Y648" s="22">
        <v>6.15</v>
      </c>
      <c r="Z648" s="1">
        <v>6.1280000000000001</v>
      </c>
      <c r="AA648" s="41"/>
      <c r="AB648" s="22">
        <v>6.048</v>
      </c>
      <c r="AC648" s="22">
        <v>6.0869999999999997</v>
      </c>
      <c r="AD648" s="22">
        <v>6.1</v>
      </c>
      <c r="AE648" s="22">
        <v>5.8630000000000004</v>
      </c>
      <c r="AF648" s="22">
        <v>6.0620000000000003</v>
      </c>
      <c r="AG648" s="22">
        <v>5.9850000000000003</v>
      </c>
      <c r="AH648" s="22">
        <f t="shared" si="75"/>
        <v>6.0235000000000003</v>
      </c>
      <c r="AI648" s="9"/>
      <c r="AJ648" s="9"/>
      <c r="AK648" s="9"/>
      <c r="AL648" s="9"/>
      <c r="AM648" s="9"/>
      <c r="AN648" s="9"/>
      <c r="AO648" s="9"/>
      <c r="AP648" s="3"/>
      <c r="AQ648" s="8"/>
    </row>
    <row r="649" spans="1:43">
      <c r="A649" s="1">
        <f t="shared" si="71"/>
        <v>647</v>
      </c>
      <c r="B649" s="31"/>
      <c r="C649" s="1">
        <v>7</v>
      </c>
      <c r="D649" s="4">
        <f t="shared" si="74"/>
        <v>69</v>
      </c>
      <c r="E649" s="4" t="s">
        <v>230</v>
      </c>
      <c r="F649" s="4">
        <v>3</v>
      </c>
      <c r="G649" s="4" t="s">
        <v>11</v>
      </c>
      <c r="H649" s="4" t="s">
        <v>17</v>
      </c>
      <c r="I649" s="4"/>
      <c r="J649" s="5">
        <v>98.4</v>
      </c>
      <c r="K649" s="65"/>
      <c r="L649" s="37">
        <v>4.1159999999999997</v>
      </c>
      <c r="M649" s="127" t="s">
        <v>113</v>
      </c>
      <c r="N649" s="1" t="s">
        <v>13</v>
      </c>
      <c r="O649" s="71"/>
      <c r="P649" s="71"/>
      <c r="Q649" s="3"/>
      <c r="R649" s="22">
        <v>4.4450000000000003</v>
      </c>
      <c r="S649" s="22">
        <v>4.3</v>
      </c>
      <c r="T649" s="22">
        <v>4.3289999999999997</v>
      </c>
      <c r="U649" s="22">
        <v>3.7559999999999998</v>
      </c>
      <c r="V649" s="22">
        <v>3.9740000000000002</v>
      </c>
      <c r="W649" s="41"/>
      <c r="X649" s="41"/>
      <c r="Y649" s="41"/>
      <c r="Z649" s="1">
        <v>4.1349999999999998</v>
      </c>
      <c r="AA649" s="41"/>
      <c r="AB649" s="22">
        <v>4.2850000000000001</v>
      </c>
      <c r="AC649" s="22">
        <v>4.2850000000000001</v>
      </c>
      <c r="AD649" s="22">
        <v>4.2910000000000004</v>
      </c>
      <c r="AE649" s="22">
        <v>4.1580000000000004</v>
      </c>
      <c r="AF649" s="22">
        <v>4.2880000000000003</v>
      </c>
      <c r="AG649" s="22">
        <v>3.9089999999999998</v>
      </c>
      <c r="AH649" s="22">
        <f t="shared" si="75"/>
        <v>4.0984999999999996</v>
      </c>
      <c r="AI649" s="9"/>
      <c r="AJ649" s="9"/>
      <c r="AK649" s="9"/>
      <c r="AL649" s="9"/>
      <c r="AM649" s="9"/>
      <c r="AN649" s="9"/>
      <c r="AO649" s="9"/>
      <c r="AP649" s="3"/>
      <c r="AQ649" s="8"/>
    </row>
    <row r="650" spans="1:43">
      <c r="A650" s="1">
        <f t="shared" si="71"/>
        <v>648</v>
      </c>
      <c r="B650" s="31"/>
      <c r="C650" s="1">
        <v>7</v>
      </c>
      <c r="D650" s="4">
        <f t="shared" si="74"/>
        <v>69</v>
      </c>
      <c r="E650" s="4" t="s">
        <v>230</v>
      </c>
      <c r="F650" s="4">
        <v>3</v>
      </c>
      <c r="G650" s="4" t="s">
        <v>11</v>
      </c>
      <c r="H650" s="4" t="s">
        <v>17</v>
      </c>
      <c r="I650" s="4"/>
      <c r="J650" s="5">
        <v>97.2</v>
      </c>
      <c r="K650" s="65"/>
      <c r="L650" s="37">
        <v>4.4909999999999997</v>
      </c>
      <c r="M650" s="127" t="s">
        <v>113</v>
      </c>
      <c r="N650" s="1" t="s">
        <v>13</v>
      </c>
      <c r="O650" s="71"/>
      <c r="P650" s="71"/>
      <c r="Q650" s="3"/>
      <c r="R650" s="22">
        <v>4.7469999999999999</v>
      </c>
      <c r="S650" s="22">
        <v>4.6100000000000003</v>
      </c>
      <c r="T650" s="22">
        <v>4.7640000000000002</v>
      </c>
      <c r="U650" s="22">
        <v>4.4560000000000004</v>
      </c>
      <c r="V650" s="22">
        <v>4.5439999999999996</v>
      </c>
      <c r="W650" s="41"/>
      <c r="X650" s="41"/>
      <c r="Y650" s="41"/>
      <c r="Z650" s="1">
        <v>4.4939999999999998</v>
      </c>
      <c r="AA650" s="41"/>
      <c r="AB650" s="22">
        <v>4.625</v>
      </c>
      <c r="AC650" s="22">
        <v>4.6399999999999997</v>
      </c>
      <c r="AD650" s="22">
        <v>4.633</v>
      </c>
      <c r="AE650" s="22">
        <v>4.4530000000000003</v>
      </c>
      <c r="AF650" s="22">
        <v>4.5890000000000004</v>
      </c>
      <c r="AG650" s="22">
        <v>4.2779999999999996</v>
      </c>
      <c r="AH650" s="22">
        <f t="shared" si="75"/>
        <v>4.4335000000000004</v>
      </c>
      <c r="AI650" s="9"/>
      <c r="AJ650" s="9"/>
      <c r="AK650" s="9"/>
      <c r="AL650" s="9"/>
      <c r="AM650" s="9"/>
      <c r="AN650" s="9"/>
      <c r="AO650" s="9"/>
      <c r="AP650" s="3"/>
      <c r="AQ650" s="8"/>
    </row>
    <row r="651" spans="1:43">
      <c r="A651" s="1">
        <f t="shared" si="71"/>
        <v>649</v>
      </c>
      <c r="B651" s="31"/>
      <c r="C651" s="1">
        <v>7</v>
      </c>
      <c r="D651" s="4">
        <f t="shared" si="74"/>
        <v>69</v>
      </c>
      <c r="E651" s="4" t="s">
        <v>230</v>
      </c>
      <c r="F651" s="4">
        <v>3</v>
      </c>
      <c r="G651" s="4" t="s">
        <v>11</v>
      </c>
      <c r="H651" s="4" t="s">
        <v>17</v>
      </c>
      <c r="I651" s="4"/>
      <c r="J651" s="5">
        <v>97.1</v>
      </c>
      <c r="K651" s="65"/>
      <c r="L651" s="37">
        <v>4.766</v>
      </c>
      <c r="M651" s="127" t="s">
        <v>113</v>
      </c>
      <c r="N651" s="1" t="s">
        <v>13</v>
      </c>
      <c r="O651" s="71"/>
      <c r="P651" s="71"/>
      <c r="Q651" s="3"/>
      <c r="R651" s="22">
        <v>5.0250000000000004</v>
      </c>
      <c r="S651" s="22">
        <v>4.968</v>
      </c>
      <c r="T651" s="22">
        <v>5.0640000000000001</v>
      </c>
      <c r="U651" s="22">
        <v>4.7640000000000002</v>
      </c>
      <c r="V651" s="22">
        <v>4.835</v>
      </c>
      <c r="W651" s="41"/>
      <c r="X651" s="41"/>
      <c r="Y651" s="41"/>
      <c r="Z651" s="1">
        <v>4.7729999999999997</v>
      </c>
      <c r="AA651" s="41"/>
      <c r="AB651" s="22">
        <v>4.9009999999999998</v>
      </c>
      <c r="AC651" s="22">
        <v>4.9109999999999996</v>
      </c>
      <c r="AD651" s="22">
        <v>4.931</v>
      </c>
      <c r="AE651" s="22">
        <v>4.7350000000000003</v>
      </c>
      <c r="AF651" s="22">
        <v>4.952</v>
      </c>
      <c r="AG651" s="22">
        <v>4.5279999999999996</v>
      </c>
      <c r="AH651" s="22">
        <f t="shared" si="75"/>
        <v>4.74</v>
      </c>
      <c r="AI651" s="9"/>
      <c r="AJ651" s="9"/>
      <c r="AK651" s="9"/>
      <c r="AL651" s="9"/>
      <c r="AM651" s="9"/>
      <c r="AN651" s="9"/>
      <c r="AO651" s="9"/>
      <c r="AP651" s="3"/>
      <c r="AQ651" s="8"/>
    </row>
    <row r="652" spans="1:43">
      <c r="A652" s="1">
        <f t="shared" si="71"/>
        <v>650</v>
      </c>
      <c r="B652" s="31"/>
      <c r="C652" s="1">
        <v>7</v>
      </c>
      <c r="D652" s="4">
        <f t="shared" si="74"/>
        <v>69</v>
      </c>
      <c r="E652" s="4" t="s">
        <v>225</v>
      </c>
      <c r="F652" s="4">
        <v>3</v>
      </c>
      <c r="G652" s="4" t="s">
        <v>14</v>
      </c>
      <c r="H652" s="4" t="s">
        <v>170</v>
      </c>
      <c r="I652" s="4"/>
      <c r="J652" s="5">
        <v>97.3</v>
      </c>
      <c r="K652" s="65"/>
      <c r="L652" s="37">
        <v>5.5819999999999999</v>
      </c>
      <c r="M652" s="127" t="s">
        <v>113</v>
      </c>
      <c r="N652" s="1" t="s">
        <v>13</v>
      </c>
      <c r="O652" s="71"/>
      <c r="P652" s="71"/>
      <c r="Q652" s="3"/>
      <c r="R652" s="22">
        <v>5.6820000000000004</v>
      </c>
      <c r="S652" s="22">
        <v>5.468</v>
      </c>
      <c r="T652" s="22">
        <v>5.8739999999999997</v>
      </c>
      <c r="U652" s="22">
        <v>5.6059999999999999</v>
      </c>
      <c r="V652" s="22">
        <v>5.6429999999999998</v>
      </c>
      <c r="W652" s="41"/>
      <c r="X652" s="41"/>
      <c r="Y652" s="41"/>
      <c r="Z652" s="1">
        <v>5.5650000000000004</v>
      </c>
      <c r="AA652" s="41"/>
      <c r="AB652" s="22">
        <v>5.7750000000000004</v>
      </c>
      <c r="AC652" s="22">
        <v>5.7240000000000002</v>
      </c>
      <c r="AD652" s="22">
        <v>5.64</v>
      </c>
      <c r="AE652" s="22">
        <v>5.6369999999999996</v>
      </c>
      <c r="AF652" s="22">
        <v>5.5149999999999997</v>
      </c>
      <c r="AG652" s="22">
        <v>5.5119999999999996</v>
      </c>
      <c r="AH652" s="22">
        <f t="shared" si="75"/>
        <v>5.5134999999999996</v>
      </c>
      <c r="AI652" s="9"/>
      <c r="AJ652" s="9"/>
      <c r="AK652" s="9"/>
      <c r="AL652" s="9"/>
      <c r="AM652" s="9"/>
      <c r="AN652" s="9"/>
      <c r="AO652" s="9"/>
      <c r="AP652" s="3"/>
      <c r="AQ652" s="8"/>
    </row>
    <row r="653" spans="1:43">
      <c r="A653" s="1">
        <f t="shared" si="71"/>
        <v>651</v>
      </c>
      <c r="B653" s="31" t="s">
        <v>275</v>
      </c>
      <c r="C653" s="1">
        <v>7</v>
      </c>
      <c r="D653" s="4">
        <f t="shared" si="74"/>
        <v>69</v>
      </c>
      <c r="E653" s="4" t="s">
        <v>128</v>
      </c>
      <c r="F653" s="4">
        <v>1</v>
      </c>
      <c r="G653" s="4" t="s">
        <v>14</v>
      </c>
      <c r="H653" s="4" t="s">
        <v>22</v>
      </c>
      <c r="I653" s="4"/>
      <c r="J653" s="5">
        <v>90.8</v>
      </c>
      <c r="K653" s="63">
        <v>1E-3</v>
      </c>
      <c r="L653" s="37">
        <v>2.6100000000000003</v>
      </c>
      <c r="M653" s="127" t="s">
        <v>339</v>
      </c>
      <c r="N653" s="1" t="s">
        <v>13</v>
      </c>
      <c r="O653" s="71"/>
      <c r="P653" s="23"/>
      <c r="Q653" s="3"/>
      <c r="R653" s="22">
        <v>2.5550000000000002</v>
      </c>
      <c r="S653" s="22">
        <v>2.411</v>
      </c>
      <c r="T653" s="22">
        <v>2.9319999999999999</v>
      </c>
      <c r="U653" s="22">
        <v>2.6469999999999998</v>
      </c>
      <c r="V653" s="22">
        <v>2.6680000000000001</v>
      </c>
      <c r="W653" s="22">
        <v>2.6360000000000001</v>
      </c>
      <c r="X653" s="22">
        <v>2.6469999999999998</v>
      </c>
      <c r="Y653" s="22">
        <v>2.6349999999999998</v>
      </c>
      <c r="Z653" s="22">
        <v>2.6059999999999999</v>
      </c>
      <c r="AA653" s="41"/>
      <c r="AB653" s="22">
        <v>2.609</v>
      </c>
      <c r="AC653" s="22">
        <v>2.5880000000000001</v>
      </c>
      <c r="AD653" s="22">
        <v>2.5299999999999998</v>
      </c>
      <c r="AE653" s="22">
        <v>2.4660000000000002</v>
      </c>
      <c r="AF653" s="22">
        <v>2.3980000000000001</v>
      </c>
      <c r="AG653" s="22">
        <v>2.5750000000000002</v>
      </c>
      <c r="AH653" s="22">
        <f t="shared" ref="AH653:AH674" si="76">SUM(AF653:AG653)/2</f>
        <v>2.4865000000000004</v>
      </c>
      <c r="AI653" s="9"/>
      <c r="AJ653" s="9"/>
      <c r="AK653" s="9"/>
      <c r="AL653" s="9"/>
      <c r="AM653" s="9"/>
      <c r="AN653" s="9"/>
      <c r="AO653" s="9"/>
      <c r="AP653" s="3"/>
      <c r="AQ653" s="8"/>
    </row>
    <row r="654" spans="1:43">
      <c r="A654" s="1">
        <f t="shared" si="71"/>
        <v>652</v>
      </c>
      <c r="B654" s="31"/>
      <c r="C654" s="1">
        <v>7</v>
      </c>
      <c r="D654" s="4">
        <f t="shared" si="74"/>
        <v>69</v>
      </c>
      <c r="E654" s="4" t="s">
        <v>131</v>
      </c>
      <c r="F654" s="4">
        <v>1</v>
      </c>
      <c r="G654" s="4" t="s">
        <v>14</v>
      </c>
      <c r="H654" s="4" t="s">
        <v>23</v>
      </c>
      <c r="I654" s="4"/>
      <c r="J654" s="5">
        <v>90.9</v>
      </c>
      <c r="K654" s="65"/>
      <c r="L654" s="37">
        <v>2.9030000000000005</v>
      </c>
      <c r="M654" s="127" t="s">
        <v>339</v>
      </c>
      <c r="N654" s="1" t="s">
        <v>13</v>
      </c>
      <c r="O654" s="71"/>
      <c r="P654" s="23"/>
      <c r="Q654" s="3"/>
      <c r="R654" s="22">
        <v>2.7949999999999999</v>
      </c>
      <c r="S654" s="22">
        <v>2.6749999999999998</v>
      </c>
      <c r="T654" s="22">
        <v>3.214</v>
      </c>
      <c r="U654" s="22">
        <v>2.9329999999999998</v>
      </c>
      <c r="V654" s="22">
        <v>2.948</v>
      </c>
      <c r="W654" s="22">
        <v>2.9249999999999998</v>
      </c>
      <c r="X654" s="22">
        <v>2.9369999999999998</v>
      </c>
      <c r="Y654" s="22">
        <v>2.9249999999999998</v>
      </c>
      <c r="Z654" s="22">
        <v>2.899</v>
      </c>
      <c r="AA654" s="41"/>
      <c r="AB654" s="22">
        <v>2.88</v>
      </c>
      <c r="AC654" s="22">
        <v>2.8610000000000002</v>
      </c>
      <c r="AD654" s="1">
        <v>2.7989999999999999</v>
      </c>
      <c r="AE654" s="22">
        <v>2.7389999999999999</v>
      </c>
      <c r="AF654" s="22">
        <v>2.66</v>
      </c>
      <c r="AG654" s="22">
        <v>2.8650000000000002</v>
      </c>
      <c r="AH654" s="22">
        <f t="shared" si="76"/>
        <v>2.7625000000000002</v>
      </c>
      <c r="AI654" s="9"/>
      <c r="AJ654" s="9"/>
      <c r="AK654" s="9"/>
      <c r="AL654" s="9"/>
      <c r="AM654" s="9"/>
      <c r="AN654" s="9"/>
      <c r="AO654" s="9"/>
      <c r="AP654" s="3"/>
      <c r="AQ654" s="8"/>
    </row>
    <row r="655" spans="1:43">
      <c r="A655" s="1">
        <f t="shared" si="71"/>
        <v>653</v>
      </c>
      <c r="B655" s="31"/>
      <c r="C655" s="1">
        <v>7</v>
      </c>
      <c r="D655" s="4">
        <f t="shared" si="74"/>
        <v>69</v>
      </c>
      <c r="E655" s="4" t="s">
        <v>128</v>
      </c>
      <c r="F655" s="4">
        <v>1</v>
      </c>
      <c r="G655" s="4" t="s">
        <v>14</v>
      </c>
      <c r="H655" s="4" t="s">
        <v>22</v>
      </c>
      <c r="I655" s="4"/>
      <c r="J655" s="5">
        <v>91.2</v>
      </c>
      <c r="K655" s="63">
        <v>5.0000000000000001E-3</v>
      </c>
      <c r="L655" s="37">
        <v>3.0640000000000005</v>
      </c>
      <c r="M655" s="127" t="s">
        <v>339</v>
      </c>
      <c r="N655" s="1" t="s">
        <v>13</v>
      </c>
      <c r="O655" s="71"/>
      <c r="P655" s="23"/>
      <c r="Q655" s="3"/>
      <c r="R655" s="22">
        <v>2.9660000000000002</v>
      </c>
      <c r="S655" s="22">
        <v>2.8479999999999999</v>
      </c>
      <c r="T655" s="22">
        <v>3.3839999999999999</v>
      </c>
      <c r="U655" s="22">
        <v>3.09</v>
      </c>
      <c r="V655" s="22">
        <v>3.11</v>
      </c>
      <c r="W655" s="22">
        <v>3.0910000000000002</v>
      </c>
      <c r="X655" s="22">
        <v>3.1019999999999999</v>
      </c>
      <c r="Y655" s="22">
        <v>3.0870000000000002</v>
      </c>
      <c r="Z655" s="22">
        <v>3.0640000000000001</v>
      </c>
      <c r="AA655" s="41"/>
      <c r="AB655" s="22">
        <v>3.0569999999999999</v>
      </c>
      <c r="AC655" s="22">
        <v>3.0339999999999998</v>
      </c>
      <c r="AD655" s="1">
        <v>2.972</v>
      </c>
      <c r="AE655" s="22">
        <v>2.9169999999999998</v>
      </c>
      <c r="AF655" s="22">
        <v>2.84</v>
      </c>
      <c r="AG655" s="22">
        <v>3.028</v>
      </c>
      <c r="AH655" s="22">
        <f t="shared" si="76"/>
        <v>2.9340000000000002</v>
      </c>
      <c r="AI655" s="9"/>
      <c r="AJ655" s="9"/>
      <c r="AK655" s="9"/>
      <c r="AL655" s="9"/>
      <c r="AM655" s="9"/>
      <c r="AN655" s="9"/>
      <c r="AO655" s="9"/>
      <c r="AP655" s="3"/>
      <c r="AQ655" s="8"/>
    </row>
    <row r="656" spans="1:43">
      <c r="A656" s="1">
        <f t="shared" si="71"/>
        <v>654</v>
      </c>
      <c r="B656" s="31"/>
      <c r="C656" s="1">
        <v>7</v>
      </c>
      <c r="D656" s="4">
        <f t="shared" si="74"/>
        <v>69</v>
      </c>
      <c r="E656" s="4" t="s">
        <v>131</v>
      </c>
      <c r="F656" s="4">
        <v>1</v>
      </c>
      <c r="G656" s="4" t="s">
        <v>14</v>
      </c>
      <c r="H656" s="4" t="s">
        <v>23</v>
      </c>
      <c r="I656" s="4"/>
      <c r="J656" s="5">
        <v>91.3</v>
      </c>
      <c r="K656" s="65"/>
      <c r="L656" s="37">
        <v>3.4459999999999997</v>
      </c>
      <c r="M656" s="127" t="s">
        <v>339</v>
      </c>
      <c r="N656" s="1" t="s">
        <v>13</v>
      </c>
      <c r="O656" s="71"/>
      <c r="P656" s="23"/>
      <c r="Q656" s="3"/>
      <c r="R656" s="22">
        <v>3.3210000000000002</v>
      </c>
      <c r="S656" s="22">
        <v>3.214</v>
      </c>
      <c r="T656" s="22">
        <v>3.762</v>
      </c>
      <c r="U656" s="22">
        <v>3.49</v>
      </c>
      <c r="V656" s="22">
        <v>3.488</v>
      </c>
      <c r="W656" s="22">
        <v>3.4740000000000002</v>
      </c>
      <c r="X656" s="22">
        <v>3.4849999999999999</v>
      </c>
      <c r="Y656" s="22">
        <v>3.47</v>
      </c>
      <c r="Z656" s="22">
        <v>3.448</v>
      </c>
      <c r="AA656" s="41"/>
      <c r="AB656" s="22">
        <v>3.423</v>
      </c>
      <c r="AC656" s="22">
        <v>3.4009999999999998</v>
      </c>
      <c r="AD656" s="1">
        <v>3.3380000000000001</v>
      </c>
      <c r="AE656" s="22">
        <v>3.2829999999999999</v>
      </c>
      <c r="AF656" s="22">
        <v>3.2029999999999998</v>
      </c>
      <c r="AG656" s="22">
        <v>3.4060000000000001</v>
      </c>
      <c r="AH656" s="22">
        <f t="shared" si="76"/>
        <v>3.3045</v>
      </c>
      <c r="AI656" s="9"/>
      <c r="AJ656" s="9"/>
      <c r="AK656" s="9"/>
      <c r="AL656" s="9"/>
      <c r="AM656" s="9"/>
      <c r="AN656" s="9"/>
      <c r="AO656" s="9"/>
      <c r="AP656" s="3"/>
      <c r="AQ656" s="8"/>
    </row>
    <row r="657" spans="1:43">
      <c r="A657" s="1">
        <f t="shared" si="71"/>
        <v>655</v>
      </c>
      <c r="B657" s="31"/>
      <c r="C657" s="1">
        <v>7</v>
      </c>
      <c r="D657" s="4">
        <f t="shared" si="74"/>
        <v>69</v>
      </c>
      <c r="E657" s="4" t="s">
        <v>128</v>
      </c>
      <c r="F657" s="4">
        <v>1</v>
      </c>
      <c r="G657" s="4" t="s">
        <v>14</v>
      </c>
      <c r="H657" s="4" t="s">
        <v>22</v>
      </c>
      <c r="I657" s="4"/>
      <c r="J657" s="5">
        <v>91.2</v>
      </c>
      <c r="K657" s="63">
        <v>1E-3</v>
      </c>
      <c r="L657" s="37">
        <v>3.4939999999999998</v>
      </c>
      <c r="M657" s="127" t="s">
        <v>339</v>
      </c>
      <c r="N657" s="1" t="s">
        <v>13</v>
      </c>
      <c r="O657" s="71"/>
      <c r="P657" s="23"/>
      <c r="Q657" s="3"/>
      <c r="R657" s="22">
        <v>3.367</v>
      </c>
      <c r="S657" s="22">
        <v>3.258</v>
      </c>
      <c r="T657" s="22">
        <v>3.8109999999999999</v>
      </c>
      <c r="U657" s="22">
        <v>3.5489999999999999</v>
      </c>
      <c r="V657" s="22">
        <v>3.5390000000000001</v>
      </c>
      <c r="W657" s="22">
        <v>3.5230000000000001</v>
      </c>
      <c r="X657" s="22">
        <v>3.5339999999999998</v>
      </c>
      <c r="Y657" s="22">
        <v>3.52</v>
      </c>
      <c r="Z657" s="22">
        <v>3.4969999999999999</v>
      </c>
      <c r="AA657" s="41"/>
      <c r="AB657" s="22">
        <v>3.468</v>
      </c>
      <c r="AC657" s="22">
        <v>3.4449999999999998</v>
      </c>
      <c r="AD657" s="1">
        <v>3.383</v>
      </c>
      <c r="AE657" s="22">
        <v>3.3290000000000002</v>
      </c>
      <c r="AF657" s="22">
        <v>3.2490000000000001</v>
      </c>
      <c r="AG657" s="22">
        <v>3.4590000000000001</v>
      </c>
      <c r="AH657" s="22">
        <f t="shared" si="76"/>
        <v>3.3540000000000001</v>
      </c>
      <c r="AI657" s="9"/>
      <c r="AJ657" s="9"/>
      <c r="AK657" s="9"/>
      <c r="AL657" s="9"/>
      <c r="AM657" s="9"/>
      <c r="AN657" s="9"/>
      <c r="AO657" s="9"/>
      <c r="AP657" s="3"/>
      <c r="AQ657" s="8"/>
    </row>
    <row r="658" spans="1:43">
      <c r="A658" s="1">
        <f t="shared" si="71"/>
        <v>656</v>
      </c>
      <c r="B658" s="31"/>
      <c r="C658" s="1">
        <v>7</v>
      </c>
      <c r="D658" s="4">
        <f t="shared" si="74"/>
        <v>69</v>
      </c>
      <c r="E658" s="4" t="s">
        <v>137</v>
      </c>
      <c r="F658" s="4">
        <v>1</v>
      </c>
      <c r="G658" s="4" t="s">
        <v>14</v>
      </c>
      <c r="H658" s="4" t="s">
        <v>15</v>
      </c>
      <c r="I658" s="4"/>
      <c r="J658" s="5">
        <v>85</v>
      </c>
      <c r="K658" s="63">
        <v>0</v>
      </c>
      <c r="L658" s="37">
        <v>3.7919999999999998</v>
      </c>
      <c r="M658" s="127" t="s">
        <v>339</v>
      </c>
      <c r="N658" s="1" t="s">
        <v>13</v>
      </c>
      <c r="O658" s="71"/>
      <c r="P658" s="23"/>
      <c r="Q658" s="3"/>
      <c r="R658" s="22">
        <v>2.8359999999999999</v>
      </c>
      <c r="S658" s="22">
        <v>2.9140000000000001</v>
      </c>
      <c r="T658" s="22">
        <v>4.1669999999999998</v>
      </c>
      <c r="U658" s="41"/>
      <c r="V658" s="22">
        <v>4.1139999999999999</v>
      </c>
      <c r="W658" s="22">
        <v>3.89</v>
      </c>
      <c r="X658" s="22">
        <v>3.91</v>
      </c>
      <c r="Y658" s="22">
        <v>3.8620000000000001</v>
      </c>
      <c r="Z658" s="22">
        <v>3.6970000000000001</v>
      </c>
      <c r="AA658" s="41"/>
      <c r="AB658" s="22">
        <v>3.71</v>
      </c>
      <c r="AC658" s="22">
        <v>3.778</v>
      </c>
      <c r="AD658" s="1">
        <v>3.4980000000000002</v>
      </c>
      <c r="AE658" s="22">
        <v>3.492</v>
      </c>
      <c r="AF658" s="22">
        <v>2.871</v>
      </c>
      <c r="AG658" s="22">
        <v>4.7279999999999998</v>
      </c>
      <c r="AH658" s="22">
        <f t="shared" ref="AH658" si="77">SUM(AF658:AG658)/2</f>
        <v>3.7995000000000001</v>
      </c>
      <c r="AI658" s="9"/>
      <c r="AJ658" s="9"/>
      <c r="AK658" s="9"/>
      <c r="AL658" s="9"/>
      <c r="AM658" s="9"/>
      <c r="AN658" s="9"/>
      <c r="AO658" s="9"/>
      <c r="AP658" s="3"/>
      <c r="AQ658" s="8"/>
    </row>
    <row r="659" spans="1:43">
      <c r="A659" s="1">
        <f t="shared" si="71"/>
        <v>657</v>
      </c>
      <c r="B659" s="31"/>
      <c r="C659" s="1">
        <v>7</v>
      </c>
      <c r="D659" s="4">
        <f t="shared" si="74"/>
        <v>69</v>
      </c>
      <c r="E659" s="4" t="s">
        <v>137</v>
      </c>
      <c r="F659" s="4">
        <v>1</v>
      </c>
      <c r="G659" s="4" t="s">
        <v>11</v>
      </c>
      <c r="H659" s="4" t="s">
        <v>17</v>
      </c>
      <c r="I659" s="4"/>
      <c r="J659" s="5">
        <v>87.3</v>
      </c>
      <c r="K659" s="63">
        <v>0.05</v>
      </c>
      <c r="L659" s="37">
        <v>3.8529999999999998</v>
      </c>
      <c r="M659" s="127" t="s">
        <v>339</v>
      </c>
      <c r="N659" s="1" t="s">
        <v>13</v>
      </c>
      <c r="O659" s="71"/>
      <c r="P659" s="23"/>
      <c r="Q659" s="3"/>
      <c r="R659" s="22">
        <v>3.9809999999999999</v>
      </c>
      <c r="S659" s="22">
        <v>3.82</v>
      </c>
      <c r="T659" s="22">
        <v>4.25</v>
      </c>
      <c r="U659" s="22">
        <v>4.0629999999999997</v>
      </c>
      <c r="V659" s="22">
        <v>3.9889999999999999</v>
      </c>
      <c r="W659" s="22">
        <v>3.9279999999999999</v>
      </c>
      <c r="X659" s="22">
        <v>3.8839999999999999</v>
      </c>
      <c r="Y659" s="22">
        <v>3.9180000000000001</v>
      </c>
      <c r="Z659" s="22">
        <v>3.847</v>
      </c>
      <c r="AA659" s="41"/>
      <c r="AB659" s="22">
        <v>3.8319999999999999</v>
      </c>
      <c r="AC659" s="22">
        <v>3.891</v>
      </c>
      <c r="AD659" s="1">
        <v>3.8820000000000001</v>
      </c>
      <c r="AE659" s="22">
        <v>3.6150000000000002</v>
      </c>
      <c r="AF659" s="22">
        <v>3.7389999999999999</v>
      </c>
      <c r="AG659" s="22">
        <v>3.8969999999999998</v>
      </c>
      <c r="AH659" s="22">
        <f t="shared" si="76"/>
        <v>3.8179999999999996</v>
      </c>
      <c r="AI659" s="9"/>
      <c r="AJ659" s="9"/>
      <c r="AK659" s="9"/>
      <c r="AL659" s="9"/>
      <c r="AM659" s="9"/>
      <c r="AN659" s="9"/>
      <c r="AO659" s="9"/>
      <c r="AP659" s="3"/>
      <c r="AQ659" s="8"/>
    </row>
    <row r="660" spans="1:43">
      <c r="A660" s="1">
        <f t="shared" si="71"/>
        <v>658</v>
      </c>
      <c r="B660" s="31"/>
      <c r="C660" s="1">
        <v>7</v>
      </c>
      <c r="D660" s="4">
        <f t="shared" si="74"/>
        <v>69</v>
      </c>
      <c r="E660" s="4" t="s">
        <v>118</v>
      </c>
      <c r="F660" s="4">
        <v>1</v>
      </c>
      <c r="G660" s="4" t="s">
        <v>14</v>
      </c>
      <c r="H660" s="4" t="s">
        <v>16</v>
      </c>
      <c r="I660" s="4"/>
      <c r="J660" s="5">
        <v>85.5</v>
      </c>
      <c r="K660" s="63">
        <v>0.01</v>
      </c>
      <c r="L660" s="37">
        <v>3.9989999999999992</v>
      </c>
      <c r="M660" s="127" t="s">
        <v>339</v>
      </c>
      <c r="N660" s="1" t="s">
        <v>13</v>
      </c>
      <c r="O660" s="71"/>
      <c r="P660" s="23"/>
      <c r="Q660" s="3"/>
      <c r="R660" s="22">
        <v>2.7719999999999998</v>
      </c>
      <c r="S660" s="22">
        <v>3.0859999999999999</v>
      </c>
      <c r="T660" s="22">
        <v>4.3680000000000003</v>
      </c>
      <c r="U660" s="41"/>
      <c r="V660" s="22">
        <v>4.2679999999999998</v>
      </c>
      <c r="W660" s="22">
        <v>4.077</v>
      </c>
      <c r="X660" s="22">
        <v>4.1079999999999997</v>
      </c>
      <c r="Y660" s="22">
        <v>4.0839999999999996</v>
      </c>
      <c r="Z660" s="22">
        <v>3.9209999999999998</v>
      </c>
      <c r="AA660" s="41"/>
      <c r="AB660" s="22">
        <v>3.851</v>
      </c>
      <c r="AC660" s="22">
        <v>3.92</v>
      </c>
      <c r="AD660" s="1">
        <v>3.6389999999999998</v>
      </c>
      <c r="AE660" s="22">
        <v>3.6339999999999999</v>
      </c>
      <c r="AF660" s="22">
        <v>3.04</v>
      </c>
      <c r="AG660" s="22">
        <v>4.9080000000000004</v>
      </c>
      <c r="AH660" s="22">
        <f t="shared" si="76"/>
        <v>3.9740000000000002</v>
      </c>
      <c r="AI660" s="9"/>
      <c r="AJ660" s="9"/>
      <c r="AK660" s="9"/>
      <c r="AL660" s="9"/>
      <c r="AM660" s="9"/>
      <c r="AN660" s="9"/>
      <c r="AO660" s="9"/>
      <c r="AP660" s="3"/>
      <c r="AQ660" s="8"/>
    </row>
    <row r="661" spans="1:43">
      <c r="A661" s="1">
        <f t="shared" si="71"/>
        <v>659</v>
      </c>
      <c r="B661" s="31"/>
      <c r="C661" s="1">
        <v>7</v>
      </c>
      <c r="D661" s="4">
        <f t="shared" si="74"/>
        <v>69</v>
      </c>
      <c r="E661" s="4" t="s">
        <v>118</v>
      </c>
      <c r="F661" s="4">
        <v>1</v>
      </c>
      <c r="G661" s="4" t="s">
        <v>11</v>
      </c>
      <c r="H661" s="4" t="s">
        <v>17</v>
      </c>
      <c r="I661" s="4"/>
      <c r="J661" s="5">
        <v>90.8</v>
      </c>
      <c r="K661" s="63">
        <v>8.9999999999999993E-3</v>
      </c>
      <c r="L661" s="37">
        <v>4.2109999999999994</v>
      </c>
      <c r="M661" s="127" t="s">
        <v>339</v>
      </c>
      <c r="N661" s="1" t="s">
        <v>13</v>
      </c>
      <c r="O661" s="71"/>
      <c r="P661" s="23"/>
      <c r="Q661" s="3"/>
      <c r="R661" s="22">
        <v>4.2629999999999999</v>
      </c>
      <c r="S661" s="22">
        <v>4.1100000000000003</v>
      </c>
      <c r="T661" s="22">
        <v>4.5540000000000003</v>
      </c>
      <c r="U661" s="22">
        <v>4.2300000000000004</v>
      </c>
      <c r="V661" s="22">
        <v>4.2889999999999997</v>
      </c>
      <c r="W661" s="22">
        <v>4.2430000000000003</v>
      </c>
      <c r="X661" s="22">
        <v>4.2169999999999996</v>
      </c>
      <c r="Y661" s="22">
        <v>4.2430000000000003</v>
      </c>
      <c r="Z661" s="22">
        <v>4.2130000000000001</v>
      </c>
      <c r="AA661" s="41"/>
      <c r="AB661" s="22">
        <v>4.2469999999999999</v>
      </c>
      <c r="AC661" s="22">
        <v>4.2320000000000002</v>
      </c>
      <c r="AD661" s="1">
        <v>4.1929999999999996</v>
      </c>
      <c r="AE661" s="22">
        <v>4.4059999999999997</v>
      </c>
      <c r="AF661" s="22">
        <v>4.0919999999999996</v>
      </c>
      <c r="AG661" s="22">
        <v>4.1870000000000003</v>
      </c>
      <c r="AH661" s="22">
        <f t="shared" si="76"/>
        <v>4.1395</v>
      </c>
      <c r="AI661" s="9"/>
      <c r="AJ661" s="9"/>
      <c r="AK661" s="9"/>
      <c r="AL661" s="9"/>
      <c r="AM661" s="9"/>
      <c r="AN661" s="9"/>
      <c r="AO661" s="9"/>
      <c r="AP661" s="3"/>
      <c r="AQ661" s="8"/>
    </row>
    <row r="662" spans="1:43">
      <c r="A662" s="1">
        <f t="shared" si="71"/>
        <v>660</v>
      </c>
      <c r="B662" s="31" t="s">
        <v>328</v>
      </c>
      <c r="C662" s="1">
        <v>11</v>
      </c>
      <c r="D662" s="4">
        <f t="shared" si="74"/>
        <v>1016</v>
      </c>
      <c r="E662" s="4" t="s">
        <v>137</v>
      </c>
      <c r="F662" s="4">
        <v>1</v>
      </c>
      <c r="G662" s="4" t="s">
        <v>11</v>
      </c>
      <c r="H662" s="4" t="s">
        <v>17</v>
      </c>
      <c r="I662" s="4"/>
      <c r="J662" s="5">
        <v>86.5</v>
      </c>
      <c r="K662" s="63" t="s">
        <v>282</v>
      </c>
      <c r="L662" s="37">
        <v>4.6950000000000003</v>
      </c>
      <c r="M662" s="127" t="s">
        <v>113</v>
      </c>
      <c r="N662" s="1" t="s">
        <v>13</v>
      </c>
      <c r="O662" s="71"/>
      <c r="P662" s="23"/>
      <c r="Q662" s="3"/>
      <c r="R662" s="22">
        <v>4.8929999999999998</v>
      </c>
      <c r="S662" s="22">
        <v>4.8150000000000004</v>
      </c>
      <c r="T662" s="22">
        <v>5.1740000000000004</v>
      </c>
      <c r="U662" s="41"/>
      <c r="V662" s="22">
        <v>4.8689999999999998</v>
      </c>
      <c r="W662" s="22">
        <v>4.7830000000000004</v>
      </c>
      <c r="X662" s="22">
        <v>4.7869999999999999</v>
      </c>
      <c r="Y662" s="22">
        <v>4.7560000000000002</v>
      </c>
      <c r="Z662" s="22">
        <v>4.7130000000000001</v>
      </c>
      <c r="AA662" s="41"/>
      <c r="AB662" s="22">
        <v>4.7160000000000002</v>
      </c>
      <c r="AC662" s="22">
        <v>4.71</v>
      </c>
      <c r="AD662" s="22">
        <v>4.7510000000000003</v>
      </c>
      <c r="AE662" s="22">
        <v>4.4909999999999997</v>
      </c>
      <c r="AF662" s="22">
        <v>4.8129999999999997</v>
      </c>
      <c r="AG662" s="22">
        <v>4.6689999999999996</v>
      </c>
      <c r="AH662" s="22">
        <f t="shared" si="76"/>
        <v>4.7409999999999997</v>
      </c>
      <c r="AI662" s="9"/>
      <c r="AJ662" s="9"/>
      <c r="AK662" s="9"/>
      <c r="AL662" s="9"/>
      <c r="AM662" s="9"/>
      <c r="AN662" s="9"/>
      <c r="AO662" s="9"/>
      <c r="AP662" s="3"/>
      <c r="AQ662" s="8"/>
    </row>
    <row r="663" spans="1:43">
      <c r="A663" s="1">
        <f t="shared" si="71"/>
        <v>661</v>
      </c>
      <c r="B663" s="31"/>
      <c r="C663" s="1">
        <v>11</v>
      </c>
      <c r="D663" s="4">
        <f t="shared" si="74"/>
        <v>1016</v>
      </c>
      <c r="E663" s="4" t="s">
        <v>118</v>
      </c>
      <c r="F663" s="4">
        <v>1</v>
      </c>
      <c r="G663" s="4" t="s">
        <v>11</v>
      </c>
      <c r="H663" s="4" t="s">
        <v>17</v>
      </c>
      <c r="I663" s="4"/>
      <c r="J663" s="5"/>
      <c r="K663" s="63" t="s">
        <v>282</v>
      </c>
      <c r="L663" s="37">
        <v>5.0030000000000001</v>
      </c>
      <c r="M663" s="127" t="s">
        <v>113</v>
      </c>
      <c r="N663" s="1" t="s">
        <v>13</v>
      </c>
      <c r="O663" s="71"/>
      <c r="P663" s="23"/>
      <c r="Q663" s="3"/>
      <c r="R663" s="22">
        <v>5.3230000000000004</v>
      </c>
      <c r="S663" s="22">
        <v>4.9960000000000004</v>
      </c>
      <c r="T663" s="22">
        <v>5.4409999999999998</v>
      </c>
      <c r="U663" s="41"/>
      <c r="V663" s="22">
        <v>5.15</v>
      </c>
      <c r="W663" s="22">
        <v>5.0640000000000001</v>
      </c>
      <c r="X663" s="22">
        <v>5.0620000000000003</v>
      </c>
      <c r="Y663" s="22">
        <v>5.0469999999999997</v>
      </c>
      <c r="Z663" s="22">
        <v>5.0019999999999998</v>
      </c>
      <c r="AA663" s="41"/>
      <c r="AB663" s="22">
        <v>5.0810000000000004</v>
      </c>
      <c r="AC663" s="22">
        <v>5.0970000000000004</v>
      </c>
      <c r="AD663" s="22">
        <v>5.0659999999999998</v>
      </c>
      <c r="AE663" s="22">
        <v>4.8710000000000004</v>
      </c>
      <c r="AF663" s="22">
        <v>4.9669999999999996</v>
      </c>
      <c r="AG663" s="22">
        <v>4.92</v>
      </c>
      <c r="AH663" s="22">
        <f t="shared" si="76"/>
        <v>4.9435000000000002</v>
      </c>
      <c r="AI663" s="9"/>
      <c r="AJ663" s="9"/>
      <c r="AK663" s="9"/>
      <c r="AL663" s="9"/>
      <c r="AM663" s="9"/>
      <c r="AN663" s="9"/>
      <c r="AO663" s="9"/>
      <c r="AP663" s="3"/>
      <c r="AQ663" s="8"/>
    </row>
    <row r="664" spans="1:43">
      <c r="A664" s="1">
        <f t="shared" si="71"/>
        <v>662</v>
      </c>
      <c r="B664" s="31"/>
      <c r="C664" s="1">
        <v>11</v>
      </c>
      <c r="D664" s="4">
        <f t="shared" si="74"/>
        <v>1016</v>
      </c>
      <c r="E664" s="4" t="s">
        <v>137</v>
      </c>
      <c r="F664" s="4">
        <v>1</v>
      </c>
      <c r="G664" s="4" t="s">
        <v>11</v>
      </c>
      <c r="H664" s="4" t="s">
        <v>17</v>
      </c>
      <c r="I664" s="4" t="s">
        <v>274</v>
      </c>
      <c r="J664" s="5"/>
      <c r="K664" s="63" t="s">
        <v>282</v>
      </c>
      <c r="L664" s="37">
        <v>5.3460000000000001</v>
      </c>
      <c r="M664" s="127" t="s">
        <v>113</v>
      </c>
      <c r="N664" s="1" t="s">
        <v>13</v>
      </c>
      <c r="O664" s="71"/>
      <c r="P664" s="23"/>
      <c r="Q664" s="3"/>
      <c r="R664" s="22">
        <v>5.7249999999999996</v>
      </c>
      <c r="S664" s="22">
        <v>5.367</v>
      </c>
      <c r="T664" s="22">
        <v>5.8639999999999999</v>
      </c>
      <c r="U664" s="41"/>
      <c r="V664" s="22">
        <v>5.6280000000000001</v>
      </c>
      <c r="W664" s="22">
        <v>5.4450000000000003</v>
      </c>
      <c r="X664" s="22">
        <v>5.4260000000000002</v>
      </c>
      <c r="Y664" s="22">
        <v>5.4089999999999998</v>
      </c>
      <c r="Z664" s="22">
        <v>5.32</v>
      </c>
      <c r="AA664" s="41"/>
      <c r="AB664" s="22">
        <v>5.6580000000000004</v>
      </c>
      <c r="AC664" s="22">
        <v>5.6479999999999997</v>
      </c>
      <c r="AD664" s="22">
        <v>5.5609999999999999</v>
      </c>
      <c r="AE664" s="22">
        <v>5.4710000000000001</v>
      </c>
      <c r="AF664" s="22">
        <v>5.3970000000000002</v>
      </c>
      <c r="AG664" s="22">
        <v>5.2869999999999999</v>
      </c>
      <c r="AH664" s="22">
        <f t="shared" si="76"/>
        <v>5.3420000000000005</v>
      </c>
      <c r="AI664" s="9"/>
      <c r="AJ664" s="9"/>
      <c r="AK664" s="9"/>
      <c r="AL664" s="9"/>
      <c r="AM664" s="9"/>
      <c r="AN664" s="9"/>
      <c r="AO664" s="9"/>
      <c r="AP664" s="3"/>
      <c r="AQ664" s="8"/>
    </row>
    <row r="665" spans="1:43">
      <c r="A665" s="1">
        <f t="shared" si="71"/>
        <v>663</v>
      </c>
      <c r="B665" s="31"/>
      <c r="C665" s="1">
        <v>11</v>
      </c>
      <c r="D665" s="4">
        <f t="shared" si="74"/>
        <v>1016</v>
      </c>
      <c r="E665" s="4" t="s">
        <v>128</v>
      </c>
      <c r="F665" s="4">
        <v>1</v>
      </c>
      <c r="G665" s="4" t="s">
        <v>14</v>
      </c>
      <c r="H665" s="4" t="s">
        <v>22</v>
      </c>
      <c r="I665" s="4"/>
      <c r="J665" s="5">
        <v>91.8</v>
      </c>
      <c r="K665" s="63" t="s">
        <v>282</v>
      </c>
      <c r="L665" s="37">
        <v>5.5739999999999998</v>
      </c>
      <c r="M665" s="127" t="s">
        <v>113</v>
      </c>
      <c r="N665" s="1" t="s">
        <v>13</v>
      </c>
      <c r="O665" s="71"/>
      <c r="P665" s="23"/>
      <c r="Q665" s="3"/>
      <c r="R665" s="22">
        <v>5.5970000000000004</v>
      </c>
      <c r="S665" s="22">
        <v>5.4489999999999998</v>
      </c>
      <c r="T665" s="22">
        <v>5.9550000000000001</v>
      </c>
      <c r="U665" s="41"/>
      <c r="V665" s="22">
        <v>5.6470000000000002</v>
      </c>
      <c r="W665" s="22">
        <v>5.609</v>
      </c>
      <c r="X665" s="22">
        <v>5.617</v>
      </c>
      <c r="Y665" s="22">
        <v>5.609</v>
      </c>
      <c r="Z665" s="22">
        <v>5.5739999999999998</v>
      </c>
      <c r="AA665" s="41"/>
      <c r="AB665" s="22">
        <v>5.7350000000000003</v>
      </c>
      <c r="AC665" s="22">
        <v>5.6790000000000003</v>
      </c>
      <c r="AD665" s="22">
        <v>5.6029999999999998</v>
      </c>
      <c r="AE665" s="22">
        <v>5.5970000000000004</v>
      </c>
      <c r="AF665" s="22">
        <v>5.4870000000000001</v>
      </c>
      <c r="AG665" s="22">
        <v>5.5220000000000002</v>
      </c>
      <c r="AH665" s="22">
        <f t="shared" si="76"/>
        <v>5.5045000000000002</v>
      </c>
      <c r="AI665" s="9"/>
      <c r="AJ665" s="9"/>
      <c r="AK665" s="9"/>
      <c r="AL665" s="9"/>
      <c r="AM665" s="9"/>
      <c r="AN665" s="9"/>
      <c r="AO665" s="9"/>
      <c r="AP665" s="3"/>
      <c r="AQ665" s="8"/>
    </row>
    <row r="666" spans="1:43">
      <c r="A666" s="1">
        <f t="shared" si="71"/>
        <v>664</v>
      </c>
      <c r="B666" s="31"/>
      <c r="C666" s="1">
        <v>11</v>
      </c>
      <c r="D666" s="4">
        <f t="shared" si="74"/>
        <v>1016</v>
      </c>
      <c r="E666" s="4" t="s">
        <v>131</v>
      </c>
      <c r="F666" s="4">
        <v>1</v>
      </c>
      <c r="G666" s="4" t="s">
        <v>14</v>
      </c>
      <c r="H666" s="4" t="s">
        <v>22</v>
      </c>
      <c r="I666" s="4"/>
      <c r="J666" s="5">
        <v>91.8</v>
      </c>
      <c r="K666" s="63"/>
      <c r="L666" s="37">
        <v>5.6280000000000001</v>
      </c>
      <c r="M666" s="127" t="s">
        <v>113</v>
      </c>
      <c r="N666" s="1" t="s">
        <v>13</v>
      </c>
      <c r="O666" s="71"/>
      <c r="P666" s="23"/>
      <c r="Q666" s="3"/>
      <c r="R666" s="22">
        <v>5.7069999999999999</v>
      </c>
      <c r="S666" s="22">
        <v>5.5910000000000002</v>
      </c>
      <c r="T666" s="22">
        <v>5.9740000000000002</v>
      </c>
      <c r="U666" s="41"/>
      <c r="V666" s="22">
        <v>5.7510000000000003</v>
      </c>
      <c r="W666" s="22">
        <v>5.6660000000000004</v>
      </c>
      <c r="X666" s="22">
        <v>5.67</v>
      </c>
      <c r="Y666" s="22">
        <v>5.6580000000000004</v>
      </c>
      <c r="Z666" s="22">
        <v>5.62</v>
      </c>
      <c r="AA666" s="41"/>
      <c r="AB666" s="22">
        <v>5.8659999999999997</v>
      </c>
      <c r="AC666" s="22">
        <v>5.8049999999999997</v>
      </c>
      <c r="AD666" s="22">
        <v>5.7350000000000003</v>
      </c>
      <c r="AE666" s="22">
        <v>5.7510000000000003</v>
      </c>
      <c r="AF666" s="22">
        <v>5.6639999999999997</v>
      </c>
      <c r="AG666" s="22">
        <v>5.5780000000000003</v>
      </c>
      <c r="AH666" s="22">
        <f t="shared" si="76"/>
        <v>5.6210000000000004</v>
      </c>
      <c r="AI666" s="9"/>
      <c r="AJ666" s="9"/>
      <c r="AK666" s="9"/>
      <c r="AL666" s="9"/>
      <c r="AM666" s="9"/>
      <c r="AN666" s="9"/>
      <c r="AO666" s="9"/>
      <c r="AP666" s="3"/>
      <c r="AQ666" s="8"/>
    </row>
    <row r="667" spans="1:43">
      <c r="A667" s="1">
        <f t="shared" si="71"/>
        <v>665</v>
      </c>
      <c r="B667" s="31"/>
      <c r="C667" s="1">
        <v>11</v>
      </c>
      <c r="D667" s="4">
        <f t="shared" si="74"/>
        <v>1016</v>
      </c>
      <c r="E667" s="4" t="s">
        <v>118</v>
      </c>
      <c r="F667" s="4">
        <v>1</v>
      </c>
      <c r="G667" s="4" t="s">
        <v>11</v>
      </c>
      <c r="H667" s="4" t="s">
        <v>17</v>
      </c>
      <c r="I667" s="4" t="s">
        <v>274</v>
      </c>
      <c r="J667" s="5"/>
      <c r="K667" s="63" t="s">
        <v>282</v>
      </c>
      <c r="L667" s="50">
        <v>5.8780000000000001</v>
      </c>
      <c r="M667" s="127" t="s">
        <v>113</v>
      </c>
      <c r="N667" s="25" t="s">
        <v>111</v>
      </c>
      <c r="O667" s="71"/>
      <c r="P667" s="23"/>
      <c r="Q667" s="3"/>
      <c r="R667" s="22">
        <v>6.5549999999999997</v>
      </c>
      <c r="S667" s="22">
        <v>5.8630000000000004</v>
      </c>
      <c r="T667" s="22">
        <v>6.593</v>
      </c>
      <c r="U667" s="41"/>
      <c r="V667" s="22">
        <v>6.335</v>
      </c>
      <c r="W667" s="22">
        <v>6.02</v>
      </c>
      <c r="X667" s="22">
        <v>6.0019999999999998</v>
      </c>
      <c r="Y667" s="22">
        <v>5.9740000000000002</v>
      </c>
      <c r="Z667" s="22">
        <v>5.8170000000000002</v>
      </c>
      <c r="AA667" s="41"/>
      <c r="AB667" s="22">
        <v>6.3680000000000003</v>
      </c>
      <c r="AC667" s="22">
        <v>6.3540000000000001</v>
      </c>
      <c r="AD667" s="22">
        <v>6.2050000000000001</v>
      </c>
      <c r="AE667" s="22">
        <v>6.1580000000000004</v>
      </c>
      <c r="AF667" s="22">
        <v>5.91</v>
      </c>
      <c r="AG667" s="22">
        <v>5.9950000000000001</v>
      </c>
      <c r="AH667" s="22">
        <f t="shared" si="76"/>
        <v>5.9525000000000006</v>
      </c>
      <c r="AI667" s="9"/>
      <c r="AJ667" s="9"/>
      <c r="AK667" s="9"/>
      <c r="AL667" s="9"/>
      <c r="AM667" s="9"/>
      <c r="AN667" s="9"/>
      <c r="AO667" s="9"/>
      <c r="AP667" s="3"/>
      <c r="AQ667" s="8"/>
    </row>
    <row r="668" spans="1:43">
      <c r="A668" s="1">
        <f t="shared" si="71"/>
        <v>666</v>
      </c>
      <c r="B668" s="31" t="s">
        <v>560</v>
      </c>
      <c r="C668" s="1">
        <v>11</v>
      </c>
      <c r="D668" s="4">
        <f t="shared" si="74"/>
        <v>1016</v>
      </c>
      <c r="E668" s="4" t="s">
        <v>137</v>
      </c>
      <c r="F668" s="4">
        <v>1</v>
      </c>
      <c r="G668" s="4" t="s">
        <v>11</v>
      </c>
      <c r="H668" s="4" t="s">
        <v>17</v>
      </c>
      <c r="I668" s="4"/>
      <c r="J668" s="5"/>
      <c r="K668" s="63" t="s">
        <v>282</v>
      </c>
      <c r="L668" s="37">
        <v>5.0410000000000004</v>
      </c>
      <c r="M668" s="127" t="s">
        <v>113</v>
      </c>
      <c r="N668" s="1" t="s">
        <v>13</v>
      </c>
      <c r="O668" s="71"/>
      <c r="P668" s="23"/>
      <c r="Q668" s="3"/>
      <c r="R668" s="22">
        <v>5.4130000000000003</v>
      </c>
      <c r="S668" s="22">
        <v>5.2130000000000001</v>
      </c>
      <c r="T668" s="22">
        <v>5.4829999999999997</v>
      </c>
      <c r="U668" s="41"/>
      <c r="V668" s="22">
        <v>5.1970000000000001</v>
      </c>
      <c r="W668" s="22">
        <v>5.1280000000000001</v>
      </c>
      <c r="X668" s="22">
        <v>5.1340000000000003</v>
      </c>
      <c r="Y668" s="22">
        <v>5.101</v>
      </c>
      <c r="Z668" s="22">
        <v>5.0709999999999997</v>
      </c>
      <c r="AA668" s="41"/>
      <c r="AB668" s="22">
        <v>5.0229999999999997</v>
      </c>
      <c r="AC668" s="22">
        <v>5.0110000000000001</v>
      </c>
      <c r="AD668" s="22">
        <v>5.0839999999999996</v>
      </c>
      <c r="AE668" s="22">
        <v>4.7990000000000004</v>
      </c>
      <c r="AF668" s="1">
        <v>5.2240000000000002</v>
      </c>
      <c r="AG668" s="22">
        <v>5</v>
      </c>
      <c r="AH668" s="22">
        <f t="shared" si="76"/>
        <v>5.1120000000000001</v>
      </c>
      <c r="AI668" s="9"/>
      <c r="AJ668" s="9"/>
      <c r="AK668" s="9"/>
      <c r="AL668" s="9"/>
      <c r="AM668" s="9"/>
      <c r="AN668" s="9"/>
      <c r="AO668" s="9"/>
      <c r="AP668" s="3"/>
      <c r="AQ668" s="8"/>
    </row>
    <row r="669" spans="1:43">
      <c r="A669" s="1">
        <f t="shared" si="71"/>
        <v>667</v>
      </c>
      <c r="B669" s="31"/>
      <c r="C669" s="1">
        <v>11</v>
      </c>
      <c r="D669" s="4">
        <f t="shared" si="74"/>
        <v>1016</v>
      </c>
      <c r="E669" s="4" t="s">
        <v>131</v>
      </c>
      <c r="F669" s="4">
        <v>1</v>
      </c>
      <c r="G669" s="4" t="s">
        <v>14</v>
      </c>
      <c r="H669" s="4" t="s">
        <v>170</v>
      </c>
      <c r="I669" s="4"/>
      <c r="J669" s="5"/>
      <c r="K669" s="63"/>
      <c r="L669" s="37">
        <v>5.524</v>
      </c>
      <c r="M669" s="127" t="s">
        <v>113</v>
      </c>
      <c r="N669" s="1" t="s">
        <v>13</v>
      </c>
      <c r="O669" s="71"/>
      <c r="P669" s="23"/>
      <c r="Q669" s="3"/>
      <c r="R669" s="22">
        <v>5.59</v>
      </c>
      <c r="S669" s="22">
        <v>5.4820000000000002</v>
      </c>
      <c r="T669" s="22">
        <v>5.8540000000000001</v>
      </c>
      <c r="U669" s="41"/>
      <c r="V669" s="22">
        <v>5.6269999999999998</v>
      </c>
      <c r="W669" s="22">
        <v>5.548</v>
      </c>
      <c r="X669" s="22">
        <v>5.5529999999999999</v>
      </c>
      <c r="Y669" s="22">
        <v>5.5430000000000001</v>
      </c>
      <c r="Z669" s="22">
        <v>5.5140000000000002</v>
      </c>
      <c r="AA669" s="41"/>
      <c r="AB669" s="22">
        <v>5.7389999999999999</v>
      </c>
      <c r="AC669" s="1">
        <v>5.6760000000000002</v>
      </c>
      <c r="AD669" s="22">
        <v>5.6120000000000001</v>
      </c>
      <c r="AE669" s="22">
        <v>5.625</v>
      </c>
      <c r="AF669" s="22">
        <v>5.5529999999999999</v>
      </c>
      <c r="AG669" s="22">
        <v>5.4610000000000003</v>
      </c>
      <c r="AH669" s="22">
        <f t="shared" si="76"/>
        <v>5.5069999999999997</v>
      </c>
      <c r="AI669" s="9"/>
      <c r="AJ669" s="9"/>
      <c r="AK669" s="9"/>
      <c r="AL669" s="9"/>
      <c r="AM669" s="9"/>
      <c r="AN669" s="9"/>
      <c r="AO669" s="9"/>
      <c r="AP669" s="3"/>
      <c r="AQ669" s="8"/>
    </row>
    <row r="670" spans="1:43">
      <c r="A670" s="1">
        <f t="shared" si="71"/>
        <v>668</v>
      </c>
      <c r="B670" s="31"/>
      <c r="C670" s="1">
        <v>11</v>
      </c>
      <c r="D670" s="4">
        <f t="shared" si="74"/>
        <v>1016</v>
      </c>
      <c r="E670" s="4" t="s">
        <v>137</v>
      </c>
      <c r="F670" s="4">
        <v>1</v>
      </c>
      <c r="G670" s="4" t="s">
        <v>11</v>
      </c>
      <c r="H670" s="4" t="s">
        <v>17</v>
      </c>
      <c r="I670" s="4" t="s">
        <v>274</v>
      </c>
      <c r="J670" s="5"/>
      <c r="K670" s="63" t="s">
        <v>282</v>
      </c>
      <c r="L670" s="50">
        <v>5.6150000000000002</v>
      </c>
      <c r="M670" s="127" t="s">
        <v>113</v>
      </c>
      <c r="N670" s="25" t="s">
        <v>111</v>
      </c>
      <c r="O670" s="71"/>
      <c r="P670" s="23"/>
      <c r="Q670" s="3"/>
      <c r="R670" s="22">
        <v>5.8719999999999999</v>
      </c>
      <c r="S670" s="22">
        <v>5.5389999999999997</v>
      </c>
      <c r="T670" s="22">
        <v>6.2210000000000001</v>
      </c>
      <c r="U670" s="41"/>
      <c r="V670" s="22">
        <v>5.9539999999999997</v>
      </c>
      <c r="W670" s="22">
        <v>5.843</v>
      </c>
      <c r="X670" s="22">
        <v>5.7210000000000001</v>
      </c>
      <c r="Y670" s="22">
        <v>5.6859999999999999</v>
      </c>
      <c r="Z670" s="22">
        <v>5.5650000000000004</v>
      </c>
      <c r="AA670" s="41"/>
      <c r="AB670" s="22">
        <v>6.0419999999999998</v>
      </c>
      <c r="AC670" s="22">
        <v>6.0129999999999999</v>
      </c>
      <c r="AD670" s="22">
        <v>5.8579999999999997</v>
      </c>
      <c r="AE670" s="22">
        <v>5.835</v>
      </c>
      <c r="AF670" s="22">
        <v>5.5759999999999996</v>
      </c>
      <c r="AG670" s="22">
        <v>5.7359999999999998</v>
      </c>
      <c r="AH670" s="22">
        <f t="shared" si="76"/>
        <v>5.6559999999999997</v>
      </c>
      <c r="AI670" s="9"/>
      <c r="AJ670" s="9"/>
      <c r="AK670" s="9"/>
      <c r="AL670" s="9"/>
      <c r="AM670" s="9"/>
      <c r="AN670" s="9"/>
      <c r="AO670" s="9"/>
      <c r="AP670" s="3"/>
      <c r="AQ670" s="8"/>
    </row>
    <row r="671" spans="1:43">
      <c r="A671" s="1">
        <f t="shared" si="71"/>
        <v>669</v>
      </c>
      <c r="B671" s="31"/>
      <c r="C671" s="1">
        <v>11</v>
      </c>
      <c r="D671" s="4">
        <f t="shared" si="74"/>
        <v>1016</v>
      </c>
      <c r="E671" s="4" t="s">
        <v>118</v>
      </c>
      <c r="F671" s="4">
        <v>1</v>
      </c>
      <c r="G671" s="4" t="s">
        <v>11</v>
      </c>
      <c r="H671" s="4" t="s">
        <v>17</v>
      </c>
      <c r="I671" s="4" t="s">
        <v>274</v>
      </c>
      <c r="J671" s="5"/>
      <c r="K671" s="63" t="s">
        <v>282</v>
      </c>
      <c r="L671" s="50">
        <v>5.657</v>
      </c>
      <c r="M671" s="127" t="s">
        <v>113</v>
      </c>
      <c r="N671" s="25" t="s">
        <v>111</v>
      </c>
      <c r="O671" s="71"/>
      <c r="P671" s="23"/>
      <c r="Q671" s="3"/>
      <c r="R671" s="1">
        <v>5.9589999999999996</v>
      </c>
      <c r="S671" s="1">
        <v>5.6310000000000002</v>
      </c>
      <c r="T671" s="1">
        <v>6.2549999999999999</v>
      </c>
      <c r="U671" s="41"/>
      <c r="V671" s="22">
        <v>5.9989999999999997</v>
      </c>
      <c r="W671" s="1">
        <v>5.7649999999999997</v>
      </c>
      <c r="X671" s="1">
        <v>5.7569999999999997</v>
      </c>
      <c r="Y671" s="22">
        <v>5.73</v>
      </c>
      <c r="Z671" s="22">
        <v>5.61</v>
      </c>
      <c r="AA671" s="41"/>
      <c r="AB671" s="1">
        <v>6.0039999999999996</v>
      </c>
      <c r="AC671" s="1">
        <v>5.9880000000000004</v>
      </c>
      <c r="AD671" s="1">
        <v>5.891</v>
      </c>
      <c r="AE671" s="22">
        <v>5.7930000000000001</v>
      </c>
      <c r="AF671" s="1">
        <v>5.6749999999999998</v>
      </c>
      <c r="AG671" s="22">
        <v>5.7610000000000001</v>
      </c>
      <c r="AH671" s="22">
        <f t="shared" si="76"/>
        <v>5.718</v>
      </c>
      <c r="AI671" s="9"/>
      <c r="AJ671" s="9"/>
      <c r="AK671" s="9"/>
      <c r="AL671" s="9"/>
      <c r="AM671" s="9"/>
      <c r="AN671" s="9"/>
      <c r="AO671" s="9"/>
      <c r="AP671" s="3"/>
      <c r="AQ671" s="8"/>
    </row>
    <row r="672" spans="1:43">
      <c r="A672" s="1">
        <f t="shared" si="71"/>
        <v>670</v>
      </c>
      <c r="B672" s="31"/>
      <c r="C672" s="1">
        <v>11</v>
      </c>
      <c r="D672" s="4">
        <f t="shared" si="74"/>
        <v>1016</v>
      </c>
      <c r="E672" s="4" t="s">
        <v>128</v>
      </c>
      <c r="F672" s="4">
        <v>1</v>
      </c>
      <c r="G672" s="4" t="s">
        <v>14</v>
      </c>
      <c r="H672" s="4" t="s">
        <v>170</v>
      </c>
      <c r="I672" s="4"/>
      <c r="J672" s="5"/>
      <c r="K672" s="63" t="s">
        <v>282</v>
      </c>
      <c r="L672" s="37">
        <v>5.9459999999999997</v>
      </c>
      <c r="M672" s="127" t="s">
        <v>113</v>
      </c>
      <c r="N672" s="1" t="s">
        <v>13</v>
      </c>
      <c r="O672" s="71"/>
      <c r="P672" s="23"/>
      <c r="Q672" s="3"/>
      <c r="R672" s="1">
        <v>6.0880000000000001</v>
      </c>
      <c r="S672" s="1">
        <v>5.9509999999999996</v>
      </c>
      <c r="T672" s="22">
        <v>6.32</v>
      </c>
      <c r="U672" s="41"/>
      <c r="V672" s="22">
        <v>6.0780000000000003</v>
      </c>
      <c r="W672" s="1">
        <v>5.9859999999999998</v>
      </c>
      <c r="X672" s="22">
        <v>5.9820000000000002</v>
      </c>
      <c r="Y672" s="22">
        <v>5.9710000000000001</v>
      </c>
      <c r="Z672" s="22">
        <v>5.9340000000000002</v>
      </c>
      <c r="AA672" s="41"/>
      <c r="AB672" s="1">
        <v>6.165</v>
      </c>
      <c r="AC672" s="1">
        <v>6.1130000000000004</v>
      </c>
      <c r="AD672" s="1">
        <v>6.0629999999999997</v>
      </c>
      <c r="AE672" s="22">
        <v>6.0270000000000001</v>
      </c>
      <c r="AF672" s="1">
        <v>6.0359999999999996</v>
      </c>
      <c r="AG672" s="22">
        <v>5.8520000000000003</v>
      </c>
      <c r="AH672" s="22">
        <f t="shared" si="76"/>
        <v>5.944</v>
      </c>
      <c r="AI672" s="9"/>
      <c r="AJ672" s="9"/>
      <c r="AK672" s="9"/>
      <c r="AL672" s="9"/>
      <c r="AM672" s="9"/>
      <c r="AN672" s="9"/>
      <c r="AO672" s="9"/>
      <c r="AP672" s="3"/>
      <c r="AQ672" s="8"/>
    </row>
    <row r="673" spans="1:43">
      <c r="A673" s="1">
        <f t="shared" si="71"/>
        <v>671</v>
      </c>
      <c r="B673" s="31"/>
      <c r="C673" s="1">
        <v>11</v>
      </c>
      <c r="D673" s="4">
        <f t="shared" si="74"/>
        <v>1016</v>
      </c>
      <c r="E673" s="4" t="s">
        <v>131</v>
      </c>
      <c r="F673" s="4">
        <v>1</v>
      </c>
      <c r="G673" s="4" t="s">
        <v>11</v>
      </c>
      <c r="H673" s="4" t="s">
        <v>17</v>
      </c>
      <c r="I673" s="4" t="s">
        <v>274</v>
      </c>
      <c r="J673" s="5"/>
      <c r="K673" s="63"/>
      <c r="L673" s="37">
        <v>5.9489999999999998</v>
      </c>
      <c r="M673" s="127" t="s">
        <v>113</v>
      </c>
      <c r="N673" s="1" t="s">
        <v>13</v>
      </c>
      <c r="O673" s="71"/>
      <c r="P673" s="23"/>
      <c r="Q673" s="3"/>
      <c r="R673" s="1">
        <v>6.7690000000000001</v>
      </c>
      <c r="S673" s="1">
        <v>5.8360000000000003</v>
      </c>
      <c r="T673" s="1">
        <v>6.5579999999999998</v>
      </c>
      <c r="U673" s="41"/>
      <c r="V673" s="22">
        <v>6.258</v>
      </c>
      <c r="W673" s="22">
        <v>6.0430000000000001</v>
      </c>
      <c r="X673" s="22">
        <v>6.0830000000000002</v>
      </c>
      <c r="Y673" s="22">
        <v>6.0330000000000004</v>
      </c>
      <c r="Z673" s="22">
        <v>5.9219999999999997</v>
      </c>
      <c r="AA673" s="41"/>
      <c r="AB673" s="1">
        <v>6.2720000000000002</v>
      </c>
      <c r="AC673" s="22">
        <v>6.28</v>
      </c>
      <c r="AD673" s="1">
        <v>6.1319999999999997</v>
      </c>
      <c r="AE673" s="22">
        <v>6.0309999999999997</v>
      </c>
      <c r="AF673" s="1">
        <v>5.8170000000000002</v>
      </c>
      <c r="AG673" s="22">
        <v>6.1550000000000002</v>
      </c>
      <c r="AH673" s="22">
        <f t="shared" si="76"/>
        <v>5.9860000000000007</v>
      </c>
      <c r="AI673" s="9"/>
      <c r="AJ673" s="9"/>
      <c r="AK673" s="9"/>
      <c r="AL673" s="9"/>
      <c r="AM673" s="9"/>
      <c r="AN673" s="9"/>
      <c r="AO673" s="9"/>
      <c r="AP673" s="3"/>
      <c r="AQ673" s="8"/>
    </row>
    <row r="674" spans="1:43">
      <c r="A674" s="1">
        <f t="shared" si="71"/>
        <v>672</v>
      </c>
      <c r="B674" s="31"/>
      <c r="C674" s="1">
        <v>11</v>
      </c>
      <c r="D674" s="4">
        <f t="shared" si="74"/>
        <v>1016</v>
      </c>
      <c r="E674" s="4" t="s">
        <v>128</v>
      </c>
      <c r="F674" s="4">
        <v>1</v>
      </c>
      <c r="G674" s="4" t="s">
        <v>11</v>
      </c>
      <c r="H674" s="4" t="s">
        <v>17</v>
      </c>
      <c r="I674" s="4" t="s">
        <v>274</v>
      </c>
      <c r="J674" s="5"/>
      <c r="K674" s="63" t="s">
        <v>282</v>
      </c>
      <c r="L674" s="50">
        <v>6.1520000000000001</v>
      </c>
      <c r="M674" s="127" t="s">
        <v>113</v>
      </c>
      <c r="N674" s="25" t="s">
        <v>111</v>
      </c>
      <c r="O674" s="71"/>
      <c r="P674" s="23"/>
      <c r="Q674" s="3"/>
      <c r="R674" s="41"/>
      <c r="S674" s="1">
        <v>6.0209999999999999</v>
      </c>
      <c r="T674" s="22">
        <v>6.7690000000000001</v>
      </c>
      <c r="U674" s="41"/>
      <c r="V674" s="22">
        <v>6.4980000000000002</v>
      </c>
      <c r="W674" s="1">
        <v>6.2960000000000003</v>
      </c>
      <c r="X674" s="22">
        <v>6.2519999999999998</v>
      </c>
      <c r="Y674" s="22">
        <v>6.2409999999999997</v>
      </c>
      <c r="Z674" s="22">
        <v>6.1139999999999999</v>
      </c>
      <c r="AA674" s="41"/>
      <c r="AB674" s="1">
        <v>6.4809999999999999</v>
      </c>
      <c r="AC674" s="1">
        <v>6.4749999999999996</v>
      </c>
      <c r="AD674" s="1">
        <v>6.3289999999999997</v>
      </c>
      <c r="AE674" s="22">
        <v>6.2530000000000001</v>
      </c>
      <c r="AF674" s="1">
        <v>5.992</v>
      </c>
      <c r="AG674" s="22">
        <v>6.367</v>
      </c>
      <c r="AH674" s="22">
        <f t="shared" si="76"/>
        <v>6.1795</v>
      </c>
      <c r="AI674" s="9"/>
      <c r="AJ674" s="9"/>
      <c r="AK674" s="9"/>
      <c r="AL674" s="9"/>
      <c r="AM674" s="9"/>
      <c r="AN674" s="9"/>
      <c r="AO674" s="9"/>
      <c r="AP674" s="3"/>
      <c r="AQ674" s="8"/>
    </row>
    <row r="675" spans="1:43">
      <c r="A675" s="1">
        <f t="shared" si="71"/>
        <v>673</v>
      </c>
      <c r="B675" s="31" t="s">
        <v>280</v>
      </c>
      <c r="C675" s="1">
        <v>10</v>
      </c>
      <c r="D675" s="4">
        <f t="shared" si="74"/>
        <v>1016</v>
      </c>
      <c r="E675" s="4" t="s">
        <v>131</v>
      </c>
      <c r="F675" s="4">
        <v>1</v>
      </c>
      <c r="G675" s="4" t="s">
        <v>11</v>
      </c>
      <c r="H675" s="4" t="s">
        <v>12</v>
      </c>
      <c r="I675" s="4" t="s">
        <v>208</v>
      </c>
      <c r="J675" s="5">
        <v>85.4</v>
      </c>
      <c r="K675" s="65"/>
      <c r="L675" s="37">
        <v>3.8980000000000001</v>
      </c>
      <c r="M675" s="127" t="s">
        <v>113</v>
      </c>
      <c r="N675" s="1" t="s">
        <v>13</v>
      </c>
      <c r="O675" s="71"/>
      <c r="P675" s="23"/>
      <c r="Q675" s="3"/>
      <c r="R675" s="22">
        <v>4.28</v>
      </c>
      <c r="S675" s="22">
        <v>3.7559999999999998</v>
      </c>
      <c r="T675" s="22">
        <v>4.4649999999999999</v>
      </c>
      <c r="U675" s="22">
        <v>3.88</v>
      </c>
      <c r="V675" s="22">
        <v>4.2469999999999999</v>
      </c>
      <c r="W675" s="22">
        <v>4.0270000000000001</v>
      </c>
      <c r="X675" s="22">
        <v>4.0199999999999996</v>
      </c>
      <c r="Y675" s="22">
        <v>4.0110000000000001</v>
      </c>
      <c r="Z675" s="22">
        <v>3.8719999999999999</v>
      </c>
      <c r="AA675" s="41"/>
      <c r="AB675" s="22">
        <v>4.274</v>
      </c>
      <c r="AC675" s="22">
        <v>4.2759999999999998</v>
      </c>
      <c r="AD675" s="22">
        <v>4.1109999999999998</v>
      </c>
      <c r="AE675" s="22">
        <v>4.0170000000000003</v>
      </c>
      <c r="AF675" s="22">
        <v>3.7589999999999999</v>
      </c>
      <c r="AG675" s="22">
        <v>4.1929999999999996</v>
      </c>
      <c r="AH675" s="74">
        <f>IF((AG675&lt;&gt;0)*AND(AF675&lt;&gt;0),AVERAGE(AF675:AG675),"")</f>
        <v>3.976</v>
      </c>
      <c r="AI675" s="9"/>
      <c r="AJ675" s="9"/>
      <c r="AK675" s="9"/>
      <c r="AL675" s="9"/>
      <c r="AM675" s="9"/>
      <c r="AN675" s="9"/>
      <c r="AO675" s="9"/>
      <c r="AP675" s="3"/>
      <c r="AQ675" s="8"/>
    </row>
    <row r="676" spans="1:43">
      <c r="A676" s="1">
        <f t="shared" si="71"/>
        <v>674</v>
      </c>
      <c r="B676" s="31"/>
      <c r="C676" s="1">
        <v>10</v>
      </c>
      <c r="D676" s="4">
        <f t="shared" si="74"/>
        <v>1016</v>
      </c>
      <c r="E676" s="4" t="s">
        <v>128</v>
      </c>
      <c r="F676" s="4">
        <v>1</v>
      </c>
      <c r="G676" s="4" t="s">
        <v>11</v>
      </c>
      <c r="H676" s="4" t="s">
        <v>12</v>
      </c>
      <c r="I676" s="4" t="s">
        <v>208</v>
      </c>
      <c r="J676" s="5">
        <v>87</v>
      </c>
      <c r="K676" s="63" t="s">
        <v>282</v>
      </c>
      <c r="L676" s="37">
        <v>4.3019999999999996</v>
      </c>
      <c r="M676" s="127" t="s">
        <v>113</v>
      </c>
      <c r="N676" s="1" t="s">
        <v>13</v>
      </c>
      <c r="O676" s="71"/>
      <c r="P676" s="23"/>
      <c r="Q676" s="3"/>
      <c r="R676" s="22">
        <v>4.7169999999999996</v>
      </c>
      <c r="S676" s="22">
        <v>4.1849999999999996</v>
      </c>
      <c r="T676" s="22">
        <v>4.9089999999999998</v>
      </c>
      <c r="U676" s="22">
        <v>4.2530000000000001</v>
      </c>
      <c r="V676" s="22">
        <v>4.6079999999999997</v>
      </c>
      <c r="W676" s="22">
        <v>4.4349999999999996</v>
      </c>
      <c r="X676" s="22">
        <v>4.4269999999999996</v>
      </c>
      <c r="Y676" s="22">
        <v>4.4009999999999998</v>
      </c>
      <c r="Z676" s="22">
        <v>4.2830000000000004</v>
      </c>
      <c r="AA676" s="41"/>
      <c r="AB676" s="22">
        <v>4.67</v>
      </c>
      <c r="AC676" s="22">
        <v>4.6710000000000003</v>
      </c>
      <c r="AD676" s="22">
        <v>4.5140000000000002</v>
      </c>
      <c r="AE676" s="22">
        <v>4.42</v>
      </c>
      <c r="AF676" s="22">
        <v>4.1840000000000002</v>
      </c>
      <c r="AG676" s="22">
        <v>4.4770000000000003</v>
      </c>
      <c r="AH676" s="74">
        <f t="shared" ref="AH676:AH689" si="78">IF((AG676&lt;&gt;0)*AND(AF676&lt;&gt;0),AVERAGE(AF676:AG676),"")</f>
        <v>4.3305000000000007</v>
      </c>
      <c r="AI676" s="9"/>
      <c r="AJ676" s="9"/>
      <c r="AK676" s="9"/>
      <c r="AL676" s="9"/>
      <c r="AM676" s="9"/>
      <c r="AN676" s="9"/>
      <c r="AO676" s="9"/>
      <c r="AP676" s="3"/>
      <c r="AQ676" s="8"/>
    </row>
    <row r="677" spans="1:43">
      <c r="A677" s="1">
        <f t="shared" si="71"/>
        <v>675</v>
      </c>
      <c r="B677" s="31"/>
      <c r="C677" s="1">
        <v>10</v>
      </c>
      <c r="D677" s="4">
        <f t="shared" si="74"/>
        <v>1016</v>
      </c>
      <c r="E677" s="4" t="s">
        <v>118</v>
      </c>
      <c r="F677" s="4">
        <v>1</v>
      </c>
      <c r="G677" s="4" t="s">
        <v>11</v>
      </c>
      <c r="H677" s="4" t="s">
        <v>17</v>
      </c>
      <c r="I677" s="4"/>
      <c r="J677" s="5">
        <v>85.5</v>
      </c>
      <c r="K677" s="63" t="s">
        <v>282</v>
      </c>
      <c r="L677" s="37">
        <v>4.4509999999999996</v>
      </c>
      <c r="M677" s="127" t="s">
        <v>113</v>
      </c>
      <c r="N677" s="1" t="s">
        <v>13</v>
      </c>
      <c r="O677" s="71"/>
      <c r="P677" s="23"/>
      <c r="Q677" s="3"/>
      <c r="R677" s="22">
        <v>4.6550000000000002</v>
      </c>
      <c r="S677" s="22">
        <v>4.5999999999999996</v>
      </c>
      <c r="T677" s="22">
        <v>5.0720000000000001</v>
      </c>
      <c r="U677" s="22">
        <v>4.2590000000000003</v>
      </c>
      <c r="V677" s="22">
        <v>4.6420000000000003</v>
      </c>
      <c r="W677" s="22">
        <v>4.5739999999999998</v>
      </c>
      <c r="X677" s="22">
        <v>4.5780000000000003</v>
      </c>
      <c r="Y677" s="22">
        <v>4.5190000000000001</v>
      </c>
      <c r="Z677" s="22">
        <v>4.4729999999999999</v>
      </c>
      <c r="AA677" s="41"/>
      <c r="AB677" s="22">
        <v>4.53</v>
      </c>
      <c r="AC677" s="22">
        <v>4.5259999999999998</v>
      </c>
      <c r="AD677" s="22">
        <v>4.55</v>
      </c>
      <c r="AE677" s="22">
        <v>4.2910000000000004</v>
      </c>
      <c r="AF677" s="22">
        <v>4.6130000000000004</v>
      </c>
      <c r="AG677" s="22">
        <v>4.3620000000000001</v>
      </c>
      <c r="AH677" s="74">
        <f t="shared" si="78"/>
        <v>4.4875000000000007</v>
      </c>
      <c r="AI677" s="9"/>
      <c r="AJ677" s="9"/>
      <c r="AK677" s="9"/>
      <c r="AL677" s="9"/>
      <c r="AM677" s="9"/>
      <c r="AN677" s="9"/>
      <c r="AO677" s="9"/>
      <c r="AP677" s="3"/>
      <c r="AQ677" s="8"/>
    </row>
    <row r="678" spans="1:43">
      <c r="A678" s="1">
        <f t="shared" si="71"/>
        <v>676</v>
      </c>
      <c r="B678" s="31"/>
      <c r="C678" s="1">
        <v>10</v>
      </c>
      <c r="D678" s="4">
        <f t="shared" si="74"/>
        <v>1016</v>
      </c>
      <c r="E678" s="4" t="s">
        <v>137</v>
      </c>
      <c r="F678" s="4">
        <v>1</v>
      </c>
      <c r="G678" s="4" t="s">
        <v>11</v>
      </c>
      <c r="H678" s="4" t="s">
        <v>17</v>
      </c>
      <c r="I678" s="4"/>
      <c r="J678" s="5">
        <v>89.7</v>
      </c>
      <c r="K678" s="63" t="s">
        <v>282</v>
      </c>
      <c r="L678" s="50">
        <v>5.1879999999999997</v>
      </c>
      <c r="M678" s="127" t="s">
        <v>113</v>
      </c>
      <c r="N678" s="25" t="s">
        <v>111</v>
      </c>
      <c r="O678" s="71"/>
      <c r="P678" s="23"/>
      <c r="Q678" s="3"/>
      <c r="R678" s="22">
        <v>5.5220000000000002</v>
      </c>
      <c r="S678" s="22">
        <v>5.1100000000000003</v>
      </c>
      <c r="T678" s="22">
        <v>5.6559999999999997</v>
      </c>
      <c r="U678" s="22">
        <v>5.23</v>
      </c>
      <c r="V678" s="22">
        <v>5.3680000000000003</v>
      </c>
      <c r="W678" s="22">
        <v>5.2460000000000004</v>
      </c>
      <c r="X678" s="22">
        <v>5.24</v>
      </c>
      <c r="Y678" s="22">
        <v>5.2140000000000004</v>
      </c>
      <c r="Z678" s="22">
        <v>5.1459999999999999</v>
      </c>
      <c r="AA678" s="41"/>
      <c r="AB678" s="22">
        <v>5.2460000000000004</v>
      </c>
      <c r="AC678" s="22">
        <v>5.2789999999999999</v>
      </c>
      <c r="AD678" s="22">
        <v>5.2320000000000002</v>
      </c>
      <c r="AE678" s="22">
        <v>5.0410000000000004</v>
      </c>
      <c r="AF678" s="22">
        <v>5.1029999999999998</v>
      </c>
      <c r="AG678" s="22">
        <v>5.0419999999999998</v>
      </c>
      <c r="AH678" s="74">
        <f t="shared" si="78"/>
        <v>5.0724999999999998</v>
      </c>
      <c r="AI678" s="9"/>
      <c r="AJ678" s="9"/>
      <c r="AK678" s="9"/>
      <c r="AL678" s="9"/>
      <c r="AM678" s="9"/>
      <c r="AN678" s="9"/>
      <c r="AO678" s="9"/>
      <c r="AP678" s="3"/>
      <c r="AQ678" s="8"/>
    </row>
    <row r="679" spans="1:43">
      <c r="A679" s="1">
        <f t="shared" si="71"/>
        <v>677</v>
      </c>
      <c r="B679" s="31"/>
      <c r="C679" s="1">
        <v>10</v>
      </c>
      <c r="D679" s="4">
        <f t="shared" si="74"/>
        <v>1016</v>
      </c>
      <c r="E679" s="4" t="s">
        <v>128</v>
      </c>
      <c r="F679" s="4">
        <v>1</v>
      </c>
      <c r="G679" s="4" t="s">
        <v>11</v>
      </c>
      <c r="H679" s="4" t="s">
        <v>12</v>
      </c>
      <c r="I679" s="4" t="s">
        <v>208</v>
      </c>
      <c r="J679" s="5">
        <v>85.7</v>
      </c>
      <c r="K679" s="63" t="s">
        <v>282</v>
      </c>
      <c r="L679" s="37">
        <v>5.548</v>
      </c>
      <c r="M679" s="127" t="s">
        <v>113</v>
      </c>
      <c r="N679" s="1" t="s">
        <v>13</v>
      </c>
      <c r="O679" s="71"/>
      <c r="P679" s="23"/>
      <c r="Q679" s="3"/>
      <c r="R679" s="22">
        <v>5.4509999999999996</v>
      </c>
      <c r="S679" s="22">
        <v>5.3490000000000002</v>
      </c>
      <c r="T679" s="22">
        <v>6.1340000000000003</v>
      </c>
      <c r="U679" s="22">
        <v>5.5650000000000004</v>
      </c>
      <c r="V679" s="22">
        <v>5.9080000000000004</v>
      </c>
      <c r="W679" s="22">
        <v>5.6559999999999997</v>
      </c>
      <c r="X679" s="22">
        <v>5.6580000000000004</v>
      </c>
      <c r="Y679" s="22">
        <v>5.66</v>
      </c>
      <c r="Z679" s="22">
        <v>5.52</v>
      </c>
      <c r="AA679" s="41"/>
      <c r="AB679" s="22">
        <v>5.9560000000000004</v>
      </c>
      <c r="AC679" s="22">
        <v>5.952</v>
      </c>
      <c r="AD679" s="22">
        <v>5.7839999999999998</v>
      </c>
      <c r="AE679" s="22">
        <v>5.7009999999999996</v>
      </c>
      <c r="AF679" s="22">
        <v>5.444</v>
      </c>
      <c r="AG679" s="22">
        <v>5.8650000000000002</v>
      </c>
      <c r="AH679" s="74">
        <f t="shared" si="78"/>
        <v>5.6545000000000005</v>
      </c>
      <c r="AI679" s="9"/>
      <c r="AJ679" s="9"/>
      <c r="AK679" s="9"/>
      <c r="AL679" s="9"/>
      <c r="AM679" s="9"/>
      <c r="AN679" s="9"/>
      <c r="AO679" s="9"/>
      <c r="AP679" s="3"/>
      <c r="AQ679" s="8"/>
    </row>
    <row r="680" spans="1:43">
      <c r="A680" s="1">
        <f t="shared" si="71"/>
        <v>678</v>
      </c>
      <c r="B680" s="31"/>
      <c r="C680" s="1">
        <v>10</v>
      </c>
      <c r="D680" s="4">
        <f t="shared" si="74"/>
        <v>1016</v>
      </c>
      <c r="E680" s="4" t="s">
        <v>131</v>
      </c>
      <c r="F680" s="4">
        <v>1</v>
      </c>
      <c r="G680" s="4" t="s">
        <v>11</v>
      </c>
      <c r="H680" s="4" t="s">
        <v>12</v>
      </c>
      <c r="I680" s="4"/>
      <c r="J680" s="5">
        <v>81.2</v>
      </c>
      <c r="K680" s="65"/>
      <c r="L680" s="50">
        <v>5.8419999999999996</v>
      </c>
      <c r="M680" s="127" t="s">
        <v>113</v>
      </c>
      <c r="N680" s="25" t="s">
        <v>111</v>
      </c>
      <c r="O680" s="71"/>
      <c r="P680" s="23"/>
      <c r="Q680" s="3"/>
      <c r="R680" s="41"/>
      <c r="S680" s="1">
        <v>5.4939999999999998</v>
      </c>
      <c r="T680" s="1">
        <v>6.7869999999999999</v>
      </c>
      <c r="U680" s="41"/>
      <c r="V680" s="22">
        <v>6.5410000000000004</v>
      </c>
      <c r="W680" s="1">
        <v>6.0670000000000002</v>
      </c>
      <c r="X680" s="22">
        <v>6.0519999999999996</v>
      </c>
      <c r="Y680" s="1">
        <v>6.0419999999999998</v>
      </c>
      <c r="Z680" s="22">
        <v>5.7439999999999998</v>
      </c>
      <c r="AA680" s="41"/>
      <c r="AB680" s="1">
        <v>6.6260000000000003</v>
      </c>
      <c r="AC680" s="1">
        <v>6.4610000000000003</v>
      </c>
      <c r="AD680" s="1">
        <v>6.1189999999999998</v>
      </c>
      <c r="AE680" s="22">
        <v>6.2110000000000003</v>
      </c>
      <c r="AF680" s="22">
        <v>5.5330000000000004</v>
      </c>
      <c r="AG680" s="22">
        <v>6.641</v>
      </c>
      <c r="AH680" s="74">
        <f t="shared" si="78"/>
        <v>6.0869999999999997</v>
      </c>
      <c r="AI680" s="9"/>
      <c r="AJ680" s="9"/>
      <c r="AK680" s="9"/>
      <c r="AL680" s="9"/>
      <c r="AM680" s="9"/>
      <c r="AN680" s="9"/>
      <c r="AO680" s="9"/>
      <c r="AP680" s="3"/>
      <c r="AQ680" s="8"/>
    </row>
    <row r="681" spans="1:43">
      <c r="A681" s="1">
        <f t="shared" si="71"/>
        <v>679</v>
      </c>
      <c r="B681" s="31"/>
      <c r="C681" s="1">
        <v>10</v>
      </c>
      <c r="D681" s="4">
        <f t="shared" si="74"/>
        <v>1016</v>
      </c>
      <c r="E681" s="4" t="s">
        <v>131</v>
      </c>
      <c r="F681" s="4">
        <v>1</v>
      </c>
      <c r="G681" s="4" t="s">
        <v>11</v>
      </c>
      <c r="H681" s="4" t="s">
        <v>12</v>
      </c>
      <c r="I681" s="4" t="s">
        <v>208</v>
      </c>
      <c r="J681" s="5"/>
      <c r="K681" s="65"/>
      <c r="L681" s="37">
        <v>5.8760000000000003</v>
      </c>
      <c r="M681" s="127" t="s">
        <v>113</v>
      </c>
      <c r="N681" s="1" t="s">
        <v>13</v>
      </c>
      <c r="O681" s="71"/>
      <c r="P681" s="23"/>
      <c r="Q681" s="3"/>
      <c r="R681" s="22">
        <v>5.827</v>
      </c>
      <c r="S681" s="22">
        <v>5.8109999999999999</v>
      </c>
      <c r="T681" s="22">
        <v>6.5289999999999999</v>
      </c>
      <c r="U681" s="22">
        <v>5.8840000000000003</v>
      </c>
      <c r="V681" s="22">
        <v>6.2240000000000002</v>
      </c>
      <c r="W681" s="22">
        <v>6.0119999999999996</v>
      </c>
      <c r="X681" s="22">
        <v>6.0129999999999999</v>
      </c>
      <c r="Y681" s="22">
        <v>5.9850000000000003</v>
      </c>
      <c r="Z681" s="22">
        <v>5.87</v>
      </c>
      <c r="AA681" s="41"/>
      <c r="AB681" s="22">
        <v>6.3220000000000001</v>
      </c>
      <c r="AC681" s="22">
        <v>6.3140000000000001</v>
      </c>
      <c r="AD681" s="22">
        <v>6.157</v>
      </c>
      <c r="AE681" s="22">
        <v>6.0730000000000004</v>
      </c>
      <c r="AF681" s="22">
        <v>5.8170000000000002</v>
      </c>
      <c r="AG681" s="22">
        <v>6.0549999999999997</v>
      </c>
      <c r="AH681" s="74">
        <f t="shared" si="78"/>
        <v>5.9359999999999999</v>
      </c>
      <c r="AI681" s="9"/>
      <c r="AJ681" s="9"/>
      <c r="AK681" s="9"/>
      <c r="AL681" s="9"/>
      <c r="AM681" s="9"/>
      <c r="AN681" s="9"/>
      <c r="AO681" s="9"/>
      <c r="AP681" s="3"/>
      <c r="AQ681" s="8"/>
    </row>
    <row r="682" spans="1:43">
      <c r="A682" s="1">
        <f t="shared" si="71"/>
        <v>680</v>
      </c>
      <c r="B682" s="31"/>
      <c r="C682" s="1">
        <v>10</v>
      </c>
      <c r="D682" s="4">
        <f t="shared" si="74"/>
        <v>1016</v>
      </c>
      <c r="E682" s="4" t="s">
        <v>118</v>
      </c>
      <c r="F682" s="4">
        <v>1</v>
      </c>
      <c r="G682" s="4" t="s">
        <v>11</v>
      </c>
      <c r="H682" s="4" t="s">
        <v>17</v>
      </c>
      <c r="I682" s="4"/>
      <c r="J682" s="5">
        <v>83.1</v>
      </c>
      <c r="K682" s="63" t="s">
        <v>282</v>
      </c>
      <c r="L682" s="50">
        <v>6.109</v>
      </c>
      <c r="M682" s="127" t="s">
        <v>113</v>
      </c>
      <c r="N682" s="25" t="s">
        <v>111</v>
      </c>
      <c r="O682" s="71"/>
      <c r="P682" s="23"/>
      <c r="Q682" s="3"/>
      <c r="R682" s="22">
        <v>6.44</v>
      </c>
      <c r="S682" s="22">
        <v>6.2859999999999996</v>
      </c>
      <c r="T682" s="22">
        <v>6.8070000000000004</v>
      </c>
      <c r="U682" s="22">
        <v>6.1150000000000002</v>
      </c>
      <c r="V682" s="22">
        <v>6.4219999999999997</v>
      </c>
      <c r="W682" s="22">
        <v>6.2789999999999999</v>
      </c>
      <c r="X682" s="22">
        <v>6.282</v>
      </c>
      <c r="Y682" s="22">
        <v>6.2309999999999999</v>
      </c>
      <c r="Z682" s="22">
        <v>6.1479999999999997</v>
      </c>
      <c r="AA682" s="41"/>
      <c r="AB682" s="22">
        <v>6.2530000000000001</v>
      </c>
      <c r="AC682" s="22">
        <v>6.2939999999999996</v>
      </c>
      <c r="AD682" s="22">
        <v>6.26</v>
      </c>
      <c r="AE682" s="22">
        <v>6.01</v>
      </c>
      <c r="AF682" s="22">
        <v>6.3019999999999996</v>
      </c>
      <c r="AG682" s="22">
        <v>5.8550000000000004</v>
      </c>
      <c r="AH682" s="74">
        <f t="shared" si="78"/>
        <v>6.0785</v>
      </c>
      <c r="AI682" s="9"/>
      <c r="AJ682" s="9"/>
      <c r="AK682" s="9"/>
      <c r="AL682" s="9"/>
      <c r="AM682" s="9"/>
      <c r="AN682" s="9"/>
      <c r="AO682" s="9"/>
      <c r="AP682" s="3"/>
      <c r="AQ682" s="8"/>
    </row>
    <row r="683" spans="1:43">
      <c r="A683" s="1">
        <f t="shared" si="71"/>
        <v>681</v>
      </c>
      <c r="B683" s="31"/>
      <c r="C683" s="1">
        <v>10</v>
      </c>
      <c r="D683" s="4">
        <f t="shared" si="74"/>
        <v>1016</v>
      </c>
      <c r="E683" s="4" t="s">
        <v>137</v>
      </c>
      <c r="F683" s="4">
        <v>1</v>
      </c>
      <c r="G683" s="4" t="s">
        <v>14</v>
      </c>
      <c r="H683" s="4" t="s">
        <v>170</v>
      </c>
      <c r="I683" s="4"/>
      <c r="J683" s="5">
        <v>87</v>
      </c>
      <c r="K683" s="63" t="s">
        <v>282</v>
      </c>
      <c r="L683" s="37">
        <v>6.2629999999999999</v>
      </c>
      <c r="M683" s="127" t="s">
        <v>113</v>
      </c>
      <c r="N683" s="1" t="s">
        <v>13</v>
      </c>
      <c r="O683" s="71"/>
      <c r="P683" s="23"/>
      <c r="Q683" s="3"/>
      <c r="R683" s="41"/>
      <c r="S683" s="22">
        <v>5.6970000000000001</v>
      </c>
      <c r="T683" s="22">
        <v>6.7770000000000001</v>
      </c>
      <c r="U683" s="22">
        <v>6.569</v>
      </c>
      <c r="V683" s="22">
        <v>6.5460000000000003</v>
      </c>
      <c r="W683" s="1">
        <v>6.3730000000000002</v>
      </c>
      <c r="X683" s="22">
        <v>6.367</v>
      </c>
      <c r="Y683" s="1">
        <v>6.4029999999999996</v>
      </c>
      <c r="Z683" s="22">
        <v>6.234</v>
      </c>
      <c r="AA683" s="41"/>
      <c r="AB683" s="22">
        <v>6.6150000000000002</v>
      </c>
      <c r="AC683" s="41"/>
      <c r="AD683" s="22">
        <v>6.2530000000000001</v>
      </c>
      <c r="AE683" s="22">
        <v>6.4119999999999999</v>
      </c>
      <c r="AF683" s="1">
        <v>5.7809999999999997</v>
      </c>
      <c r="AG683" s="22">
        <v>6.8310000000000004</v>
      </c>
      <c r="AH683" s="74">
        <f t="shared" si="78"/>
        <v>6.306</v>
      </c>
      <c r="AI683" s="9"/>
      <c r="AJ683" s="9"/>
      <c r="AK683" s="9"/>
      <c r="AL683" s="9"/>
      <c r="AM683" s="9"/>
      <c r="AN683" s="9"/>
      <c r="AO683" s="9"/>
      <c r="AP683" s="3"/>
      <c r="AQ683" s="8"/>
    </row>
    <row r="684" spans="1:43">
      <c r="A684" s="1">
        <f t="shared" si="71"/>
        <v>682</v>
      </c>
      <c r="B684" s="31"/>
      <c r="C684" s="1">
        <v>10</v>
      </c>
      <c r="D684" s="4">
        <f t="shared" si="74"/>
        <v>1016</v>
      </c>
      <c r="E684" s="4" t="s">
        <v>118</v>
      </c>
      <c r="F684" s="4">
        <v>1</v>
      </c>
      <c r="G684" s="4" t="s">
        <v>11</v>
      </c>
      <c r="H684" s="4" t="s">
        <v>17</v>
      </c>
      <c r="I684" s="4"/>
      <c r="J684" s="5"/>
      <c r="K684" s="63" t="s">
        <v>282</v>
      </c>
      <c r="L684" s="50">
        <v>6.4080000000000004</v>
      </c>
      <c r="M684" s="127" t="s">
        <v>113</v>
      </c>
      <c r="N684" s="25" t="s">
        <v>111</v>
      </c>
      <c r="O684" s="71"/>
      <c r="P684" s="23"/>
      <c r="Q684" s="3"/>
      <c r="R684" s="1">
        <v>6.4420000000000002</v>
      </c>
      <c r="S684" s="1">
        <v>6.3680000000000003</v>
      </c>
      <c r="T684" s="1">
        <v>6.9770000000000003</v>
      </c>
      <c r="U684" s="41"/>
      <c r="V684" s="22">
        <v>6.65</v>
      </c>
      <c r="W684" s="1">
        <v>6.5039999999999996</v>
      </c>
      <c r="X684" s="1">
        <v>6.4290000000000003</v>
      </c>
      <c r="Y684" s="1">
        <v>6.4560000000000004</v>
      </c>
      <c r="Z684" s="22">
        <v>6.3639999999999999</v>
      </c>
      <c r="AA684" s="41"/>
      <c r="AB684" s="1">
        <v>6.5410000000000004</v>
      </c>
      <c r="AC684" s="1">
        <v>6.5529999999999999</v>
      </c>
      <c r="AD684" s="1">
        <v>6.4859999999999998</v>
      </c>
      <c r="AE684" s="22">
        <v>6.3289999999999997</v>
      </c>
      <c r="AF684" s="1">
        <v>6.3570000000000002</v>
      </c>
      <c r="AG684" s="22">
        <v>6.298</v>
      </c>
      <c r="AH684" s="74">
        <f t="shared" si="78"/>
        <v>6.3275000000000006</v>
      </c>
      <c r="AI684" s="9"/>
      <c r="AJ684" s="9"/>
      <c r="AK684" s="9"/>
      <c r="AL684" s="9"/>
      <c r="AM684" s="9"/>
      <c r="AN684" s="9"/>
      <c r="AO684" s="9"/>
      <c r="AP684" s="3"/>
      <c r="AQ684" s="8"/>
    </row>
    <row r="685" spans="1:43">
      <c r="A685" s="1">
        <f t="shared" si="71"/>
        <v>683</v>
      </c>
      <c r="B685" s="31"/>
      <c r="C685" s="1">
        <v>10</v>
      </c>
      <c r="D685" s="4">
        <f t="shared" si="74"/>
        <v>1016</v>
      </c>
      <c r="E685" s="4" t="s">
        <v>131</v>
      </c>
      <c r="F685" s="4">
        <v>1</v>
      </c>
      <c r="G685" s="4" t="s">
        <v>14</v>
      </c>
      <c r="H685" s="4" t="s">
        <v>170</v>
      </c>
      <c r="I685" s="4"/>
      <c r="J685" s="5"/>
      <c r="K685" s="65"/>
      <c r="L685" s="37">
        <v>6.444</v>
      </c>
      <c r="M685" s="127" t="s">
        <v>113</v>
      </c>
      <c r="N685" s="1" t="s">
        <v>13</v>
      </c>
      <c r="O685" s="71"/>
      <c r="P685" s="23"/>
      <c r="Q685" s="3"/>
      <c r="R685" s="22">
        <v>6.4829999999999997</v>
      </c>
      <c r="S685" s="22">
        <v>6.3789999999999996</v>
      </c>
      <c r="T685" s="22">
        <v>6.8120000000000003</v>
      </c>
      <c r="U685" s="22">
        <v>6.5579999999999998</v>
      </c>
      <c r="V685" s="22">
        <v>6.5170000000000003</v>
      </c>
      <c r="W685" s="1">
        <v>6.4640000000000004</v>
      </c>
      <c r="X685" s="22">
        <v>6.4589999999999996</v>
      </c>
      <c r="Y685" s="22">
        <v>6.4610000000000003</v>
      </c>
      <c r="Z685" s="22">
        <v>6.43</v>
      </c>
      <c r="AA685" s="41"/>
      <c r="AB685" s="22">
        <v>6.625</v>
      </c>
      <c r="AC685" s="1">
        <v>6.577</v>
      </c>
      <c r="AD685" s="22">
        <v>6.5110000000000001</v>
      </c>
      <c r="AE685" s="22">
        <v>6.5030000000000001</v>
      </c>
      <c r="AF685" s="22">
        <v>6.4320000000000004</v>
      </c>
      <c r="AG685" s="22">
        <v>6.2850000000000001</v>
      </c>
      <c r="AH685" s="74">
        <f t="shared" si="78"/>
        <v>6.3585000000000003</v>
      </c>
      <c r="AI685" s="9"/>
      <c r="AJ685" s="9"/>
      <c r="AK685" s="9"/>
      <c r="AL685" s="9"/>
      <c r="AM685" s="9"/>
      <c r="AN685" s="9"/>
      <c r="AO685" s="9"/>
      <c r="AP685" s="3"/>
      <c r="AQ685" s="8"/>
    </row>
    <row r="686" spans="1:43">
      <c r="A686" s="1">
        <f t="shared" si="71"/>
        <v>684</v>
      </c>
      <c r="B686" s="31"/>
      <c r="C686" s="1">
        <v>10</v>
      </c>
      <c r="D686" s="4">
        <f t="shared" si="74"/>
        <v>1016</v>
      </c>
      <c r="E686" s="4" t="s">
        <v>142</v>
      </c>
      <c r="F686" s="4">
        <v>3</v>
      </c>
      <c r="G686" s="4" t="s">
        <v>11</v>
      </c>
      <c r="H686" s="4" t="s">
        <v>17</v>
      </c>
      <c r="I686" s="4"/>
      <c r="J686" s="5">
        <v>97.7</v>
      </c>
      <c r="K686" s="65"/>
      <c r="L686" s="50">
        <v>3.43</v>
      </c>
      <c r="M686" s="127" t="s">
        <v>158</v>
      </c>
      <c r="N686" s="25" t="s">
        <v>111</v>
      </c>
      <c r="O686" s="71"/>
      <c r="P686" s="23"/>
      <c r="Q686" s="3"/>
      <c r="R686" s="22">
        <v>3.85</v>
      </c>
      <c r="S686" s="22">
        <v>3.5870000000000002</v>
      </c>
      <c r="T686" s="22">
        <v>3.7629999999999999</v>
      </c>
      <c r="U686" s="22">
        <v>3.0150000000000001</v>
      </c>
      <c r="V686" s="22">
        <v>3.319</v>
      </c>
      <c r="W686" s="41"/>
      <c r="X686" s="41"/>
      <c r="Y686" s="41"/>
      <c r="Z686" s="41"/>
      <c r="AA686" s="41"/>
      <c r="AB686" s="22">
        <v>3.4969999999999999</v>
      </c>
      <c r="AC686" s="22">
        <v>3.6520000000000001</v>
      </c>
      <c r="AD686" s="22">
        <v>3.6320000000000001</v>
      </c>
      <c r="AE686" s="22">
        <v>3.4980000000000002</v>
      </c>
      <c r="AF686" s="22">
        <v>3.589</v>
      </c>
      <c r="AG686" s="22">
        <v>3.1709999999999998</v>
      </c>
      <c r="AH686" s="74">
        <f t="shared" si="78"/>
        <v>3.38</v>
      </c>
      <c r="AI686" s="9"/>
      <c r="AJ686" s="9"/>
      <c r="AK686" s="9"/>
      <c r="AL686" s="9"/>
      <c r="AM686" s="9"/>
      <c r="AN686" s="9"/>
      <c r="AO686" s="9"/>
      <c r="AP686" s="3"/>
      <c r="AQ686" s="8"/>
    </row>
    <row r="687" spans="1:43">
      <c r="A687" s="1">
        <f t="shared" si="71"/>
        <v>685</v>
      </c>
      <c r="B687" s="31"/>
      <c r="C687" s="1">
        <v>10</v>
      </c>
      <c r="D687" s="4">
        <f t="shared" si="74"/>
        <v>1016</v>
      </c>
      <c r="E687" s="4" t="s">
        <v>130</v>
      </c>
      <c r="F687" s="4">
        <v>3</v>
      </c>
      <c r="G687" s="4" t="s">
        <v>11</v>
      </c>
      <c r="H687" s="4" t="s">
        <v>12</v>
      </c>
      <c r="I687" s="4" t="s">
        <v>208</v>
      </c>
      <c r="J687" s="5">
        <v>95.7</v>
      </c>
      <c r="K687" s="65"/>
      <c r="L687" s="50">
        <v>3.6259999999999999</v>
      </c>
      <c r="M687" s="127" t="s">
        <v>158</v>
      </c>
      <c r="N687" s="25" t="s">
        <v>111</v>
      </c>
      <c r="O687" s="71"/>
      <c r="P687" s="23"/>
      <c r="Q687" s="3"/>
      <c r="R687" s="22">
        <v>4.0890000000000004</v>
      </c>
      <c r="S687" s="22">
        <v>3.5139999999999998</v>
      </c>
      <c r="T687" s="22">
        <v>4.0949999999999998</v>
      </c>
      <c r="U687" s="22">
        <v>3.6219999999999999</v>
      </c>
      <c r="V687" s="22">
        <v>3.891</v>
      </c>
      <c r="W687" s="41"/>
      <c r="X687" s="41"/>
      <c r="Y687" s="41"/>
      <c r="Z687" s="41"/>
      <c r="AA687" s="41"/>
      <c r="AB687" s="22">
        <v>3.778</v>
      </c>
      <c r="AC687" s="22">
        <v>4.0149999999999997</v>
      </c>
      <c r="AD687" s="22">
        <v>3.8540000000000001</v>
      </c>
      <c r="AE687" s="22">
        <v>3.7789999999999999</v>
      </c>
      <c r="AF687" s="22">
        <v>3.5059999999999998</v>
      </c>
      <c r="AG687" s="22">
        <v>3.8319999999999999</v>
      </c>
      <c r="AH687" s="74">
        <f t="shared" si="78"/>
        <v>3.6689999999999996</v>
      </c>
      <c r="AI687" s="9"/>
      <c r="AJ687" s="9"/>
      <c r="AK687" s="9"/>
      <c r="AL687" s="9"/>
      <c r="AM687" s="9"/>
      <c r="AN687" s="9"/>
      <c r="AO687" s="9"/>
      <c r="AP687" s="3"/>
      <c r="AQ687" s="8"/>
    </row>
    <row r="688" spans="1:43">
      <c r="A688" s="1">
        <f t="shared" si="71"/>
        <v>686</v>
      </c>
      <c r="B688" s="31"/>
      <c r="C688" s="1">
        <v>10</v>
      </c>
      <c r="D688" s="4">
        <f t="shared" si="74"/>
        <v>1016</v>
      </c>
      <c r="E688" s="4" t="s">
        <v>129</v>
      </c>
      <c r="F688" s="4">
        <v>3</v>
      </c>
      <c r="G688" s="4" t="s">
        <v>11</v>
      </c>
      <c r="H688" s="4" t="s">
        <v>12</v>
      </c>
      <c r="I688" s="4" t="s">
        <v>208</v>
      </c>
      <c r="J688" s="5">
        <v>96.1</v>
      </c>
      <c r="K688" s="65"/>
      <c r="L688" s="50">
        <v>3.7109999999999999</v>
      </c>
      <c r="M688" s="127" t="s">
        <v>158</v>
      </c>
      <c r="N688" s="25" t="s">
        <v>111</v>
      </c>
      <c r="O688" s="71"/>
      <c r="P688" s="23"/>
      <c r="Q688" s="3"/>
      <c r="R688" s="22">
        <v>4.1050000000000004</v>
      </c>
      <c r="S688" s="22">
        <v>3.6819999999999999</v>
      </c>
      <c r="T688" s="22">
        <v>4.1680000000000001</v>
      </c>
      <c r="U688" s="22">
        <v>3.5070000000000001</v>
      </c>
      <c r="V688" s="22">
        <v>3.899</v>
      </c>
      <c r="W688" s="41"/>
      <c r="X688" s="41"/>
      <c r="Y688" s="41"/>
      <c r="Z688" s="41"/>
      <c r="AA688" s="41"/>
      <c r="AB688" s="22">
        <v>3.8980000000000001</v>
      </c>
      <c r="AC688" s="22">
        <v>4.12</v>
      </c>
      <c r="AD688" s="22">
        <v>3.9769999999999999</v>
      </c>
      <c r="AE688" s="22">
        <v>3.899</v>
      </c>
      <c r="AF688" s="22">
        <v>3.6760000000000002</v>
      </c>
      <c r="AG688" s="22">
        <v>3.74</v>
      </c>
      <c r="AH688" s="74">
        <f t="shared" si="78"/>
        <v>3.7080000000000002</v>
      </c>
      <c r="AI688" s="9"/>
      <c r="AJ688" s="9"/>
      <c r="AK688" s="9"/>
      <c r="AL688" s="9"/>
      <c r="AM688" s="9"/>
      <c r="AN688" s="9"/>
      <c r="AO688" s="9"/>
      <c r="AP688" s="3"/>
      <c r="AQ688" s="8"/>
    </row>
    <row r="689" spans="1:43">
      <c r="A689" s="1">
        <f t="shared" si="71"/>
        <v>687</v>
      </c>
      <c r="B689" s="31"/>
      <c r="C689" s="1">
        <v>10</v>
      </c>
      <c r="D689" s="4">
        <f t="shared" si="74"/>
        <v>1016</v>
      </c>
      <c r="E689" s="4" t="s">
        <v>143</v>
      </c>
      <c r="F689" s="4">
        <v>3</v>
      </c>
      <c r="G689" s="4" t="s">
        <v>11</v>
      </c>
      <c r="H689" s="4" t="s">
        <v>17</v>
      </c>
      <c r="I689" s="4"/>
      <c r="J689" s="5">
        <v>96.7</v>
      </c>
      <c r="K689" s="65"/>
      <c r="L689" s="50">
        <v>4.2240000000000002</v>
      </c>
      <c r="M689" s="127" t="s">
        <v>158</v>
      </c>
      <c r="N689" s="25" t="s">
        <v>111</v>
      </c>
      <c r="O689" s="82"/>
      <c r="P689" s="83"/>
      <c r="Q689" s="3"/>
      <c r="R689" s="22">
        <v>4.66</v>
      </c>
      <c r="S689" s="22">
        <v>4.4260000000000002</v>
      </c>
      <c r="T689" s="22">
        <v>4.71</v>
      </c>
      <c r="U689" s="22">
        <v>4.1219999999999999</v>
      </c>
      <c r="V689" s="22">
        <v>4.3150000000000004</v>
      </c>
      <c r="W689" s="41"/>
      <c r="X689" s="41"/>
      <c r="Y689" s="41"/>
      <c r="Z689" s="41"/>
      <c r="AA689" s="41"/>
      <c r="AB689" s="22">
        <v>4.1970000000000001</v>
      </c>
      <c r="AC689" s="22">
        <v>4.3940000000000001</v>
      </c>
      <c r="AD689" s="22">
        <v>4.407</v>
      </c>
      <c r="AE689" s="22">
        <v>4.1980000000000004</v>
      </c>
      <c r="AF689" s="22">
        <v>4.4130000000000003</v>
      </c>
      <c r="AG689" s="22">
        <v>3.9409999999999998</v>
      </c>
      <c r="AH689" s="74">
        <f t="shared" si="78"/>
        <v>4.1769999999999996</v>
      </c>
      <c r="AI689" s="84"/>
      <c r="AJ689" s="84"/>
      <c r="AK689" s="84"/>
      <c r="AL689" s="84"/>
      <c r="AM689" s="84"/>
      <c r="AN689" s="84"/>
      <c r="AO689" s="84"/>
      <c r="AP689" s="3"/>
      <c r="AQ689" s="8"/>
    </row>
    <row r="690" spans="1:43">
      <c r="A690" s="1">
        <f t="shared" si="71"/>
        <v>688</v>
      </c>
      <c r="B690" s="2" t="s">
        <v>38</v>
      </c>
      <c r="C690" s="1">
        <v>4</v>
      </c>
      <c r="D690" s="4">
        <f t="shared" si="74"/>
        <v>35</v>
      </c>
      <c r="E690" s="4" t="s">
        <v>312</v>
      </c>
      <c r="F690" s="4">
        <v>1</v>
      </c>
      <c r="G690" s="4" t="s">
        <v>11</v>
      </c>
      <c r="H690" s="4" t="s">
        <v>12</v>
      </c>
      <c r="I690" s="4"/>
      <c r="J690" s="5">
        <v>89</v>
      </c>
      <c r="K690" s="63">
        <v>0</v>
      </c>
      <c r="L690" s="38">
        <v>3.8079999999999994</v>
      </c>
      <c r="M690" s="127" t="s">
        <v>203</v>
      </c>
      <c r="N690" s="1" t="s">
        <v>13</v>
      </c>
      <c r="O690" s="22">
        <v>3.8139999999999992</v>
      </c>
      <c r="P690" s="1" t="s">
        <v>7</v>
      </c>
      <c r="Q690" s="3" t="s">
        <v>205</v>
      </c>
      <c r="R690" s="22">
        <v>3.95</v>
      </c>
      <c r="S690" s="22">
        <v>3.9550000000000001</v>
      </c>
      <c r="T690" s="22">
        <v>3.9489999999999998</v>
      </c>
      <c r="U690" s="22">
        <v>3.7810000000000001</v>
      </c>
      <c r="V690" s="22">
        <v>3.9420000000000002</v>
      </c>
      <c r="W690" s="22">
        <v>3.8650000000000002</v>
      </c>
      <c r="X690" s="22">
        <v>3.8620000000000001</v>
      </c>
      <c r="Y690" s="22">
        <v>3.8519999999999999</v>
      </c>
      <c r="Z690" s="22">
        <v>3.8250000000000002</v>
      </c>
      <c r="AA690" s="22">
        <v>3.8210000000000002</v>
      </c>
      <c r="AB690" s="22">
        <v>4</v>
      </c>
      <c r="AC690" s="22">
        <v>4.1550000000000002</v>
      </c>
      <c r="AD690" s="22">
        <v>4.09</v>
      </c>
      <c r="AE690" s="22">
        <v>3.7839999999999998</v>
      </c>
      <c r="AF690" s="22">
        <v>3.7810000000000001</v>
      </c>
      <c r="AG690" s="22">
        <v>3.8079999999999998</v>
      </c>
      <c r="AH690" s="6">
        <f t="shared" si="72"/>
        <v>3.7945000000000002</v>
      </c>
      <c r="AI690" s="7">
        <v>4</v>
      </c>
      <c r="AJ690" s="7">
        <v>3.92</v>
      </c>
      <c r="AK690" s="7">
        <v>3.64</v>
      </c>
      <c r="AL690" s="7">
        <v>3.9</v>
      </c>
      <c r="AM690" s="7">
        <v>3.86</v>
      </c>
      <c r="AN690" s="7">
        <v>3.98</v>
      </c>
      <c r="AO690" s="7">
        <v>3.95</v>
      </c>
      <c r="AP690" s="3"/>
      <c r="AQ690" s="8"/>
    </row>
    <row r="691" spans="1:43">
      <c r="A691" s="1">
        <f t="shared" si="71"/>
        <v>689</v>
      </c>
      <c r="B691" s="19"/>
      <c r="C691" s="1">
        <v>4</v>
      </c>
      <c r="D691" s="4">
        <f t="shared" si="74"/>
        <v>35</v>
      </c>
      <c r="E691" s="4" t="s">
        <v>224</v>
      </c>
      <c r="F691" s="4">
        <v>1</v>
      </c>
      <c r="G691" s="4" t="s">
        <v>11</v>
      </c>
      <c r="H691" s="4" t="s">
        <v>17</v>
      </c>
      <c r="I691" s="4"/>
      <c r="J691" s="5">
        <v>92.9</v>
      </c>
      <c r="K691" s="63">
        <v>0</v>
      </c>
      <c r="L691" s="38">
        <v>5.512999999999999</v>
      </c>
      <c r="M691" s="127" t="s">
        <v>203</v>
      </c>
      <c r="N691" s="1" t="s">
        <v>13</v>
      </c>
      <c r="O691" s="22">
        <v>5.5030000000000001</v>
      </c>
      <c r="P691" s="1" t="s">
        <v>7</v>
      </c>
      <c r="Q691" s="3" t="s">
        <v>205</v>
      </c>
      <c r="R691" s="22">
        <v>5.9539999999999997</v>
      </c>
      <c r="S691" s="22">
        <v>5.7140000000000004</v>
      </c>
      <c r="T691" s="22">
        <v>5.7910000000000004</v>
      </c>
      <c r="U691" s="22">
        <v>5.6029999999999998</v>
      </c>
      <c r="V691" s="22">
        <v>5.6920000000000002</v>
      </c>
      <c r="W691" s="22">
        <v>5.5739999999999998</v>
      </c>
      <c r="X691" s="22">
        <v>5.5679999999999996</v>
      </c>
      <c r="Y691" s="22">
        <v>5.548</v>
      </c>
      <c r="Z691" s="22">
        <v>5.5060000000000002</v>
      </c>
      <c r="AA691" s="22">
        <v>5.617</v>
      </c>
      <c r="AB691" s="22">
        <v>5.9249999999999998</v>
      </c>
      <c r="AC691" s="22">
        <v>5.9279999999999999</v>
      </c>
      <c r="AD691" s="22">
        <v>5.8579999999999997</v>
      </c>
      <c r="AE691" s="22">
        <v>5.77</v>
      </c>
      <c r="AF691" s="22">
        <v>5.7309999999999999</v>
      </c>
      <c r="AG691" s="22">
        <v>5.2030000000000003</v>
      </c>
      <c r="AH691" s="6">
        <f t="shared" si="72"/>
        <v>5.4670000000000005</v>
      </c>
      <c r="AI691" s="7">
        <v>6.62</v>
      </c>
      <c r="AJ691" s="7">
        <v>5.82</v>
      </c>
      <c r="AK691" s="7">
        <v>5.49</v>
      </c>
      <c r="AL691" s="7">
        <v>5.81</v>
      </c>
      <c r="AM691" s="7">
        <v>5.72</v>
      </c>
      <c r="AN691" s="7">
        <v>5.58</v>
      </c>
      <c r="AO691" s="7">
        <v>5.5</v>
      </c>
      <c r="AP691" s="3"/>
      <c r="AQ691" s="8"/>
    </row>
    <row r="692" spans="1:43">
      <c r="A692" s="1">
        <f t="shared" si="71"/>
        <v>690</v>
      </c>
      <c r="B692" s="19"/>
      <c r="C692" s="1">
        <v>4</v>
      </c>
      <c r="D692" s="4">
        <f t="shared" si="74"/>
        <v>35</v>
      </c>
      <c r="E692" s="4" t="s">
        <v>225</v>
      </c>
      <c r="F692" s="4">
        <v>3</v>
      </c>
      <c r="G692" s="4" t="s">
        <v>11</v>
      </c>
      <c r="H692" s="4" t="s">
        <v>12</v>
      </c>
      <c r="I692" s="4"/>
      <c r="J692" s="5">
        <v>97.4</v>
      </c>
      <c r="K692" s="65"/>
      <c r="L692" s="38">
        <v>3.4740000000000002</v>
      </c>
      <c r="M692" s="127" t="s">
        <v>110</v>
      </c>
      <c r="N692" s="1" t="s">
        <v>13</v>
      </c>
      <c r="O692" s="22">
        <v>3.4860000000000002</v>
      </c>
      <c r="P692" s="1" t="s">
        <v>7</v>
      </c>
      <c r="Q692" s="3" t="s">
        <v>205</v>
      </c>
      <c r="R692" s="22">
        <v>3.5539999999999998</v>
      </c>
      <c r="S692" s="22">
        <v>3.53</v>
      </c>
      <c r="T692" s="22">
        <v>3.55</v>
      </c>
      <c r="U692" s="22">
        <v>3.4430000000000001</v>
      </c>
      <c r="V692" s="22">
        <v>3.53</v>
      </c>
      <c r="W692" s="46"/>
      <c r="X692" s="46"/>
      <c r="Y692" s="46"/>
      <c r="Z692" s="22">
        <v>3.4910000000000001</v>
      </c>
      <c r="AA692" s="46"/>
      <c r="AB692" s="22">
        <v>3.6779999999999999</v>
      </c>
      <c r="AC692" s="22">
        <v>3.8140000000000001</v>
      </c>
      <c r="AD692" s="22">
        <v>3.72</v>
      </c>
      <c r="AE692" s="22">
        <v>3.4830000000000001</v>
      </c>
      <c r="AF692" s="22">
        <v>3.375</v>
      </c>
      <c r="AG692" s="22">
        <v>3.4470000000000001</v>
      </c>
      <c r="AH692" s="6">
        <f t="shared" si="72"/>
        <v>3.411</v>
      </c>
      <c r="AI692" s="7">
        <v>3.52</v>
      </c>
      <c r="AJ692" s="7">
        <v>3.48</v>
      </c>
      <c r="AK692" s="7">
        <v>3.26</v>
      </c>
      <c r="AL692" s="7">
        <v>3.52</v>
      </c>
      <c r="AM692" s="7">
        <v>3.5</v>
      </c>
      <c r="AN692" s="7">
        <v>3.61</v>
      </c>
      <c r="AO692" s="7">
        <v>3.59</v>
      </c>
      <c r="AP692" s="3"/>
      <c r="AQ692" s="8"/>
    </row>
    <row r="693" spans="1:43">
      <c r="A693" s="1">
        <f t="shared" si="71"/>
        <v>691</v>
      </c>
      <c r="B693" s="19"/>
      <c r="C693" s="1">
        <v>4</v>
      </c>
      <c r="D693" s="4">
        <f t="shared" si="74"/>
        <v>35</v>
      </c>
      <c r="E693" s="4" t="s">
        <v>230</v>
      </c>
      <c r="F693" s="4">
        <v>3</v>
      </c>
      <c r="G693" s="4" t="s">
        <v>11</v>
      </c>
      <c r="H693" s="4" t="s">
        <v>17</v>
      </c>
      <c r="I693" s="4"/>
      <c r="J693" s="5">
        <v>98.3</v>
      </c>
      <c r="K693" s="65"/>
      <c r="L693" s="38">
        <v>4.4280000000000008</v>
      </c>
      <c r="M693" s="127" t="s">
        <v>110</v>
      </c>
      <c r="N693" s="1" t="s">
        <v>13</v>
      </c>
      <c r="O693" s="22">
        <v>4.4390000000000009</v>
      </c>
      <c r="P693" s="1" t="s">
        <v>7</v>
      </c>
      <c r="Q693" s="3" t="s">
        <v>205</v>
      </c>
      <c r="R693" s="22">
        <v>4.806</v>
      </c>
      <c r="S693" s="22">
        <v>4.7089999999999996</v>
      </c>
      <c r="T693" s="22">
        <v>4.6479999999999997</v>
      </c>
      <c r="U693" s="22">
        <v>4.3099999999999996</v>
      </c>
      <c r="V693" s="22">
        <v>4.399</v>
      </c>
      <c r="W693" s="46"/>
      <c r="X693" s="46"/>
      <c r="Y693" s="46"/>
      <c r="Z693" s="22">
        <v>4.4279999999999999</v>
      </c>
      <c r="AA693" s="46"/>
      <c r="AB693" s="22">
        <v>4.6289999999999996</v>
      </c>
      <c r="AC693" s="22">
        <v>4.6589999999999998</v>
      </c>
      <c r="AD693" s="22">
        <v>4.6829999999999998</v>
      </c>
      <c r="AE693" s="22">
        <v>4.5140000000000002</v>
      </c>
      <c r="AF693" s="22">
        <v>4.6680000000000001</v>
      </c>
      <c r="AG693" s="22">
        <v>4.1020000000000003</v>
      </c>
      <c r="AH693" s="6">
        <f t="shared" si="72"/>
        <v>4.3849999999999998</v>
      </c>
      <c r="AI693" s="7">
        <v>4.6900000000000004</v>
      </c>
      <c r="AJ693" s="7">
        <v>4.59</v>
      </c>
      <c r="AK693" s="7">
        <v>4.3</v>
      </c>
      <c r="AL693" s="7">
        <v>4.59</v>
      </c>
      <c r="AM693" s="7">
        <v>4.54</v>
      </c>
      <c r="AN693" s="7">
        <v>4.66</v>
      </c>
      <c r="AO693" s="7">
        <v>4.63</v>
      </c>
      <c r="AP693" s="3"/>
      <c r="AQ693" s="8"/>
    </row>
    <row r="694" spans="1:43">
      <c r="A694" s="1">
        <f t="shared" si="71"/>
        <v>692</v>
      </c>
      <c r="B694" s="2" t="s">
        <v>340</v>
      </c>
      <c r="C694" s="1">
        <v>7</v>
      </c>
      <c r="D694" s="4">
        <f t="shared" si="74"/>
        <v>69</v>
      </c>
      <c r="E694" s="4" t="s">
        <v>131</v>
      </c>
      <c r="F694" s="4">
        <v>1</v>
      </c>
      <c r="G694" s="4" t="s">
        <v>11</v>
      </c>
      <c r="H694" s="4" t="s">
        <v>12</v>
      </c>
      <c r="I694" s="4"/>
      <c r="J694" s="94">
        <v>86.3</v>
      </c>
      <c r="K694" s="65"/>
      <c r="L694" s="38">
        <v>4.016</v>
      </c>
      <c r="M694" s="127" t="s">
        <v>212</v>
      </c>
      <c r="N694" s="1" t="s">
        <v>13</v>
      </c>
      <c r="O694" s="82"/>
      <c r="P694" s="83"/>
      <c r="Q694" s="3"/>
      <c r="R694" s="73">
        <v>4.1269999999999998</v>
      </c>
      <c r="S694" s="22">
        <v>4.1100000000000003</v>
      </c>
      <c r="T694" s="22">
        <v>4.3630000000000004</v>
      </c>
      <c r="U694" s="22">
        <v>3.9729999999999999</v>
      </c>
      <c r="V694" s="22">
        <v>4.2610000000000001</v>
      </c>
      <c r="W694" s="22">
        <v>4.1349999999999998</v>
      </c>
      <c r="X694" s="22">
        <v>4.1269999999999998</v>
      </c>
      <c r="Y694" s="22">
        <v>4.0910000000000002</v>
      </c>
      <c r="Z694" s="22">
        <v>4.0220000000000002</v>
      </c>
      <c r="AA694" s="73">
        <v>4.0250000000000004</v>
      </c>
      <c r="AB694" s="22">
        <v>4.1669999999999998</v>
      </c>
      <c r="AC694" s="22">
        <v>4.3520000000000003</v>
      </c>
      <c r="AD694" s="22">
        <v>4.2750000000000004</v>
      </c>
      <c r="AE694" s="22">
        <v>3.92</v>
      </c>
      <c r="AF694" s="22">
        <v>3.9009999999999998</v>
      </c>
      <c r="AG694" s="22">
        <v>4.1980000000000004</v>
      </c>
      <c r="AH694" s="22">
        <f>AVERAGE(AF694:AG694)</f>
        <v>4.0495000000000001</v>
      </c>
      <c r="AI694" s="84"/>
      <c r="AJ694" s="84"/>
      <c r="AK694" s="84"/>
      <c r="AL694" s="84"/>
      <c r="AM694" s="84"/>
      <c r="AN694" s="84"/>
      <c r="AO694" s="84"/>
      <c r="AP694" s="3"/>
      <c r="AQ694" s="8"/>
    </row>
    <row r="695" spans="1:43">
      <c r="A695" s="1">
        <f t="shared" si="71"/>
        <v>693</v>
      </c>
      <c r="B695" s="19"/>
      <c r="C695" s="1">
        <v>7</v>
      </c>
      <c r="D695" s="4">
        <f t="shared" si="74"/>
        <v>69</v>
      </c>
      <c r="E695" s="4" t="s">
        <v>128</v>
      </c>
      <c r="F695" s="4">
        <v>1</v>
      </c>
      <c r="G695" s="4" t="s">
        <v>11</v>
      </c>
      <c r="H695" s="4" t="s">
        <v>12</v>
      </c>
      <c r="I695" s="4"/>
      <c r="J695" s="94">
        <v>81.7</v>
      </c>
      <c r="K695" s="22">
        <v>0</v>
      </c>
      <c r="L695" s="38">
        <v>5.1980000000000004</v>
      </c>
      <c r="M695" s="127" t="s">
        <v>212</v>
      </c>
      <c r="N695" s="1" t="s">
        <v>13</v>
      </c>
      <c r="O695" s="82"/>
      <c r="P695" s="83"/>
      <c r="Q695" s="3"/>
      <c r="R695" s="73">
        <v>5.4390000000000001</v>
      </c>
      <c r="S695" s="22">
        <v>4.9059999999999997</v>
      </c>
      <c r="T695" s="22">
        <v>5.9210000000000003</v>
      </c>
      <c r="U695" s="22">
        <v>5.6180000000000003</v>
      </c>
      <c r="V695" s="22">
        <v>5.9</v>
      </c>
      <c r="W695" s="22">
        <v>5.4059999999999997</v>
      </c>
      <c r="X695" s="22">
        <v>5.3860000000000001</v>
      </c>
      <c r="Y695" s="22">
        <v>5.3470000000000004</v>
      </c>
      <c r="Z695" s="22">
        <v>5.109</v>
      </c>
      <c r="AA695" s="73">
        <v>5.2329999999999997</v>
      </c>
      <c r="AB695" s="22">
        <v>5.8159999999999998</v>
      </c>
      <c r="AC695" s="22">
        <v>5.9180000000000001</v>
      </c>
      <c r="AD695" s="22">
        <v>5.58</v>
      </c>
      <c r="AE695" s="22">
        <v>5.5289999999999999</v>
      </c>
      <c r="AF695" s="22">
        <v>4.8689999999999998</v>
      </c>
      <c r="AG695" s="22">
        <v>6.0430000000000001</v>
      </c>
      <c r="AH695" s="22">
        <f t="shared" ref="AH695:AH702" si="79">AVERAGE(AF695:AG695)</f>
        <v>5.4559999999999995</v>
      </c>
      <c r="AI695" s="84"/>
      <c r="AJ695" s="84"/>
      <c r="AK695" s="84"/>
      <c r="AL695" s="84"/>
      <c r="AM695" s="84"/>
      <c r="AN695" s="84"/>
      <c r="AO695" s="84"/>
      <c r="AP695" s="3"/>
      <c r="AQ695" s="8"/>
    </row>
    <row r="696" spans="1:43">
      <c r="A696" s="1">
        <f t="shared" si="71"/>
        <v>694</v>
      </c>
      <c r="B696" s="19"/>
      <c r="C696" s="1">
        <v>7</v>
      </c>
      <c r="D696" s="4">
        <f t="shared" si="74"/>
        <v>69</v>
      </c>
      <c r="E696" s="4" t="s">
        <v>118</v>
      </c>
      <c r="F696" s="4">
        <v>1</v>
      </c>
      <c r="G696" s="4" t="s">
        <v>11</v>
      </c>
      <c r="H696" s="4" t="s">
        <v>17</v>
      </c>
      <c r="I696" s="4"/>
      <c r="J696" s="94">
        <v>86.6</v>
      </c>
      <c r="K696" s="1">
        <v>0.23400000000000001</v>
      </c>
      <c r="L696" s="38">
        <v>5.6280000000000001</v>
      </c>
      <c r="M696" s="127" t="s">
        <v>212</v>
      </c>
      <c r="N696" s="1" t="s">
        <v>13</v>
      </c>
      <c r="O696" s="82"/>
      <c r="P696" s="83"/>
      <c r="Q696" s="3"/>
      <c r="R696" s="73">
        <v>5.7240000000000002</v>
      </c>
      <c r="S696" s="22">
        <v>5.76</v>
      </c>
      <c r="T696" s="22">
        <v>6.101</v>
      </c>
      <c r="U696" s="46"/>
      <c r="V696" s="22">
        <v>5.9329999999999998</v>
      </c>
      <c r="W696" s="22">
        <v>5.75</v>
      </c>
      <c r="X696" s="22">
        <v>5.7350000000000003</v>
      </c>
      <c r="Y696" s="22">
        <v>5.7320000000000002</v>
      </c>
      <c r="Z696" s="22">
        <v>5.6520000000000001</v>
      </c>
      <c r="AA696" s="73">
        <v>5.665</v>
      </c>
      <c r="AB696" s="22">
        <v>5.9009999999999998</v>
      </c>
      <c r="AC696" s="22">
        <v>6.0289999999999999</v>
      </c>
      <c r="AD696" s="22">
        <v>5.9370000000000003</v>
      </c>
      <c r="AE696" s="22">
        <v>5.6619999999999999</v>
      </c>
      <c r="AF696" s="22">
        <v>5.6150000000000002</v>
      </c>
      <c r="AG696" s="22">
        <v>5.5679999999999996</v>
      </c>
      <c r="AH696" s="22">
        <f t="shared" si="79"/>
        <v>5.5914999999999999</v>
      </c>
      <c r="AI696" s="84"/>
      <c r="AJ696" s="84"/>
      <c r="AK696" s="84"/>
      <c r="AL696" s="84"/>
      <c r="AM696" s="84"/>
      <c r="AN696" s="84"/>
      <c r="AO696" s="84"/>
      <c r="AP696" s="3"/>
      <c r="AQ696" s="8"/>
    </row>
    <row r="697" spans="1:43">
      <c r="A697" s="1">
        <f t="shared" si="71"/>
        <v>695</v>
      </c>
      <c r="B697" s="19"/>
      <c r="C697" s="1">
        <v>7</v>
      </c>
      <c r="D697" s="4">
        <f t="shared" si="74"/>
        <v>69</v>
      </c>
      <c r="E697" s="4" t="s">
        <v>137</v>
      </c>
      <c r="F697" s="4">
        <v>1</v>
      </c>
      <c r="G697" s="4" t="s">
        <v>11</v>
      </c>
      <c r="H697" s="4" t="s">
        <v>17</v>
      </c>
      <c r="I697" s="4"/>
      <c r="J697" s="94">
        <v>87.1</v>
      </c>
      <c r="K697" s="1">
        <v>1.4999999999999999E-2</v>
      </c>
      <c r="L697" s="38">
        <v>5.7489999999999997</v>
      </c>
      <c r="M697" s="127" t="s">
        <v>212</v>
      </c>
      <c r="N697" s="1" t="s">
        <v>13</v>
      </c>
      <c r="O697" s="82"/>
      <c r="P697" s="83"/>
      <c r="Q697" s="3"/>
      <c r="R697" s="73">
        <v>6.22</v>
      </c>
      <c r="S697" s="22">
        <v>5.7359999999999998</v>
      </c>
      <c r="T697" s="22">
        <v>6.1029999999999998</v>
      </c>
      <c r="U697" s="22">
        <v>5.7679999999999998</v>
      </c>
      <c r="V697" s="22">
        <v>6.0220000000000002</v>
      </c>
      <c r="W697" s="22">
        <v>5.8440000000000003</v>
      </c>
      <c r="X697" s="22">
        <v>5.8419999999999996</v>
      </c>
      <c r="Y697" s="22">
        <v>5.8289999999999997</v>
      </c>
      <c r="Z697" s="22">
        <v>5.7489999999999997</v>
      </c>
      <c r="AA697" s="73">
        <v>5.7679999999999998</v>
      </c>
      <c r="AB697" s="22">
        <v>5.9720000000000004</v>
      </c>
      <c r="AC697" s="22">
        <v>6.0419999999999998</v>
      </c>
      <c r="AD697" s="22">
        <v>5.95</v>
      </c>
      <c r="AE697" s="22">
        <v>5.7510000000000003</v>
      </c>
      <c r="AF697" s="22">
        <v>5.6689999999999996</v>
      </c>
      <c r="AG697" s="22">
        <v>5.84</v>
      </c>
      <c r="AH697" s="22">
        <f t="shared" si="79"/>
        <v>5.7545000000000002</v>
      </c>
      <c r="AI697" s="84"/>
      <c r="AJ697" s="84"/>
      <c r="AK697" s="84"/>
      <c r="AL697" s="84"/>
      <c r="AM697" s="84"/>
      <c r="AN697" s="84"/>
      <c r="AO697" s="84"/>
      <c r="AP697" s="3"/>
      <c r="AQ697" s="8"/>
    </row>
    <row r="698" spans="1:43">
      <c r="A698" s="1">
        <f t="shared" si="71"/>
        <v>696</v>
      </c>
      <c r="B698" s="19"/>
      <c r="C698" s="1">
        <v>7</v>
      </c>
      <c r="D698" s="4">
        <f t="shared" si="74"/>
        <v>69</v>
      </c>
      <c r="E698" s="4" t="s">
        <v>137</v>
      </c>
      <c r="F698" s="4">
        <v>1</v>
      </c>
      <c r="G698" s="4" t="s">
        <v>14</v>
      </c>
      <c r="H698" s="4" t="s">
        <v>15</v>
      </c>
      <c r="I698" s="4"/>
      <c r="J698" s="94">
        <v>86.2</v>
      </c>
      <c r="K698" s="1">
        <v>6.0000000000000001E-3</v>
      </c>
      <c r="L698" s="38">
        <v>6.4660000000000002</v>
      </c>
      <c r="M698" s="127" t="s">
        <v>212</v>
      </c>
      <c r="N698" s="1" t="s">
        <v>13</v>
      </c>
      <c r="O698" s="82"/>
      <c r="P698" s="83"/>
      <c r="Q698" s="3"/>
      <c r="R698" s="73">
        <v>5.9119999999999999</v>
      </c>
      <c r="S698" s="22">
        <v>5.8209999999999997</v>
      </c>
      <c r="T698" s="22">
        <v>6.8860000000000001</v>
      </c>
      <c r="U698" s="22">
        <v>7.2009999999999996</v>
      </c>
      <c r="V698" s="22">
        <v>6.798</v>
      </c>
      <c r="W698" s="22">
        <v>6.5819999999999999</v>
      </c>
      <c r="X698" s="22">
        <v>6.5670000000000002</v>
      </c>
      <c r="Y698" s="22">
        <v>6.57</v>
      </c>
      <c r="Z698" s="22">
        <v>6.3890000000000002</v>
      </c>
      <c r="AA698" s="73">
        <v>6.4589999999999996</v>
      </c>
      <c r="AB698" s="22">
        <v>6.6360000000000001</v>
      </c>
      <c r="AC698" s="22">
        <v>6.6840000000000002</v>
      </c>
      <c r="AD698" s="22">
        <v>6.3979999999999997</v>
      </c>
      <c r="AE698" s="22">
        <v>6.42</v>
      </c>
      <c r="AF698" s="22">
        <v>5.8250000000000002</v>
      </c>
      <c r="AG698" s="22">
        <v>7.2110000000000003</v>
      </c>
      <c r="AH698" s="22">
        <f>AVERAGE(AF698:AG698)</f>
        <v>6.5180000000000007</v>
      </c>
      <c r="AI698" s="84"/>
      <c r="AJ698" s="84"/>
      <c r="AK698" s="84"/>
      <c r="AL698" s="84"/>
      <c r="AM698" s="84"/>
      <c r="AN698" s="84"/>
      <c r="AO698" s="84"/>
      <c r="AP698" s="3"/>
      <c r="AQ698" s="8"/>
    </row>
    <row r="699" spans="1:43">
      <c r="A699" s="1">
        <f t="shared" si="71"/>
        <v>697</v>
      </c>
      <c r="B699" s="19"/>
      <c r="C699" s="1">
        <v>7</v>
      </c>
      <c r="D699" s="4">
        <f t="shared" si="74"/>
        <v>69</v>
      </c>
      <c r="E699" s="4" t="s">
        <v>128</v>
      </c>
      <c r="F699" s="4">
        <v>1</v>
      </c>
      <c r="G699" s="4" t="s">
        <v>14</v>
      </c>
      <c r="H699" s="4" t="s">
        <v>22</v>
      </c>
      <c r="I699" s="4"/>
      <c r="J699" s="94">
        <v>91.1</v>
      </c>
      <c r="K699" s="1">
        <v>2.7E-2</v>
      </c>
      <c r="L699" s="38">
        <v>6.5460000000000003</v>
      </c>
      <c r="M699" s="127" t="s">
        <v>212</v>
      </c>
      <c r="N699" s="1" t="s">
        <v>13</v>
      </c>
      <c r="O699" s="82"/>
      <c r="P699" s="83"/>
      <c r="Q699" s="3"/>
      <c r="R699" s="73">
        <v>6.6159999999999997</v>
      </c>
      <c r="S699" s="22">
        <v>6.4480000000000004</v>
      </c>
      <c r="T699" s="22">
        <v>6.8689999999999998</v>
      </c>
      <c r="U699" s="22">
        <v>6.6920000000000002</v>
      </c>
      <c r="V699" s="22">
        <v>6.6660000000000004</v>
      </c>
      <c r="W699" s="22">
        <v>6.5810000000000004</v>
      </c>
      <c r="X699" s="22">
        <v>6.5890000000000004</v>
      </c>
      <c r="Y699" s="22">
        <v>6.5910000000000002</v>
      </c>
      <c r="Z699" s="22">
        <v>6.5380000000000003</v>
      </c>
      <c r="AA699" s="73">
        <v>6.548</v>
      </c>
      <c r="AB699" s="22">
        <v>6.7779999999999996</v>
      </c>
      <c r="AC699" s="22">
        <v>6.7489999999999997</v>
      </c>
      <c r="AD699" s="22">
        <v>6.6479999999999997</v>
      </c>
      <c r="AE699" s="22">
        <v>6.6239999999999997</v>
      </c>
      <c r="AF699" s="22">
        <v>6.4619999999999997</v>
      </c>
      <c r="AG699" s="22">
        <v>6.5389999999999997</v>
      </c>
      <c r="AH699" s="22">
        <f t="shared" si="79"/>
        <v>6.5004999999999997</v>
      </c>
      <c r="AI699" s="84"/>
      <c r="AJ699" s="84"/>
      <c r="AK699" s="84"/>
      <c r="AL699" s="84"/>
      <c r="AM699" s="84"/>
      <c r="AN699" s="84"/>
      <c r="AO699" s="84"/>
      <c r="AP699" s="3"/>
      <c r="AQ699" s="8"/>
    </row>
    <row r="700" spans="1:43">
      <c r="A700" s="1">
        <f t="shared" si="71"/>
        <v>698</v>
      </c>
      <c r="B700" s="19"/>
      <c r="C700" s="1">
        <v>7</v>
      </c>
      <c r="D700" s="4">
        <f t="shared" si="74"/>
        <v>69</v>
      </c>
      <c r="E700" s="4" t="s">
        <v>130</v>
      </c>
      <c r="F700" s="4">
        <v>3</v>
      </c>
      <c r="G700" s="4" t="s">
        <v>11</v>
      </c>
      <c r="H700" s="4" t="s">
        <v>12</v>
      </c>
      <c r="I700" s="4"/>
      <c r="J700" s="94">
        <v>96.3</v>
      </c>
      <c r="K700" s="65"/>
      <c r="L700" s="38">
        <v>3.819</v>
      </c>
      <c r="M700" s="127" t="s">
        <v>113</v>
      </c>
      <c r="N700" s="1" t="s">
        <v>13</v>
      </c>
      <c r="O700" s="82"/>
      <c r="P700" s="83"/>
      <c r="Q700" s="3"/>
      <c r="R700" s="73">
        <v>3.9119999999999999</v>
      </c>
      <c r="S700" s="22">
        <v>3.855</v>
      </c>
      <c r="T700" s="22">
        <v>4.0880000000000001</v>
      </c>
      <c r="U700" s="22">
        <v>3.7349999999999999</v>
      </c>
      <c r="V700" s="22">
        <v>3.9740000000000002</v>
      </c>
      <c r="W700" s="11"/>
      <c r="X700" s="11"/>
      <c r="Y700" s="11"/>
      <c r="Z700" s="73">
        <v>3.8319999999999999</v>
      </c>
      <c r="AA700" s="11"/>
      <c r="AB700" s="22">
        <v>3.9889999999999999</v>
      </c>
      <c r="AC700" s="22">
        <v>4.1470000000000002</v>
      </c>
      <c r="AD700" s="22">
        <v>4.0579999999999998</v>
      </c>
      <c r="AE700" s="22">
        <v>3.7589999999999999</v>
      </c>
      <c r="AF700" s="22">
        <v>3.6560000000000001</v>
      </c>
      <c r="AG700" s="22">
        <v>3.95</v>
      </c>
      <c r="AH700" s="22">
        <f t="shared" si="79"/>
        <v>3.8029999999999999</v>
      </c>
      <c r="AI700" s="84"/>
      <c r="AJ700" s="84"/>
      <c r="AK700" s="84"/>
      <c r="AL700" s="84"/>
      <c r="AM700" s="84"/>
      <c r="AN700" s="84"/>
      <c r="AO700" s="84"/>
      <c r="AP700" s="3"/>
      <c r="AQ700" s="8"/>
    </row>
    <row r="701" spans="1:43">
      <c r="A701" s="1">
        <f t="shared" si="71"/>
        <v>699</v>
      </c>
      <c r="B701" s="19"/>
      <c r="C701" s="1">
        <v>7</v>
      </c>
      <c r="D701" s="4">
        <f t="shared" si="74"/>
        <v>69</v>
      </c>
      <c r="E701" s="4" t="s">
        <v>143</v>
      </c>
      <c r="F701" s="4">
        <v>3</v>
      </c>
      <c r="G701" s="4" t="s">
        <v>11</v>
      </c>
      <c r="H701" s="4" t="s">
        <v>17</v>
      </c>
      <c r="I701" s="4"/>
      <c r="J701" s="94">
        <v>97.9</v>
      </c>
      <c r="K701" s="65"/>
      <c r="L701" s="38">
        <v>3.9670000000000005</v>
      </c>
      <c r="M701" s="127" t="s">
        <v>113</v>
      </c>
      <c r="N701" s="1" t="s">
        <v>13</v>
      </c>
      <c r="O701" s="82"/>
      <c r="P701" s="83"/>
      <c r="Q701" s="3"/>
      <c r="R701" s="73">
        <v>4.2869999999999999</v>
      </c>
      <c r="S701" s="22">
        <v>4.141</v>
      </c>
      <c r="T701" s="22">
        <v>4.1970000000000001</v>
      </c>
      <c r="U701" s="22">
        <v>3.726</v>
      </c>
      <c r="V701" s="22">
        <v>3.944</v>
      </c>
      <c r="W701" s="11"/>
      <c r="X701" s="11"/>
      <c r="Y701" s="11"/>
      <c r="Z701" s="73">
        <v>3.9870000000000001</v>
      </c>
      <c r="AA701" s="11"/>
      <c r="AB701" s="22">
        <v>4.101</v>
      </c>
      <c r="AC701" s="22">
        <v>4.141</v>
      </c>
      <c r="AD701" s="22">
        <v>4.1440000000000001</v>
      </c>
      <c r="AE701" s="22">
        <v>3.944</v>
      </c>
      <c r="AF701" s="22">
        <v>4.0549999999999997</v>
      </c>
      <c r="AG701" s="22">
        <v>3.73</v>
      </c>
      <c r="AH701" s="22">
        <f t="shared" si="79"/>
        <v>3.8925000000000001</v>
      </c>
      <c r="AI701" s="84"/>
      <c r="AJ701" s="84"/>
      <c r="AK701" s="84"/>
      <c r="AL701" s="84"/>
      <c r="AM701" s="84"/>
      <c r="AN701" s="84"/>
      <c r="AO701" s="84"/>
      <c r="AP701" s="3"/>
      <c r="AQ701" s="8"/>
    </row>
    <row r="702" spans="1:43">
      <c r="A702" s="1">
        <f t="shared" si="71"/>
        <v>700</v>
      </c>
      <c r="B702" s="19"/>
      <c r="C702" s="1">
        <v>7</v>
      </c>
      <c r="D702" s="4">
        <f t="shared" si="74"/>
        <v>69</v>
      </c>
      <c r="E702" s="4" t="s">
        <v>142</v>
      </c>
      <c r="F702" s="4">
        <v>3</v>
      </c>
      <c r="G702" s="4" t="s">
        <v>11</v>
      </c>
      <c r="H702" s="4" t="s">
        <v>17</v>
      </c>
      <c r="I702" s="4"/>
      <c r="J702" s="94">
        <v>98</v>
      </c>
      <c r="K702" s="65"/>
      <c r="L702" s="38">
        <v>4.4310000000000009</v>
      </c>
      <c r="M702" s="127" t="s">
        <v>113</v>
      </c>
      <c r="N702" s="1" t="s">
        <v>13</v>
      </c>
      <c r="O702" s="82"/>
      <c r="P702" s="83"/>
      <c r="Q702" s="3"/>
      <c r="R702" s="73">
        <v>4.7460000000000004</v>
      </c>
      <c r="S702" s="22">
        <v>4.5330000000000004</v>
      </c>
      <c r="T702" s="22">
        <v>4.5659999999999998</v>
      </c>
      <c r="U702" s="22">
        <v>4.1500000000000004</v>
      </c>
      <c r="V702" s="22">
        <v>4.4089999999999998</v>
      </c>
      <c r="W702" s="11"/>
      <c r="X702" s="11"/>
      <c r="Y702" s="11"/>
      <c r="Z702" s="73">
        <v>4.4450000000000003</v>
      </c>
      <c r="AA702" s="11"/>
      <c r="AB702" s="22">
        <v>4.5999999999999996</v>
      </c>
      <c r="AC702" s="22">
        <v>4.6360000000000001</v>
      </c>
      <c r="AD702" s="22">
        <v>4.6050000000000004</v>
      </c>
      <c r="AE702" s="22">
        <v>4.46</v>
      </c>
      <c r="AF702" s="22">
        <v>4.47</v>
      </c>
      <c r="AG702" s="22">
        <v>4.2489999999999997</v>
      </c>
      <c r="AH702" s="22">
        <f t="shared" si="79"/>
        <v>4.3594999999999997</v>
      </c>
      <c r="AI702" s="84"/>
      <c r="AJ702" s="84"/>
      <c r="AK702" s="84"/>
      <c r="AL702" s="84"/>
      <c r="AM702" s="84"/>
      <c r="AN702" s="84"/>
      <c r="AO702" s="84"/>
      <c r="AP702" s="3"/>
      <c r="AQ702" s="8"/>
    </row>
    <row r="703" spans="1:43">
      <c r="A703" s="1">
        <f t="shared" si="71"/>
        <v>701</v>
      </c>
      <c r="B703" s="2" t="s">
        <v>39</v>
      </c>
      <c r="C703" s="1">
        <v>6</v>
      </c>
      <c r="D703" s="4">
        <f t="shared" si="74"/>
        <v>69</v>
      </c>
      <c r="E703" s="4" t="s">
        <v>163</v>
      </c>
      <c r="F703" s="4">
        <v>1</v>
      </c>
      <c r="G703" s="4" t="s">
        <v>11</v>
      </c>
      <c r="H703" s="4" t="s">
        <v>12</v>
      </c>
      <c r="I703" s="4"/>
      <c r="J703" s="5">
        <v>90.1</v>
      </c>
      <c r="K703" s="63">
        <v>6.0000000000000001E-3</v>
      </c>
      <c r="L703" s="38">
        <v>4.1440000000000001</v>
      </c>
      <c r="M703" s="127" t="s">
        <v>212</v>
      </c>
      <c r="N703" s="1" t="s">
        <v>13</v>
      </c>
      <c r="O703" s="22">
        <v>4.1429999999999998</v>
      </c>
      <c r="P703" s="1" t="s">
        <v>7</v>
      </c>
      <c r="Q703" s="3" t="s">
        <v>205</v>
      </c>
      <c r="R703" s="22">
        <v>4.3730000000000002</v>
      </c>
      <c r="S703" s="22">
        <v>4.1390000000000002</v>
      </c>
      <c r="T703" s="22">
        <v>4.5789999999999997</v>
      </c>
      <c r="U703" s="22">
        <v>4.1050000000000004</v>
      </c>
      <c r="V703" s="22">
        <v>4.3220000000000001</v>
      </c>
      <c r="W703" s="22">
        <v>4.2130000000000001</v>
      </c>
      <c r="X703" s="22">
        <v>4.2130000000000001</v>
      </c>
      <c r="Y703" s="22">
        <v>4.1989999999999998</v>
      </c>
      <c r="Z703" s="22">
        <v>4.1420000000000003</v>
      </c>
      <c r="AA703" s="22">
        <v>4.149</v>
      </c>
      <c r="AB703" s="22">
        <v>4.4640000000000004</v>
      </c>
      <c r="AC703" s="22">
        <v>4.4349999999999996</v>
      </c>
      <c r="AD703" s="22">
        <v>4.3380000000000001</v>
      </c>
      <c r="AE703" s="22">
        <v>4.2409999999999997</v>
      </c>
      <c r="AF703" s="22">
        <v>4.1669999999999998</v>
      </c>
      <c r="AG703" s="22">
        <v>4.133</v>
      </c>
      <c r="AH703" s="6">
        <f t="shared" si="72"/>
        <v>4.1500000000000004</v>
      </c>
      <c r="AI703" s="7">
        <v>4.76</v>
      </c>
      <c r="AJ703" s="7">
        <v>4.09</v>
      </c>
      <c r="AK703" s="7">
        <v>3.66</v>
      </c>
      <c r="AL703" s="7">
        <v>4.3099999999999996</v>
      </c>
      <c r="AM703" s="7">
        <v>4.3</v>
      </c>
      <c r="AN703" s="7">
        <v>4.22</v>
      </c>
      <c r="AO703" s="7">
        <v>4.17</v>
      </c>
      <c r="AP703" s="3"/>
      <c r="AQ703" s="8"/>
    </row>
    <row r="704" spans="1:43">
      <c r="A704" s="1">
        <f t="shared" si="71"/>
        <v>702</v>
      </c>
      <c r="B704" s="19"/>
      <c r="C704" s="1">
        <v>6</v>
      </c>
      <c r="D704" s="4">
        <f t="shared" si="74"/>
        <v>69</v>
      </c>
      <c r="E704" s="4" t="s">
        <v>150</v>
      </c>
      <c r="F704" s="4">
        <v>1</v>
      </c>
      <c r="G704" s="4" t="s">
        <v>11</v>
      </c>
      <c r="H704" s="4" t="s">
        <v>12</v>
      </c>
      <c r="I704" s="4"/>
      <c r="J704" s="5">
        <v>88.6</v>
      </c>
      <c r="K704" s="65"/>
      <c r="L704" s="38">
        <v>4.97</v>
      </c>
      <c r="M704" s="127" t="s">
        <v>212</v>
      </c>
      <c r="N704" s="1" t="s">
        <v>13</v>
      </c>
      <c r="O704" s="22">
        <v>4.9799999999999995</v>
      </c>
      <c r="P704" s="1" t="s">
        <v>7</v>
      </c>
      <c r="Q704" s="3" t="s">
        <v>205</v>
      </c>
      <c r="R704" s="22">
        <v>4.9130000000000003</v>
      </c>
      <c r="S704" s="22">
        <v>4.8559999999999999</v>
      </c>
      <c r="T704" s="22">
        <v>5.399</v>
      </c>
      <c r="U704" s="22">
        <v>4.9459999999999997</v>
      </c>
      <c r="V704" s="22">
        <v>5.2229999999999999</v>
      </c>
      <c r="W704" s="22">
        <v>5.0350000000000001</v>
      </c>
      <c r="X704" s="22">
        <v>5.0380000000000003</v>
      </c>
      <c r="Y704" s="22">
        <v>5.0579999999999998</v>
      </c>
      <c r="Z704" s="22">
        <v>4.9669999999999996</v>
      </c>
      <c r="AA704" s="22">
        <v>4.9770000000000003</v>
      </c>
      <c r="AB704" s="22">
        <v>5.3129999999999997</v>
      </c>
      <c r="AC704" s="22">
        <v>5.282</v>
      </c>
      <c r="AD704" s="22">
        <v>5.1390000000000002</v>
      </c>
      <c r="AE704" s="22">
        <v>5.0709999999999997</v>
      </c>
      <c r="AF704" s="22">
        <v>4.8810000000000002</v>
      </c>
      <c r="AG704" s="22">
        <v>5.2140000000000004</v>
      </c>
      <c r="AH704" s="6">
        <f t="shared" si="72"/>
        <v>5.0475000000000003</v>
      </c>
      <c r="AI704" s="7">
        <v>5.9</v>
      </c>
      <c r="AJ704" s="7">
        <v>4.76</v>
      </c>
      <c r="AK704" s="7">
        <v>4.26</v>
      </c>
      <c r="AL704" s="7">
        <v>5.0999999999999996</v>
      </c>
      <c r="AM704" s="7">
        <v>5.0999999999999996</v>
      </c>
      <c r="AN704" s="7">
        <v>4.82</v>
      </c>
      <c r="AO704" s="7">
        <v>4.7699999999999996</v>
      </c>
      <c r="AP704" s="3"/>
      <c r="AQ704" s="8"/>
    </row>
    <row r="705" spans="1:43">
      <c r="A705" s="1">
        <f t="shared" si="71"/>
        <v>703</v>
      </c>
      <c r="B705" s="19"/>
      <c r="C705" s="1">
        <v>6</v>
      </c>
      <c r="D705" s="4">
        <f t="shared" si="74"/>
        <v>69</v>
      </c>
      <c r="E705" s="4" t="s">
        <v>20</v>
      </c>
      <c r="F705" s="4">
        <v>1</v>
      </c>
      <c r="G705" s="4" t="s">
        <v>11</v>
      </c>
      <c r="H705" s="4" t="s">
        <v>17</v>
      </c>
      <c r="I705" s="4"/>
      <c r="J705" s="5">
        <v>86.9</v>
      </c>
      <c r="K705" s="63">
        <v>7.8E-2</v>
      </c>
      <c r="L705" s="38">
        <v>4.9880000000000004</v>
      </c>
      <c r="M705" s="127" t="s">
        <v>212</v>
      </c>
      <c r="N705" s="1" t="s">
        <v>13</v>
      </c>
      <c r="O705" s="22">
        <v>4.9830000000000005</v>
      </c>
      <c r="P705" s="1" t="s">
        <v>7</v>
      </c>
      <c r="Q705" s="3" t="s">
        <v>205</v>
      </c>
      <c r="R705" s="22">
        <v>5.2569999999999997</v>
      </c>
      <c r="S705" s="22">
        <v>5.14</v>
      </c>
      <c r="T705" s="22">
        <v>5.4960000000000004</v>
      </c>
      <c r="U705" s="22">
        <v>4.8029999999999999</v>
      </c>
      <c r="V705" s="22">
        <v>5.1539999999999999</v>
      </c>
      <c r="W705" s="22">
        <v>5.0860000000000003</v>
      </c>
      <c r="X705" s="22">
        <v>5.09</v>
      </c>
      <c r="Y705" s="22">
        <v>5.0590000000000002</v>
      </c>
      <c r="Z705" s="22">
        <v>5.0289999999999999</v>
      </c>
      <c r="AA705" s="22">
        <v>5.0179999999999998</v>
      </c>
      <c r="AB705" s="22">
        <v>4.9489999999999998</v>
      </c>
      <c r="AC705" s="22">
        <v>4.9279999999999999</v>
      </c>
      <c r="AD705" s="22">
        <v>5</v>
      </c>
      <c r="AE705" s="22">
        <v>4.7110000000000003</v>
      </c>
      <c r="AF705" s="22">
        <v>5.1660000000000004</v>
      </c>
      <c r="AG705" s="22">
        <v>4.883</v>
      </c>
      <c r="AH705" s="6">
        <f t="shared" si="72"/>
        <v>5.0244999999999997</v>
      </c>
      <c r="AI705" s="7">
        <v>4.97</v>
      </c>
      <c r="AJ705" s="7">
        <v>5.13</v>
      </c>
      <c r="AK705" s="7">
        <v>4.6500000000000004</v>
      </c>
      <c r="AL705" s="7">
        <v>5.09</v>
      </c>
      <c r="AM705" s="7">
        <v>5.03</v>
      </c>
      <c r="AN705" s="7">
        <v>5.36</v>
      </c>
      <c r="AO705" s="7">
        <v>5.32</v>
      </c>
      <c r="AP705" s="3"/>
      <c r="AQ705" s="8"/>
    </row>
    <row r="706" spans="1:43">
      <c r="A706" s="1">
        <f t="shared" si="71"/>
        <v>704</v>
      </c>
      <c r="B706" s="19"/>
      <c r="C706" s="1">
        <v>6</v>
      </c>
      <c r="D706" s="4">
        <f t="shared" si="74"/>
        <v>69</v>
      </c>
      <c r="E706" s="4" t="s">
        <v>41</v>
      </c>
      <c r="F706" s="4">
        <v>1</v>
      </c>
      <c r="G706" s="4" t="s">
        <v>11</v>
      </c>
      <c r="H706" s="4" t="s">
        <v>12</v>
      </c>
      <c r="I706" s="4"/>
      <c r="J706" s="5">
        <v>85.6</v>
      </c>
      <c r="K706" s="65"/>
      <c r="L706" s="38">
        <v>5.6820000000000004</v>
      </c>
      <c r="M706" s="127" t="s">
        <v>212</v>
      </c>
      <c r="N706" s="1" t="s">
        <v>13</v>
      </c>
      <c r="O706" s="22">
        <v>5.6769999999999996</v>
      </c>
      <c r="P706" s="1" t="s">
        <v>7</v>
      </c>
      <c r="Q706" s="3" t="s">
        <v>205</v>
      </c>
      <c r="R706" s="22">
        <v>6.218</v>
      </c>
      <c r="S706" s="22">
        <v>5.859</v>
      </c>
      <c r="T706" s="22">
        <v>6.2290000000000001</v>
      </c>
      <c r="U706" s="22">
        <v>5.7270000000000003</v>
      </c>
      <c r="V706" s="22">
        <v>6.0039999999999996</v>
      </c>
      <c r="W706" s="22">
        <v>5.8540000000000001</v>
      </c>
      <c r="X706" s="22">
        <v>5.843</v>
      </c>
      <c r="Y706" s="22">
        <v>5.798</v>
      </c>
      <c r="Z706" s="22">
        <v>5.7140000000000004</v>
      </c>
      <c r="AA706" s="22">
        <v>5.7110000000000003</v>
      </c>
      <c r="AB706" s="22">
        <v>6.1139999999999999</v>
      </c>
      <c r="AC706" s="22">
        <v>6.1020000000000003</v>
      </c>
      <c r="AD706" s="22">
        <v>6.024</v>
      </c>
      <c r="AE706" s="22">
        <v>5.89</v>
      </c>
      <c r="AF706" s="22">
        <v>5.8689999999999998</v>
      </c>
      <c r="AG706" s="22">
        <v>5.6740000000000004</v>
      </c>
      <c r="AH706" s="6">
        <f t="shared" si="72"/>
        <v>5.7714999999999996</v>
      </c>
      <c r="AI706" s="7">
        <v>5.8</v>
      </c>
      <c r="AJ706" s="7">
        <v>5.68</v>
      </c>
      <c r="AK706" s="7">
        <v>5.27</v>
      </c>
      <c r="AL706" s="7">
        <v>5.73</v>
      </c>
      <c r="AM706" s="7">
        <v>5.7</v>
      </c>
      <c r="AN706" s="7">
        <v>5.92</v>
      </c>
      <c r="AO706" s="7">
        <v>5.88</v>
      </c>
      <c r="AP706" s="3"/>
      <c r="AQ706" s="8"/>
    </row>
    <row r="707" spans="1:43">
      <c r="A707" s="1">
        <f t="shared" si="71"/>
        <v>705</v>
      </c>
      <c r="B707" s="19"/>
      <c r="C707" s="1">
        <v>6</v>
      </c>
      <c r="D707" s="4">
        <f t="shared" si="74"/>
        <v>69</v>
      </c>
      <c r="E707" s="4" t="s">
        <v>120</v>
      </c>
      <c r="F707" s="4">
        <v>1</v>
      </c>
      <c r="G707" s="4" t="s">
        <v>14</v>
      </c>
      <c r="H707" s="4" t="s">
        <v>15</v>
      </c>
      <c r="I707" s="4"/>
      <c r="J707" s="5">
        <v>91.1</v>
      </c>
      <c r="K707" s="65"/>
      <c r="L707" s="38">
        <v>6.6630000000000011</v>
      </c>
      <c r="M707" s="127" t="s">
        <v>212</v>
      </c>
      <c r="N707" s="1" t="s">
        <v>13</v>
      </c>
      <c r="O707" s="22">
        <v>6.7040000000000015</v>
      </c>
      <c r="P707" s="1" t="s">
        <v>7</v>
      </c>
      <c r="Q707" s="3" t="s">
        <v>205</v>
      </c>
      <c r="R707" s="22">
        <v>6.202</v>
      </c>
      <c r="S707" s="22">
        <v>6.2039999999999997</v>
      </c>
      <c r="T707" s="22">
        <v>7.04</v>
      </c>
      <c r="U707" s="22">
        <v>6.7610000000000001</v>
      </c>
      <c r="V707" s="22">
        <v>6.83</v>
      </c>
      <c r="W707" s="22">
        <v>6.7039999999999997</v>
      </c>
      <c r="X707" s="22">
        <v>6.71</v>
      </c>
      <c r="Y707" s="22">
        <v>6.7430000000000003</v>
      </c>
      <c r="Z707" s="22">
        <v>6.6559999999999997</v>
      </c>
      <c r="AA707" s="22">
        <v>6.65</v>
      </c>
      <c r="AB707" s="22">
        <v>6.9930000000000003</v>
      </c>
      <c r="AC707" s="22">
        <v>6.89</v>
      </c>
      <c r="AD707" s="22">
        <v>6.66</v>
      </c>
      <c r="AE707" s="22">
        <v>6.8159999999999998</v>
      </c>
      <c r="AF707" s="22">
        <v>6.3010000000000002</v>
      </c>
      <c r="AG707" s="22">
        <v>6.9569999999999999</v>
      </c>
      <c r="AH707" s="6">
        <f t="shared" si="72"/>
        <v>6.6289999999999996</v>
      </c>
      <c r="AI707" s="7">
        <v>6.69</v>
      </c>
      <c r="AJ707" s="7">
        <v>6.66</v>
      </c>
      <c r="AK707" s="7">
        <v>6.27</v>
      </c>
      <c r="AL707" s="7">
        <v>6.81</v>
      </c>
      <c r="AM707" s="7">
        <v>6.8</v>
      </c>
      <c r="AN707" s="7">
        <v>6.73</v>
      </c>
      <c r="AO707" s="7">
        <v>6.7</v>
      </c>
      <c r="AP707" s="3"/>
      <c r="AQ707" s="8"/>
    </row>
    <row r="708" spans="1:43">
      <c r="A708" s="1">
        <f t="shared" si="71"/>
        <v>706</v>
      </c>
      <c r="B708" s="19"/>
      <c r="C708" s="1">
        <v>6</v>
      </c>
      <c r="D708" s="4">
        <f t="shared" ref="D708:D771" si="80">_xlfn.SWITCH(C708,1,12,2,12,3,35,4,35,5,35,6,69,7,69,8,69,9,69,1016)</f>
        <v>69</v>
      </c>
      <c r="E708" s="4" t="s">
        <v>42</v>
      </c>
      <c r="F708" s="4">
        <v>1</v>
      </c>
      <c r="G708" s="4" t="s">
        <v>11</v>
      </c>
      <c r="H708" s="4" t="s">
        <v>12</v>
      </c>
      <c r="I708" s="4"/>
      <c r="J708" s="5">
        <v>84.2</v>
      </c>
      <c r="K708" s="65"/>
      <c r="L708" s="38">
        <v>6.7030000000000012</v>
      </c>
      <c r="M708" s="127" t="s">
        <v>212</v>
      </c>
      <c r="N708" s="1" t="s">
        <v>13</v>
      </c>
      <c r="O708" s="22">
        <v>6.7120000000000015</v>
      </c>
      <c r="P708" s="1" t="s">
        <v>7</v>
      </c>
      <c r="Q708" s="3" t="s">
        <v>205</v>
      </c>
      <c r="R708" s="46"/>
      <c r="S708" s="22">
        <v>6.67</v>
      </c>
      <c r="T708" s="22">
        <v>7.2960000000000003</v>
      </c>
      <c r="U708" s="22">
        <v>7.24</v>
      </c>
      <c r="V708" s="22">
        <v>7.1360000000000001</v>
      </c>
      <c r="W708" s="22">
        <v>6.8490000000000002</v>
      </c>
      <c r="X708" s="22">
        <v>6.8490000000000002</v>
      </c>
      <c r="Y708" s="22">
        <v>6.8659999999999997</v>
      </c>
      <c r="Z708" s="22">
        <v>6.7249999999999996</v>
      </c>
      <c r="AA708" s="22">
        <v>6.7370000000000001</v>
      </c>
      <c r="AB708" s="22">
        <v>7.11</v>
      </c>
      <c r="AC708" s="22">
        <v>7.09</v>
      </c>
      <c r="AD708" s="22">
        <v>6.9489999999999998</v>
      </c>
      <c r="AE708" s="22">
        <v>6.8410000000000002</v>
      </c>
      <c r="AF708" s="22">
        <v>6.68</v>
      </c>
      <c r="AG708" s="22">
        <v>7.1760000000000002</v>
      </c>
      <c r="AH708" s="6">
        <f t="shared" si="72"/>
        <v>6.9279999999999999</v>
      </c>
      <c r="AI708" s="7">
        <v>7.16</v>
      </c>
      <c r="AJ708" s="7">
        <v>6.61</v>
      </c>
      <c r="AK708" s="7">
        <v>6.07</v>
      </c>
      <c r="AL708" s="7">
        <v>6.78</v>
      </c>
      <c r="AM708" s="7">
        <v>6.76</v>
      </c>
      <c r="AN708" s="7">
        <v>6.8</v>
      </c>
      <c r="AO708" s="7">
        <v>6.75</v>
      </c>
      <c r="AP708" s="3"/>
      <c r="AQ708" s="8"/>
    </row>
    <row r="709" spans="1:43">
      <c r="A709" s="1">
        <f t="shared" si="71"/>
        <v>707</v>
      </c>
      <c r="B709" s="19"/>
      <c r="C709" s="1">
        <v>6</v>
      </c>
      <c r="D709" s="4">
        <f t="shared" si="80"/>
        <v>69</v>
      </c>
      <c r="E709" s="4" t="s">
        <v>21</v>
      </c>
      <c r="F709" s="4">
        <v>1</v>
      </c>
      <c r="G709" s="4" t="s">
        <v>11</v>
      </c>
      <c r="H709" s="4" t="s">
        <v>17</v>
      </c>
      <c r="I709" s="4"/>
      <c r="J709" s="5">
        <v>92.8</v>
      </c>
      <c r="K709" s="63">
        <v>6.3E-2</v>
      </c>
      <c r="L709" s="38">
        <v>6.8530000000000006</v>
      </c>
      <c r="M709" s="127" t="s">
        <v>212</v>
      </c>
      <c r="N709" s="1" t="s">
        <v>13</v>
      </c>
      <c r="O709" s="22">
        <v>6.8439999999999994</v>
      </c>
      <c r="P709" s="1" t="s">
        <v>7</v>
      </c>
      <c r="Q709" s="3" t="s">
        <v>205</v>
      </c>
      <c r="R709" s="22">
        <v>7.1269999999999998</v>
      </c>
      <c r="S709" s="22">
        <v>6.8890000000000002</v>
      </c>
      <c r="T709" s="22">
        <v>7.1390000000000002</v>
      </c>
      <c r="U709" s="22">
        <v>6.9160000000000004</v>
      </c>
      <c r="V709" s="22">
        <v>6.9580000000000002</v>
      </c>
      <c r="W709" s="22">
        <v>6.9109999999999996</v>
      </c>
      <c r="X709" s="22">
        <v>6.9</v>
      </c>
      <c r="Y709" s="22">
        <v>6.8769999999999998</v>
      </c>
      <c r="Z709" s="22">
        <v>6.8620000000000001</v>
      </c>
      <c r="AA709" s="22">
        <v>6.8739999999999997</v>
      </c>
      <c r="AB709" s="22">
        <v>6.7770000000000001</v>
      </c>
      <c r="AC709" s="22">
        <v>6.8090000000000002</v>
      </c>
      <c r="AD709" s="22">
        <v>6.8460000000000001</v>
      </c>
      <c r="AE709" s="22">
        <v>6.6040000000000001</v>
      </c>
      <c r="AF709" s="22">
        <v>6.8780000000000001</v>
      </c>
      <c r="AG709" s="22">
        <v>6.6559999999999997</v>
      </c>
      <c r="AH709" s="6">
        <f t="shared" si="72"/>
        <v>6.7669999999999995</v>
      </c>
      <c r="AI709" s="7">
        <v>8.0399999999999991</v>
      </c>
      <c r="AJ709" s="7">
        <v>7.14</v>
      </c>
      <c r="AK709" s="7">
        <v>6.72</v>
      </c>
      <c r="AL709" s="7">
        <v>7.2</v>
      </c>
      <c r="AM709" s="7">
        <v>7.12</v>
      </c>
      <c r="AN709" s="7">
        <v>6.89</v>
      </c>
      <c r="AO709" s="7">
        <v>6.81</v>
      </c>
      <c r="AP709" s="3"/>
      <c r="AQ709" s="8"/>
    </row>
    <row r="710" spans="1:43">
      <c r="A710" s="1">
        <f t="shared" si="71"/>
        <v>708</v>
      </c>
      <c r="B710" s="19"/>
      <c r="C710" s="1">
        <v>6</v>
      </c>
      <c r="D710" s="4">
        <f t="shared" si="80"/>
        <v>69</v>
      </c>
      <c r="E710" s="4" t="s">
        <v>42</v>
      </c>
      <c r="F710" s="4">
        <v>1</v>
      </c>
      <c r="G710" s="4" t="s">
        <v>14</v>
      </c>
      <c r="H710" s="4" t="s">
        <v>22</v>
      </c>
      <c r="I710" s="4"/>
      <c r="J710" s="5">
        <v>93.8</v>
      </c>
      <c r="K710" s="65"/>
      <c r="L710" s="38">
        <v>7.2030000000000003</v>
      </c>
      <c r="M710" s="127" t="s">
        <v>212</v>
      </c>
      <c r="N710" s="1" t="s">
        <v>13</v>
      </c>
      <c r="O710" s="22">
        <v>7.2260000000000009</v>
      </c>
      <c r="P710" s="1" t="s">
        <v>7</v>
      </c>
      <c r="Q710" s="3" t="s">
        <v>205</v>
      </c>
      <c r="R710" s="22">
        <v>7.3140000000000001</v>
      </c>
      <c r="S710" s="22">
        <v>7.2119999999999997</v>
      </c>
      <c r="T710" s="22">
        <v>7.5019999999999998</v>
      </c>
      <c r="U710" s="22">
        <v>7.3339999999999996</v>
      </c>
      <c r="V710" s="22">
        <v>7.26</v>
      </c>
      <c r="W710" s="22">
        <v>7.218</v>
      </c>
      <c r="X710" s="22">
        <v>7.2240000000000002</v>
      </c>
      <c r="Y710" s="22">
        <v>7.2119999999999997</v>
      </c>
      <c r="Z710" s="22">
        <v>7.202</v>
      </c>
      <c r="AA710" s="22">
        <v>7.2140000000000004</v>
      </c>
      <c r="AB710" s="22">
        <v>7.3250000000000002</v>
      </c>
      <c r="AC710" s="22">
        <v>7.2720000000000002</v>
      </c>
      <c r="AD710" s="22">
        <v>7.2530000000000001</v>
      </c>
      <c r="AE710" s="22">
        <v>7.2160000000000002</v>
      </c>
      <c r="AF710" s="22">
        <v>7.2670000000000003</v>
      </c>
      <c r="AG710" s="22">
        <v>6.9989999999999997</v>
      </c>
      <c r="AH710" s="6">
        <f t="shared" si="72"/>
        <v>7.133</v>
      </c>
      <c r="AI710" s="7">
        <v>6.73</v>
      </c>
      <c r="AJ710" s="7">
        <v>7.41</v>
      </c>
      <c r="AK710" s="7">
        <v>7.27</v>
      </c>
      <c r="AL710" s="7">
        <v>7.24</v>
      </c>
      <c r="AM710" s="7">
        <v>7.18</v>
      </c>
      <c r="AN710" s="7">
        <v>7.33</v>
      </c>
      <c r="AO710" s="7">
        <v>7.33</v>
      </c>
      <c r="AP710" s="3"/>
      <c r="AQ710" s="8"/>
    </row>
    <row r="711" spans="1:43">
      <c r="A711" s="1">
        <f t="shared" si="71"/>
        <v>709</v>
      </c>
      <c r="B711" s="19"/>
      <c r="C711" s="1">
        <v>6</v>
      </c>
      <c r="D711" s="4">
        <f t="shared" si="80"/>
        <v>69</v>
      </c>
      <c r="E711" s="4" t="s">
        <v>20</v>
      </c>
      <c r="F711" s="4">
        <v>1</v>
      </c>
      <c r="G711" s="4" t="s">
        <v>14</v>
      </c>
      <c r="H711" s="4" t="s">
        <v>16</v>
      </c>
      <c r="I711" s="4"/>
      <c r="J711" s="5">
        <v>90.8</v>
      </c>
      <c r="K711" s="63">
        <v>3.6999999999999998E-2</v>
      </c>
      <c r="L711" s="38">
        <v>7.2669999999999995</v>
      </c>
      <c r="M711" s="127" t="s">
        <v>212</v>
      </c>
      <c r="N711" s="1" t="s">
        <v>13</v>
      </c>
      <c r="O711" s="22">
        <v>7.3049999999999997</v>
      </c>
      <c r="P711" s="1" t="s">
        <v>7</v>
      </c>
      <c r="Q711" s="3" t="s">
        <v>205</v>
      </c>
      <c r="R711" s="22">
        <v>7.2949999999999999</v>
      </c>
      <c r="S711" s="22">
        <v>6.742</v>
      </c>
      <c r="T711" s="22">
        <v>7.6539999999999999</v>
      </c>
      <c r="U711" s="22">
        <v>7.4029999999999996</v>
      </c>
      <c r="V711" s="22">
        <v>7.4409999999999998</v>
      </c>
      <c r="W711" s="22">
        <v>7.3090000000000002</v>
      </c>
      <c r="X711" s="22">
        <v>7.3150000000000004</v>
      </c>
      <c r="Y711" s="22">
        <v>7.3479999999999999</v>
      </c>
      <c r="Z711" s="22">
        <v>7.2530000000000001</v>
      </c>
      <c r="AA711" s="22">
        <v>7.2519999999999998</v>
      </c>
      <c r="AB711" s="22">
        <v>7.577</v>
      </c>
      <c r="AC711" s="22">
        <v>7.4720000000000004</v>
      </c>
      <c r="AD711" s="22">
        <v>7.2249999999999996</v>
      </c>
      <c r="AE711" s="22">
        <v>7.3970000000000002</v>
      </c>
      <c r="AF711" s="22">
        <v>6.8390000000000004</v>
      </c>
      <c r="AG711" s="22">
        <v>7.5739999999999998</v>
      </c>
      <c r="AH711" s="6">
        <f t="shared" si="72"/>
        <v>7.2065000000000001</v>
      </c>
      <c r="AI711" s="7">
        <v>7.49</v>
      </c>
      <c r="AJ711" s="7">
        <v>7.34</v>
      </c>
      <c r="AK711" s="7">
        <v>6.93</v>
      </c>
      <c r="AL711" s="7">
        <v>7.43</v>
      </c>
      <c r="AM711" s="7">
        <v>7.4</v>
      </c>
      <c r="AN711" s="7">
        <v>7.29</v>
      </c>
      <c r="AO711" s="7">
        <v>7.25</v>
      </c>
      <c r="AP711" s="3"/>
      <c r="AQ711" s="8"/>
    </row>
    <row r="712" spans="1:43">
      <c r="A712" s="1">
        <f t="shared" si="71"/>
        <v>710</v>
      </c>
      <c r="B712" s="19"/>
      <c r="C712" s="1">
        <v>6</v>
      </c>
      <c r="D712" s="4">
        <f t="shared" si="80"/>
        <v>69</v>
      </c>
      <c r="E712" s="4" t="s">
        <v>21</v>
      </c>
      <c r="F712" s="4">
        <v>1</v>
      </c>
      <c r="G712" s="4" t="s">
        <v>14</v>
      </c>
      <c r="H712" s="4" t="s">
        <v>16</v>
      </c>
      <c r="I712" s="4"/>
      <c r="J712" s="5">
        <v>91.4</v>
      </c>
      <c r="K712" s="63">
        <v>0.128</v>
      </c>
      <c r="L712" s="38">
        <v>7.452</v>
      </c>
      <c r="M712" s="127" t="s">
        <v>212</v>
      </c>
      <c r="N712" s="1" t="s">
        <v>13</v>
      </c>
      <c r="O712" s="22">
        <v>7.4809999999999999</v>
      </c>
      <c r="P712" s="1" t="s">
        <v>7</v>
      </c>
      <c r="Q712" s="3" t="s">
        <v>205</v>
      </c>
      <c r="R712" s="22">
        <v>7.1909999999999998</v>
      </c>
      <c r="S712" s="22">
        <v>7.032</v>
      </c>
      <c r="T712" s="22">
        <v>7.806</v>
      </c>
      <c r="U712" s="22">
        <v>7.5149999999999997</v>
      </c>
      <c r="V712" s="22">
        <v>7.5960000000000001</v>
      </c>
      <c r="W712" s="22">
        <v>7.4960000000000004</v>
      </c>
      <c r="X712" s="22">
        <v>7.5</v>
      </c>
      <c r="Y712" s="22">
        <v>7.524</v>
      </c>
      <c r="Z712" s="22">
        <v>7.4530000000000003</v>
      </c>
      <c r="AA712" s="22">
        <v>7.4480000000000004</v>
      </c>
      <c r="AB712" s="22">
        <v>7.6920000000000002</v>
      </c>
      <c r="AC712" s="22">
        <v>7.5979999999999999</v>
      </c>
      <c r="AD712" s="22">
        <v>7.407</v>
      </c>
      <c r="AE712" s="22">
        <v>7.5190000000000001</v>
      </c>
      <c r="AF712" s="22">
        <v>7.109</v>
      </c>
      <c r="AG712" s="22">
        <v>7.5949999999999998</v>
      </c>
      <c r="AH712" s="6">
        <f t="shared" si="72"/>
        <v>7.3520000000000003</v>
      </c>
      <c r="AI712" s="7">
        <v>7.83</v>
      </c>
      <c r="AJ712" s="7">
        <v>7.55</v>
      </c>
      <c r="AK712" s="7">
        <v>7.08</v>
      </c>
      <c r="AL712" s="7">
        <v>7.64</v>
      </c>
      <c r="AM712" s="7">
        <v>7.59</v>
      </c>
      <c r="AN712" s="7">
        <v>7.49</v>
      </c>
      <c r="AO712" s="7">
        <v>7.42</v>
      </c>
      <c r="AP712" s="3"/>
      <c r="AQ712" s="8"/>
    </row>
    <row r="713" spans="1:43">
      <c r="A713" s="1">
        <f t="shared" si="71"/>
        <v>711</v>
      </c>
      <c r="B713" s="19"/>
      <c r="C713" s="1">
        <v>6</v>
      </c>
      <c r="D713" s="4">
        <f t="shared" si="80"/>
        <v>69</v>
      </c>
      <c r="E713" s="4" t="s">
        <v>40</v>
      </c>
      <c r="F713" s="4">
        <v>1</v>
      </c>
      <c r="G713" s="4" t="s">
        <v>14</v>
      </c>
      <c r="H713" s="4" t="s">
        <v>22</v>
      </c>
      <c r="I713" s="4"/>
      <c r="J713" s="5">
        <v>93.4</v>
      </c>
      <c r="K713" s="63">
        <v>2.1000000000000001E-2</v>
      </c>
      <c r="L713" s="38">
        <v>7.7779999999999996</v>
      </c>
      <c r="M713" s="127" t="s">
        <v>212</v>
      </c>
      <c r="N713" s="1" t="s">
        <v>13</v>
      </c>
      <c r="O713" s="22">
        <v>7.8010000000000002</v>
      </c>
      <c r="P713" s="1" t="s">
        <v>7</v>
      </c>
      <c r="Q713" s="3"/>
      <c r="R713" s="22">
        <v>7.8529999999999998</v>
      </c>
      <c r="S713" s="22">
        <v>7.7590000000000003</v>
      </c>
      <c r="T713" s="22">
        <v>8.0640000000000001</v>
      </c>
      <c r="U713" s="22">
        <v>7.8209999999999997</v>
      </c>
      <c r="V713" s="22">
        <v>7.8280000000000003</v>
      </c>
      <c r="W713" s="22">
        <v>7.7910000000000004</v>
      </c>
      <c r="X713" s="22">
        <v>7.7960000000000003</v>
      </c>
      <c r="Y713" s="22">
        <v>7.7809999999999997</v>
      </c>
      <c r="Z713" s="22">
        <v>7.7709999999999999</v>
      </c>
      <c r="AA713" s="34">
        <v>7.7880000000000003</v>
      </c>
      <c r="AB713" s="22">
        <v>7.89</v>
      </c>
      <c r="AC713" s="22">
        <v>7.84</v>
      </c>
      <c r="AD713" s="22">
        <v>7.8129999999999997</v>
      </c>
      <c r="AE713" s="22">
        <v>7.782</v>
      </c>
      <c r="AF713" s="22">
        <v>7.8109999999999999</v>
      </c>
      <c r="AG713" s="22">
        <v>7.5640000000000001</v>
      </c>
      <c r="AH713" s="6">
        <f t="shared" si="72"/>
        <v>7.6875</v>
      </c>
      <c r="AI713" s="11"/>
      <c r="AJ713" s="11"/>
      <c r="AK713" s="11"/>
      <c r="AL713" s="11"/>
      <c r="AM713" s="11"/>
      <c r="AN713" s="11"/>
      <c r="AO713" s="11"/>
      <c r="AP713" s="3"/>
      <c r="AQ713" s="8"/>
    </row>
    <row r="714" spans="1:43">
      <c r="A714" s="1">
        <f t="shared" si="71"/>
        <v>712</v>
      </c>
      <c r="B714" s="19"/>
      <c r="C714" s="1">
        <v>6</v>
      </c>
      <c r="D714" s="4">
        <f t="shared" si="80"/>
        <v>69</v>
      </c>
      <c r="E714" s="4" t="s">
        <v>40</v>
      </c>
      <c r="F714" s="4">
        <v>1</v>
      </c>
      <c r="G714" s="4" t="s">
        <v>11</v>
      </c>
      <c r="H714" s="4" t="s">
        <v>12</v>
      </c>
      <c r="I714" s="4"/>
      <c r="J714" s="5">
        <v>91.6</v>
      </c>
      <c r="K714" s="63">
        <v>1.6E-2</v>
      </c>
      <c r="L714" s="38">
        <v>7.7789999999999999</v>
      </c>
      <c r="M714" s="127" t="s">
        <v>212</v>
      </c>
      <c r="N714" s="1" t="s">
        <v>13</v>
      </c>
      <c r="O714" s="22">
        <v>7.7009999999999996</v>
      </c>
      <c r="P714" s="1" t="s">
        <v>7</v>
      </c>
      <c r="Q714" s="3"/>
      <c r="R714" s="22">
        <v>7.2910000000000004</v>
      </c>
      <c r="S714" s="22">
        <v>7.3289999999999997</v>
      </c>
      <c r="T714" s="22">
        <v>8.1639999999999997</v>
      </c>
      <c r="U714" s="22">
        <v>7.9180000000000001</v>
      </c>
      <c r="V714" s="22">
        <v>7.94</v>
      </c>
      <c r="W714" s="22">
        <v>7.8230000000000004</v>
      </c>
      <c r="X714" s="22">
        <v>7.8310000000000004</v>
      </c>
      <c r="Y714" s="22">
        <v>7.8639999999999999</v>
      </c>
      <c r="Z714" s="22">
        <v>7.78</v>
      </c>
      <c r="AA714" s="22">
        <v>7.7670000000000003</v>
      </c>
      <c r="AB714" s="22">
        <v>8.1</v>
      </c>
      <c r="AC714" s="22">
        <v>7.9909999999999997</v>
      </c>
      <c r="AD714" s="22">
        <v>7.7679999999999998</v>
      </c>
      <c r="AE714" s="22">
        <v>7.923</v>
      </c>
      <c r="AF714" s="22">
        <v>7.4279999999999999</v>
      </c>
      <c r="AG714" s="22">
        <v>8.07</v>
      </c>
      <c r="AH714" s="6">
        <f t="shared" si="72"/>
        <v>7.7490000000000006</v>
      </c>
      <c r="AI714" s="11"/>
      <c r="AJ714" s="11"/>
      <c r="AK714" s="11"/>
      <c r="AL714" s="11"/>
      <c r="AM714" s="11"/>
      <c r="AN714" s="11"/>
      <c r="AO714" s="11"/>
      <c r="AP714" s="3"/>
      <c r="AQ714" s="8"/>
    </row>
    <row r="715" spans="1:43">
      <c r="A715" s="1">
        <f t="shared" si="71"/>
        <v>713</v>
      </c>
      <c r="B715" s="19"/>
      <c r="C715" s="1">
        <v>6</v>
      </c>
      <c r="D715" s="4">
        <f t="shared" si="80"/>
        <v>69</v>
      </c>
      <c r="E715" s="4" t="s">
        <v>20</v>
      </c>
      <c r="F715" s="4">
        <v>1</v>
      </c>
      <c r="G715" s="4" t="s">
        <v>11</v>
      </c>
      <c r="H715" s="4" t="s">
        <v>17</v>
      </c>
      <c r="I715" s="4"/>
      <c r="J715" s="5">
        <v>90.3</v>
      </c>
      <c r="K715" s="63">
        <v>0.34200000000000003</v>
      </c>
      <c r="L715" s="38">
        <v>7.8470000000000004</v>
      </c>
      <c r="M715" s="127" t="s">
        <v>212</v>
      </c>
      <c r="N715" s="1" t="s">
        <v>13</v>
      </c>
      <c r="O715" s="22">
        <v>7.8390000000000004</v>
      </c>
      <c r="P715" s="1" t="s">
        <v>7</v>
      </c>
      <c r="Q715" s="3"/>
      <c r="R715" s="46"/>
      <c r="S715" s="22">
        <v>7.8920000000000003</v>
      </c>
      <c r="T715" s="22">
        <v>8.2880000000000003</v>
      </c>
      <c r="U715" s="46"/>
      <c r="V715" s="22">
        <v>8.0370000000000008</v>
      </c>
      <c r="W715" s="22">
        <v>7.9450000000000003</v>
      </c>
      <c r="X715" s="22">
        <v>7.9130000000000003</v>
      </c>
      <c r="Y715" s="22">
        <v>7.9109999999999996</v>
      </c>
      <c r="Z715" s="22">
        <v>7.86</v>
      </c>
      <c r="AA715" s="22">
        <v>7.8719999999999999</v>
      </c>
      <c r="AB715" s="22">
        <v>7.9669999999999996</v>
      </c>
      <c r="AC715" s="22">
        <v>7.9459999999999997</v>
      </c>
      <c r="AD715" s="22">
        <v>7.9279999999999999</v>
      </c>
      <c r="AE715" s="22">
        <v>7.7830000000000004</v>
      </c>
      <c r="AF715" s="22">
        <v>7.9050000000000002</v>
      </c>
      <c r="AG715" s="22">
        <v>7.7910000000000004</v>
      </c>
      <c r="AH715" s="6">
        <f t="shared" si="72"/>
        <v>7.8480000000000008</v>
      </c>
      <c r="AI715" s="11"/>
      <c r="AJ715" s="11"/>
      <c r="AK715" s="11"/>
      <c r="AL715" s="11"/>
      <c r="AM715" s="11"/>
      <c r="AN715" s="11"/>
      <c r="AO715" s="11"/>
      <c r="AP715" s="3"/>
      <c r="AQ715" s="8"/>
    </row>
    <row r="716" spans="1:43">
      <c r="A716" s="1">
        <f t="shared" ref="A716:A779" si="81">A715+1</f>
        <v>714</v>
      </c>
      <c r="B716" s="19"/>
      <c r="C716" s="1">
        <v>6</v>
      </c>
      <c r="D716" s="4">
        <f t="shared" si="80"/>
        <v>69</v>
      </c>
      <c r="E716" s="4" t="s">
        <v>120</v>
      </c>
      <c r="F716" s="4">
        <v>1</v>
      </c>
      <c r="G716" s="4" t="s">
        <v>14</v>
      </c>
      <c r="H716" s="4" t="s">
        <v>170</v>
      </c>
      <c r="I716" s="4"/>
      <c r="J716" s="5">
        <v>90.7</v>
      </c>
      <c r="K716" s="65"/>
      <c r="L716" s="38">
        <v>7.9009999999999998</v>
      </c>
      <c r="M716" s="127" t="s">
        <v>212</v>
      </c>
      <c r="N716" s="1" t="s">
        <v>13</v>
      </c>
      <c r="O716" s="22">
        <v>7.89</v>
      </c>
      <c r="P716" s="1" t="s">
        <v>7</v>
      </c>
      <c r="Q716" s="3"/>
      <c r="R716" s="22">
        <v>7.49</v>
      </c>
      <c r="S716" s="22">
        <v>7.4950000000000001</v>
      </c>
      <c r="T716" s="22">
        <v>8.3360000000000003</v>
      </c>
      <c r="U716" s="22">
        <v>8.1519999999999992</v>
      </c>
      <c r="V716" s="22">
        <v>8.125</v>
      </c>
      <c r="W716" s="22">
        <v>7.9820000000000002</v>
      </c>
      <c r="X716" s="22">
        <v>7.9870000000000001</v>
      </c>
      <c r="Y716" s="22">
        <v>8.02</v>
      </c>
      <c r="Z716" s="22">
        <v>7.9240000000000004</v>
      </c>
      <c r="AA716" s="22">
        <v>7.9210000000000003</v>
      </c>
      <c r="AB716" s="22">
        <v>8.2970000000000006</v>
      </c>
      <c r="AC716" s="22">
        <v>8.1959999999999997</v>
      </c>
      <c r="AD716" s="22">
        <v>7.9610000000000003</v>
      </c>
      <c r="AE716" s="22">
        <v>8.1140000000000008</v>
      </c>
      <c r="AF716" s="22">
        <v>7.5890000000000004</v>
      </c>
      <c r="AG716" s="22">
        <v>8.2530000000000001</v>
      </c>
      <c r="AH716" s="6">
        <f t="shared" si="72"/>
        <v>7.9210000000000003</v>
      </c>
      <c r="AI716" s="11"/>
      <c r="AJ716" s="11"/>
      <c r="AK716" s="11"/>
      <c r="AL716" s="11"/>
      <c r="AM716" s="11"/>
      <c r="AN716" s="11"/>
      <c r="AO716" s="11"/>
      <c r="AP716" s="3"/>
      <c r="AQ716" s="8"/>
    </row>
    <row r="717" spans="1:43">
      <c r="A717" s="1">
        <f t="shared" si="81"/>
        <v>715</v>
      </c>
      <c r="B717" s="19"/>
      <c r="C717" s="1">
        <v>6</v>
      </c>
      <c r="D717" s="4">
        <f t="shared" si="80"/>
        <v>69</v>
      </c>
      <c r="E717" s="4" t="s">
        <v>21</v>
      </c>
      <c r="F717" s="4">
        <v>1</v>
      </c>
      <c r="G717" s="4" t="s">
        <v>11</v>
      </c>
      <c r="H717" s="4" t="s">
        <v>17</v>
      </c>
      <c r="I717" s="4"/>
      <c r="J717" s="5">
        <v>90.5</v>
      </c>
      <c r="K717" s="63">
        <v>0.28499999999999998</v>
      </c>
      <c r="L717" s="38">
        <v>7.9390000000000001</v>
      </c>
      <c r="M717" s="127" t="s">
        <v>212</v>
      </c>
      <c r="N717" s="1" t="s">
        <v>13</v>
      </c>
      <c r="O717" s="22">
        <v>7.9340000000000002</v>
      </c>
      <c r="P717" s="1" t="s">
        <v>7</v>
      </c>
      <c r="Q717" s="3" t="s">
        <v>205</v>
      </c>
      <c r="R717" s="22">
        <v>7.8449999999999998</v>
      </c>
      <c r="S717" s="46"/>
      <c r="T717" s="22">
        <v>8.4309999999999992</v>
      </c>
      <c r="U717" s="46"/>
      <c r="V717" s="22">
        <v>8.2089999999999996</v>
      </c>
      <c r="W717" s="22">
        <v>8.0050000000000008</v>
      </c>
      <c r="X717" s="22">
        <v>7.9779999999999998</v>
      </c>
      <c r="Y717" s="22">
        <v>8.0210000000000008</v>
      </c>
      <c r="Z717" s="22">
        <v>7.9379999999999997</v>
      </c>
      <c r="AA717" s="34">
        <v>7.9809999999999999</v>
      </c>
      <c r="AB717" s="22">
        <v>8.1259999999999994</v>
      </c>
      <c r="AC717" s="22">
        <v>8.1300000000000008</v>
      </c>
      <c r="AD717" s="22">
        <v>8.0749999999999993</v>
      </c>
      <c r="AE717" s="22">
        <v>7.9269999999999996</v>
      </c>
      <c r="AF717" s="46"/>
      <c r="AG717" s="46"/>
      <c r="AH717" s="46"/>
      <c r="AI717" s="7">
        <v>9.65</v>
      </c>
      <c r="AJ717" s="7">
        <v>8.59</v>
      </c>
      <c r="AK717" s="7">
        <v>7.96</v>
      </c>
      <c r="AL717" s="7">
        <v>8.68</v>
      </c>
      <c r="AM717" s="7">
        <v>8.57</v>
      </c>
      <c r="AN717" s="7">
        <v>8.42</v>
      </c>
      <c r="AO717" s="7">
        <v>8.25</v>
      </c>
      <c r="AP717" s="3"/>
      <c r="AQ717" s="8"/>
    </row>
    <row r="718" spans="1:43">
      <c r="A718" s="1">
        <f t="shared" si="81"/>
        <v>716</v>
      </c>
      <c r="B718" s="19"/>
      <c r="C718" s="1">
        <v>6</v>
      </c>
      <c r="D718" s="4">
        <f t="shared" si="80"/>
        <v>69</v>
      </c>
      <c r="E718" s="4" t="s">
        <v>124</v>
      </c>
      <c r="F718" s="4">
        <v>1</v>
      </c>
      <c r="G718" s="4" t="s">
        <v>14</v>
      </c>
      <c r="H718" s="4" t="s">
        <v>170</v>
      </c>
      <c r="I718" s="4"/>
      <c r="J718" s="5">
        <v>91.2</v>
      </c>
      <c r="K718" s="65"/>
      <c r="L718" s="38">
        <v>8.0069999999999997</v>
      </c>
      <c r="M718" s="127" t="s">
        <v>212</v>
      </c>
      <c r="N718" s="1" t="s">
        <v>13</v>
      </c>
      <c r="O718" s="22">
        <v>8.0036000000000005</v>
      </c>
      <c r="P718" s="1" t="s">
        <v>7</v>
      </c>
      <c r="Q718" s="3"/>
      <c r="R718" s="22">
        <v>7.4009999999999998</v>
      </c>
      <c r="S718" s="22">
        <v>7.4729999999999999</v>
      </c>
      <c r="T718" s="22">
        <v>8.3650000000000002</v>
      </c>
      <c r="U718" s="22">
        <v>8.1170000000000009</v>
      </c>
      <c r="V718" s="22">
        <v>8.1560000000000006</v>
      </c>
      <c r="W718" s="22">
        <v>8.0459999999999994</v>
      </c>
      <c r="X718" s="22">
        <v>8.0530000000000008</v>
      </c>
      <c r="Y718" s="22">
        <v>8.0830000000000002</v>
      </c>
      <c r="Z718" s="22">
        <v>8.0009999999999994</v>
      </c>
      <c r="AA718" s="22">
        <v>7.9930000000000003</v>
      </c>
      <c r="AB718" s="22">
        <v>8.2680000000000007</v>
      </c>
      <c r="AC718" s="22">
        <v>8.1620000000000008</v>
      </c>
      <c r="AD718" s="22">
        <v>7.93</v>
      </c>
      <c r="AE718" s="22">
        <v>8.093</v>
      </c>
      <c r="AF718" s="22">
        <v>7.5720000000000001</v>
      </c>
      <c r="AG718" s="22">
        <v>8.2769999999999992</v>
      </c>
      <c r="AH718" s="6">
        <f t="shared" si="72"/>
        <v>7.9245000000000001</v>
      </c>
      <c r="AI718" s="11"/>
      <c r="AJ718" s="11"/>
      <c r="AK718" s="11"/>
      <c r="AL718" s="11"/>
      <c r="AM718" s="11"/>
      <c r="AN718" s="11"/>
      <c r="AO718" s="11"/>
      <c r="AP718" s="3"/>
      <c r="AQ718" s="8"/>
    </row>
    <row r="719" spans="1:43">
      <c r="A719" s="1">
        <f t="shared" si="81"/>
        <v>717</v>
      </c>
      <c r="B719" s="19"/>
      <c r="C719" s="1">
        <v>6</v>
      </c>
      <c r="D719" s="4">
        <f t="shared" si="80"/>
        <v>69</v>
      </c>
      <c r="E719" s="4" t="s">
        <v>120</v>
      </c>
      <c r="F719" s="4">
        <v>1</v>
      </c>
      <c r="G719" s="4" t="s">
        <v>11</v>
      </c>
      <c r="H719" s="4" t="s">
        <v>121</v>
      </c>
      <c r="I719" s="4" t="s">
        <v>321</v>
      </c>
      <c r="J719" s="5">
        <v>12</v>
      </c>
      <c r="K719" s="65"/>
      <c r="L719" s="45">
        <v>7.9039999999999999</v>
      </c>
      <c r="M719" s="127" t="s">
        <v>570</v>
      </c>
      <c r="N719" s="10" t="s">
        <v>111</v>
      </c>
      <c r="O719" s="46"/>
      <c r="P719" s="11"/>
      <c r="Q719" s="3" t="s">
        <v>205</v>
      </c>
      <c r="R719" s="46"/>
      <c r="S719" s="46"/>
      <c r="T719" s="46"/>
      <c r="U719" s="46"/>
      <c r="V719" s="46"/>
      <c r="W719" s="46"/>
      <c r="X719" s="46"/>
      <c r="Y719" s="22">
        <v>9.6470000000000002</v>
      </c>
      <c r="Z719" s="22">
        <v>9.1679999999999993</v>
      </c>
      <c r="AA719" s="46"/>
      <c r="AB719" s="46"/>
      <c r="AC719" s="46"/>
      <c r="AD719" s="46"/>
      <c r="AE719" s="46"/>
      <c r="AF719" s="46"/>
      <c r="AG719" s="46"/>
      <c r="AH719" s="46"/>
      <c r="AI719" s="22">
        <v>8.0939999999999994</v>
      </c>
      <c r="AJ719" s="22">
        <v>7.8449999999999998</v>
      </c>
      <c r="AK719" s="22">
        <v>7.5839999999999996</v>
      </c>
      <c r="AL719" s="22">
        <v>7.9450000000000003</v>
      </c>
      <c r="AM719" s="22">
        <v>7.9489999999999998</v>
      </c>
      <c r="AN719" s="22">
        <v>8.0670000000000002</v>
      </c>
      <c r="AO719" s="22">
        <v>8.0370000000000008</v>
      </c>
      <c r="AP719" s="3"/>
      <c r="AQ719" s="8"/>
    </row>
    <row r="720" spans="1:43">
      <c r="A720" s="1">
        <f t="shared" si="81"/>
        <v>718</v>
      </c>
      <c r="B720" s="19"/>
      <c r="C720" s="1">
        <v>6</v>
      </c>
      <c r="D720" s="4">
        <f t="shared" si="80"/>
        <v>69</v>
      </c>
      <c r="E720" s="4" t="s">
        <v>120</v>
      </c>
      <c r="F720" s="4">
        <v>1</v>
      </c>
      <c r="G720" s="4" t="s">
        <v>11</v>
      </c>
      <c r="H720" s="4" t="s">
        <v>17</v>
      </c>
      <c r="I720" s="4" t="s">
        <v>320</v>
      </c>
      <c r="J720" s="5">
        <v>71</v>
      </c>
      <c r="K720" s="65"/>
      <c r="L720" s="45">
        <v>8.48</v>
      </c>
      <c r="M720" s="127" t="s">
        <v>570</v>
      </c>
      <c r="N720" s="10" t="s">
        <v>111</v>
      </c>
      <c r="O720" s="46"/>
      <c r="P720" s="11"/>
      <c r="Q720" s="3" t="s">
        <v>205</v>
      </c>
      <c r="R720" s="46"/>
      <c r="S720" s="46"/>
      <c r="T720" s="46"/>
      <c r="U720" s="46"/>
      <c r="V720" s="46"/>
      <c r="W720" s="46"/>
      <c r="X720" s="46"/>
      <c r="Y720" s="22">
        <v>8.8989999999999991</v>
      </c>
      <c r="Z720" s="22">
        <v>8.6969999999999992</v>
      </c>
      <c r="AA720" s="22">
        <v>8.6929999999999996</v>
      </c>
      <c r="AB720" s="46"/>
      <c r="AC720" s="46"/>
      <c r="AD720" s="46"/>
      <c r="AE720" s="46"/>
      <c r="AF720" s="46"/>
      <c r="AG720" s="46"/>
      <c r="AH720" s="46"/>
      <c r="AI720" s="22">
        <v>8.4359999999999999</v>
      </c>
      <c r="AJ720" s="22">
        <v>8.7460000000000004</v>
      </c>
      <c r="AK720" s="22">
        <v>8.2080000000000002</v>
      </c>
      <c r="AL720" s="22">
        <v>8.6760000000000002</v>
      </c>
      <c r="AM720" s="22">
        <v>8.6240000000000006</v>
      </c>
      <c r="AN720" s="22">
        <v>9.0510000000000002</v>
      </c>
      <c r="AO720" s="22">
        <v>8.9990000000000006</v>
      </c>
      <c r="AP720" s="3"/>
      <c r="AQ720" s="8"/>
    </row>
    <row r="721" spans="1:43">
      <c r="A721" s="1">
        <f t="shared" si="81"/>
        <v>719</v>
      </c>
      <c r="B721" s="19"/>
      <c r="C721" s="1">
        <v>6</v>
      </c>
      <c r="D721" s="4">
        <f t="shared" si="80"/>
        <v>69</v>
      </c>
      <c r="E721" s="4" t="s">
        <v>165</v>
      </c>
      <c r="F721" s="4">
        <v>3</v>
      </c>
      <c r="G721" s="4" t="s">
        <v>11</v>
      </c>
      <c r="H721" s="4" t="s">
        <v>12</v>
      </c>
      <c r="I721" s="4"/>
      <c r="J721" s="5">
        <v>97.3</v>
      </c>
      <c r="K721" s="65"/>
      <c r="L721" s="49">
        <v>3.5919999999999996</v>
      </c>
      <c r="M721" s="127" t="s">
        <v>110</v>
      </c>
      <c r="N721" s="1" t="s">
        <v>13</v>
      </c>
      <c r="O721" s="22">
        <v>3.5979999999999999</v>
      </c>
      <c r="P721" s="1" t="s">
        <v>7</v>
      </c>
      <c r="Q721" s="3" t="s">
        <v>205</v>
      </c>
      <c r="R721" s="22">
        <v>3.8410000000000002</v>
      </c>
      <c r="S721" s="22">
        <v>3.6019999999999999</v>
      </c>
      <c r="T721" s="22">
        <v>3.9350000000000001</v>
      </c>
      <c r="U721" s="22">
        <v>3.49</v>
      </c>
      <c r="V721" s="22">
        <v>3.702</v>
      </c>
      <c r="W721" s="46"/>
      <c r="X721" s="46"/>
      <c r="Y721" s="46"/>
      <c r="Z721" s="22">
        <v>3.5880000000000001</v>
      </c>
      <c r="AA721" s="46"/>
      <c r="AB721" s="22">
        <v>3.9489999999999998</v>
      </c>
      <c r="AC721" s="22">
        <v>3.93</v>
      </c>
      <c r="AD721" s="22">
        <v>3.8210000000000002</v>
      </c>
      <c r="AE721" s="22">
        <v>3.7509999999999999</v>
      </c>
      <c r="AF721" s="22">
        <v>3.6179999999999999</v>
      </c>
      <c r="AG721" s="22">
        <v>3.5179999999999998</v>
      </c>
      <c r="AH721" s="6">
        <f t="shared" ref="AH721:AH727" si="82">IF((AF721&lt;&gt;0)*AND(AG721&lt;&gt;0),AVERAGE(AF721:AG721),"")</f>
        <v>3.5679999999999996</v>
      </c>
      <c r="AI721" s="7">
        <v>4.16</v>
      </c>
      <c r="AJ721" s="7">
        <v>3.49</v>
      </c>
      <c r="AK721" s="7">
        <v>3.08</v>
      </c>
      <c r="AL721" s="7">
        <v>3.72</v>
      </c>
      <c r="AM721" s="7">
        <v>3.71</v>
      </c>
      <c r="AN721" s="7">
        <v>3.61</v>
      </c>
      <c r="AO721" s="7">
        <v>3.56</v>
      </c>
      <c r="AP721" s="3"/>
      <c r="AQ721" s="8"/>
    </row>
    <row r="722" spans="1:43">
      <c r="A722" s="1">
        <f t="shared" si="81"/>
        <v>720</v>
      </c>
      <c r="B722" s="19"/>
      <c r="C722" s="1">
        <v>6</v>
      </c>
      <c r="D722" s="4">
        <f t="shared" si="80"/>
        <v>69</v>
      </c>
      <c r="E722" s="4" t="s">
        <v>166</v>
      </c>
      <c r="F722" s="4">
        <v>3</v>
      </c>
      <c r="G722" s="4" t="s">
        <v>11</v>
      </c>
      <c r="H722" s="4" t="s">
        <v>17</v>
      </c>
      <c r="I722" s="4"/>
      <c r="J722" s="5">
        <v>98.5</v>
      </c>
      <c r="K722" s="65"/>
      <c r="L722" s="51">
        <v>4.3550000000000013</v>
      </c>
      <c r="M722" s="127" t="s">
        <v>110</v>
      </c>
      <c r="N722" s="10" t="s">
        <v>111</v>
      </c>
      <c r="O722" s="22">
        <v>4.3620000000000001</v>
      </c>
      <c r="P722" s="1" t="s">
        <v>7</v>
      </c>
      <c r="Q722" s="3" t="s">
        <v>205</v>
      </c>
      <c r="R722" s="22">
        <v>4.7640000000000002</v>
      </c>
      <c r="S722" s="22">
        <v>4.5990000000000002</v>
      </c>
      <c r="T722" s="22">
        <v>4.5970000000000004</v>
      </c>
      <c r="U722" s="22">
        <v>3.9289999999999998</v>
      </c>
      <c r="V722" s="22">
        <v>4.1929999999999996</v>
      </c>
      <c r="W722" s="46"/>
      <c r="X722" s="46"/>
      <c r="Y722" s="46"/>
      <c r="Z722" s="22">
        <v>4.3879999999999999</v>
      </c>
      <c r="AA722" s="46"/>
      <c r="AB722" s="22">
        <v>4.532</v>
      </c>
      <c r="AC722" s="22">
        <v>4.53</v>
      </c>
      <c r="AD722" s="22">
        <v>4.5540000000000003</v>
      </c>
      <c r="AE722" s="22">
        <v>4.4130000000000003</v>
      </c>
      <c r="AF722" s="22">
        <v>4.5940000000000003</v>
      </c>
      <c r="AG722" s="22">
        <v>4.0970000000000004</v>
      </c>
      <c r="AH722" s="6">
        <f t="shared" si="82"/>
        <v>4.3455000000000004</v>
      </c>
      <c r="AI722" s="7">
        <v>3.98</v>
      </c>
      <c r="AJ722" s="7">
        <v>4.4400000000000004</v>
      </c>
      <c r="AK722" s="7">
        <v>4.1500000000000004</v>
      </c>
      <c r="AL722" s="7">
        <v>4.34</v>
      </c>
      <c r="AM722" s="7">
        <v>4.28</v>
      </c>
      <c r="AN722" s="7">
        <v>4.58</v>
      </c>
      <c r="AO722" s="7">
        <v>4.57</v>
      </c>
      <c r="AP722" s="3"/>
      <c r="AQ722" s="8"/>
    </row>
    <row r="723" spans="1:43">
      <c r="A723" s="1">
        <f t="shared" si="81"/>
        <v>721</v>
      </c>
      <c r="B723" s="19"/>
      <c r="C723" s="1">
        <v>6</v>
      </c>
      <c r="D723" s="4">
        <f t="shared" si="80"/>
        <v>69</v>
      </c>
      <c r="E723" s="4" t="s">
        <v>164</v>
      </c>
      <c r="F723" s="4">
        <v>3</v>
      </c>
      <c r="G723" s="4" t="s">
        <v>11</v>
      </c>
      <c r="H723" s="4" t="s">
        <v>17</v>
      </c>
      <c r="I723" s="4"/>
      <c r="J723" s="5">
        <v>97.6</v>
      </c>
      <c r="K723" s="65"/>
      <c r="L723" s="49">
        <v>4.399</v>
      </c>
      <c r="M723" s="127" t="s">
        <v>110</v>
      </c>
      <c r="N723" s="1" t="s">
        <v>13</v>
      </c>
      <c r="O723" s="22">
        <v>4.3920000000000003</v>
      </c>
      <c r="P723" s="1" t="s">
        <v>7</v>
      </c>
      <c r="Q723" s="3" t="s">
        <v>205</v>
      </c>
      <c r="R723" s="22">
        <v>4.673</v>
      </c>
      <c r="S723" s="22">
        <v>4.5670000000000002</v>
      </c>
      <c r="T723" s="22">
        <v>4.7149999999999999</v>
      </c>
      <c r="U723" s="22">
        <v>4.32</v>
      </c>
      <c r="V723" s="22">
        <v>4.4020000000000001</v>
      </c>
      <c r="W723" s="46"/>
      <c r="X723" s="46"/>
      <c r="Y723" s="46"/>
      <c r="Z723" s="22">
        <v>4.4020000000000001</v>
      </c>
      <c r="AA723" s="46"/>
      <c r="AB723" s="22">
        <v>4.5220000000000002</v>
      </c>
      <c r="AC723" s="22">
        <v>4.524</v>
      </c>
      <c r="AD723" s="22">
        <v>4.54</v>
      </c>
      <c r="AE723" s="22">
        <v>4.3520000000000003</v>
      </c>
      <c r="AF723" s="22">
        <v>4.5730000000000004</v>
      </c>
      <c r="AG723" s="22">
        <v>4.05</v>
      </c>
      <c r="AH723" s="6">
        <f t="shared" si="82"/>
        <v>4.3115000000000006</v>
      </c>
      <c r="AI723" s="7">
        <v>4.62</v>
      </c>
      <c r="AJ723" s="7">
        <v>4.4400000000000004</v>
      </c>
      <c r="AK723" s="7">
        <v>4.09</v>
      </c>
      <c r="AL723" s="7">
        <v>4.47</v>
      </c>
      <c r="AM723" s="7">
        <v>4.41</v>
      </c>
      <c r="AN723" s="7">
        <v>4.46</v>
      </c>
      <c r="AO723" s="7">
        <v>4.42</v>
      </c>
      <c r="AP723" s="3"/>
      <c r="AQ723" s="8"/>
    </row>
    <row r="724" spans="1:43">
      <c r="A724" s="1">
        <f t="shared" si="81"/>
        <v>722</v>
      </c>
      <c r="B724" s="19"/>
      <c r="C724" s="1">
        <v>6</v>
      </c>
      <c r="D724" s="4">
        <f t="shared" si="80"/>
        <v>69</v>
      </c>
      <c r="E724" s="4" t="s">
        <v>149</v>
      </c>
      <c r="F724" s="4">
        <v>3</v>
      </c>
      <c r="G724" s="4" t="s">
        <v>11</v>
      </c>
      <c r="H724" s="4" t="s">
        <v>12</v>
      </c>
      <c r="I724" s="4"/>
      <c r="J724" s="5">
        <v>96.1</v>
      </c>
      <c r="K724" s="65"/>
      <c r="L724" s="49">
        <v>4.9259999999999993</v>
      </c>
      <c r="M724" s="127" t="s">
        <v>110</v>
      </c>
      <c r="N724" s="1" t="s">
        <v>13</v>
      </c>
      <c r="O724" s="22">
        <v>4.9379999999999997</v>
      </c>
      <c r="P724" s="1" t="s">
        <v>7</v>
      </c>
      <c r="Q724" s="3" t="s">
        <v>205</v>
      </c>
      <c r="R724" s="22">
        <v>4.9279999999999999</v>
      </c>
      <c r="S724" s="22">
        <v>4.8150000000000004</v>
      </c>
      <c r="T724" s="22">
        <v>5.34</v>
      </c>
      <c r="U724" s="22">
        <v>5.0140000000000002</v>
      </c>
      <c r="V724" s="22">
        <v>5.165</v>
      </c>
      <c r="W724" s="46"/>
      <c r="X724" s="46"/>
      <c r="Y724" s="46"/>
      <c r="Z724" s="22">
        <v>4.9279999999999999</v>
      </c>
      <c r="AA724" s="46"/>
      <c r="AB724" s="22">
        <v>5.3070000000000004</v>
      </c>
      <c r="AC724" s="22">
        <v>5.2770000000000001</v>
      </c>
      <c r="AD724" s="22">
        <v>5.1219999999999999</v>
      </c>
      <c r="AE724" s="22">
        <v>5.0750000000000002</v>
      </c>
      <c r="AF724" s="22">
        <v>4.84</v>
      </c>
      <c r="AG724" s="22">
        <v>5.1420000000000003</v>
      </c>
      <c r="AH724" s="6">
        <f t="shared" si="82"/>
        <v>4.9909999999999997</v>
      </c>
      <c r="AI724" s="7">
        <v>5.85</v>
      </c>
      <c r="AJ724" s="7">
        <v>4.7300000000000004</v>
      </c>
      <c r="AK724" s="7">
        <v>4.21</v>
      </c>
      <c r="AL724" s="7">
        <v>5.07</v>
      </c>
      <c r="AM724" s="7">
        <v>5.07</v>
      </c>
      <c r="AN724" s="7">
        <v>4.8</v>
      </c>
      <c r="AO724" s="7">
        <v>4.75</v>
      </c>
      <c r="AP724" s="3"/>
      <c r="AQ724" s="8"/>
    </row>
    <row r="725" spans="1:43">
      <c r="A725" s="1">
        <f t="shared" si="81"/>
        <v>723</v>
      </c>
      <c r="B725" s="19"/>
      <c r="C725" s="1">
        <v>6</v>
      </c>
      <c r="D725" s="4">
        <f t="shared" si="80"/>
        <v>69</v>
      </c>
      <c r="E725" s="4" t="s">
        <v>167</v>
      </c>
      <c r="F725" s="4">
        <v>3</v>
      </c>
      <c r="G725" s="4" t="s">
        <v>11</v>
      </c>
      <c r="H725" s="4" t="s">
        <v>12</v>
      </c>
      <c r="I725" s="4"/>
      <c r="J725" s="5">
        <v>97</v>
      </c>
      <c r="K725" s="65"/>
      <c r="L725" s="49">
        <v>5.0790000000000015</v>
      </c>
      <c r="M725" s="127" t="s">
        <v>110</v>
      </c>
      <c r="N725" s="1" t="s">
        <v>13</v>
      </c>
      <c r="O725" s="22">
        <v>5.0840000000000014</v>
      </c>
      <c r="P725" s="1" t="s">
        <v>7</v>
      </c>
      <c r="Q725" s="3" t="s">
        <v>205</v>
      </c>
      <c r="R725" s="22">
        <v>5.415</v>
      </c>
      <c r="S725" s="22">
        <v>5.1680000000000001</v>
      </c>
      <c r="T725" s="22">
        <v>5.3920000000000003</v>
      </c>
      <c r="U725" s="22">
        <v>4.9290000000000003</v>
      </c>
      <c r="V725" s="22">
        <v>5.2069999999999999</v>
      </c>
      <c r="W725" s="46"/>
      <c r="X725" s="46"/>
      <c r="Y725" s="46"/>
      <c r="Z725" s="22">
        <v>5.0830000000000002</v>
      </c>
      <c r="AA725" s="46"/>
      <c r="AB725" s="22">
        <v>5.4249999999999998</v>
      </c>
      <c r="AC725" s="22">
        <v>5.4269999999999996</v>
      </c>
      <c r="AD725" s="22">
        <v>5.3419999999999996</v>
      </c>
      <c r="AE725" s="22">
        <v>5.2370000000000001</v>
      </c>
      <c r="AF725" s="22">
        <v>5.16</v>
      </c>
      <c r="AG725" s="22">
        <v>5.0019999999999998</v>
      </c>
      <c r="AH725" s="6">
        <f t="shared" si="82"/>
        <v>5.0809999999999995</v>
      </c>
      <c r="AI725" s="7">
        <v>5.25</v>
      </c>
      <c r="AJ725" s="7">
        <v>5.04</v>
      </c>
      <c r="AK725" s="7">
        <v>4.66</v>
      </c>
      <c r="AL725" s="7">
        <v>5.14</v>
      </c>
      <c r="AM725" s="7">
        <v>5.1100000000000003</v>
      </c>
      <c r="AN725" s="7">
        <v>5.25</v>
      </c>
      <c r="AO725" s="7">
        <v>5.21</v>
      </c>
      <c r="AP725" s="3"/>
      <c r="AQ725" s="8"/>
    </row>
    <row r="726" spans="1:43">
      <c r="A726" s="1">
        <f t="shared" si="81"/>
        <v>724</v>
      </c>
      <c r="B726" s="19"/>
      <c r="C726" s="1">
        <v>6</v>
      </c>
      <c r="D726" s="4">
        <f t="shared" si="80"/>
        <v>69</v>
      </c>
      <c r="E726" s="4" t="s">
        <v>166</v>
      </c>
      <c r="F726" s="4">
        <v>3</v>
      </c>
      <c r="G726" s="4" t="s">
        <v>11</v>
      </c>
      <c r="H726" s="4" t="s">
        <v>17</v>
      </c>
      <c r="I726" s="4"/>
      <c r="J726" s="5">
        <v>97</v>
      </c>
      <c r="K726" s="65"/>
      <c r="L726" s="49">
        <v>5.2749999999999995</v>
      </c>
      <c r="M726" s="127" t="s">
        <v>110</v>
      </c>
      <c r="N726" s="1" t="s">
        <v>13</v>
      </c>
      <c r="O726" s="22">
        <v>5.2759999999999989</v>
      </c>
      <c r="P726" s="1" t="s">
        <v>7</v>
      </c>
      <c r="Q726" s="3" t="s">
        <v>205</v>
      </c>
      <c r="R726" s="22">
        <v>5.5940000000000003</v>
      </c>
      <c r="S726" s="22">
        <v>5.5880000000000001</v>
      </c>
      <c r="T726" s="22">
        <v>5.6970000000000001</v>
      </c>
      <c r="U726" s="22">
        <v>5.2169999999999996</v>
      </c>
      <c r="V726" s="22">
        <v>5.3529999999999998</v>
      </c>
      <c r="W726" s="46"/>
      <c r="X726" s="46"/>
      <c r="Y726" s="46"/>
      <c r="Z726" s="22">
        <v>5.2869999999999999</v>
      </c>
      <c r="AA726" s="46"/>
      <c r="AB726" s="22">
        <v>5.4260000000000002</v>
      </c>
      <c r="AC726" s="22">
        <v>5.431</v>
      </c>
      <c r="AD726" s="22">
        <v>5.484</v>
      </c>
      <c r="AE726" s="22">
        <v>5.25</v>
      </c>
      <c r="AF726" s="22">
        <v>5.5750000000000002</v>
      </c>
      <c r="AG726" s="22">
        <v>4.9400000000000004</v>
      </c>
      <c r="AH726" s="6">
        <f t="shared" si="82"/>
        <v>5.2575000000000003</v>
      </c>
      <c r="AI726" s="7">
        <v>5.15</v>
      </c>
      <c r="AJ726" s="7">
        <v>5.29</v>
      </c>
      <c r="AK726" s="7">
        <v>4.92</v>
      </c>
      <c r="AL726" s="7">
        <v>5.25</v>
      </c>
      <c r="AM726" s="7">
        <v>5.19</v>
      </c>
      <c r="AN726" s="7">
        <v>5.37</v>
      </c>
      <c r="AO726" s="7">
        <v>5.35</v>
      </c>
      <c r="AP726" s="3"/>
      <c r="AQ726" s="8"/>
    </row>
    <row r="727" spans="1:43">
      <c r="A727" s="1">
        <f t="shared" si="81"/>
        <v>725</v>
      </c>
      <c r="B727" s="19"/>
      <c r="C727" s="1">
        <v>6</v>
      </c>
      <c r="D727" s="4">
        <f t="shared" si="80"/>
        <v>69</v>
      </c>
      <c r="E727" s="4" t="s">
        <v>169</v>
      </c>
      <c r="F727" s="4">
        <v>3</v>
      </c>
      <c r="G727" s="4" t="s">
        <v>14</v>
      </c>
      <c r="H727" s="4" t="s">
        <v>15</v>
      </c>
      <c r="I727" s="4"/>
      <c r="J727" s="5">
        <v>96.7</v>
      </c>
      <c r="K727" s="65"/>
      <c r="L727" s="49">
        <v>6.5929999999999991</v>
      </c>
      <c r="M727" s="127" t="s">
        <v>110</v>
      </c>
      <c r="N727" s="1" t="s">
        <v>13</v>
      </c>
      <c r="O727" s="22">
        <v>6.6349999999999998</v>
      </c>
      <c r="P727" s="1" t="s">
        <v>7</v>
      </c>
      <c r="Q727" s="3"/>
      <c r="R727" s="22">
        <v>6.2990000000000004</v>
      </c>
      <c r="S727" s="22">
        <v>6.1660000000000004</v>
      </c>
      <c r="T727" s="22">
        <v>6.9779999999999998</v>
      </c>
      <c r="U727" s="22">
        <v>6.7910000000000004</v>
      </c>
      <c r="V727" s="22">
        <v>6.77</v>
      </c>
      <c r="W727" s="46"/>
      <c r="X727" s="46"/>
      <c r="Y727" s="46"/>
      <c r="Z727" s="22">
        <v>6.6059999999999999</v>
      </c>
      <c r="AA727" s="46"/>
      <c r="AB727" s="22">
        <v>6.96</v>
      </c>
      <c r="AC727" s="22">
        <v>6.8559999999999999</v>
      </c>
      <c r="AD727" s="22">
        <v>6.625</v>
      </c>
      <c r="AE727" s="22">
        <v>6.7859999999999996</v>
      </c>
      <c r="AF727" s="22">
        <v>6.2629999999999999</v>
      </c>
      <c r="AG727" s="22">
        <v>6.8890000000000002</v>
      </c>
      <c r="AH727" s="6">
        <f t="shared" si="82"/>
        <v>6.5760000000000005</v>
      </c>
      <c r="AI727" s="11"/>
      <c r="AJ727" s="11"/>
      <c r="AK727" s="11"/>
      <c r="AL727" s="11"/>
      <c r="AM727" s="11"/>
      <c r="AN727" s="11"/>
      <c r="AO727" s="11"/>
      <c r="AP727" s="3"/>
      <c r="AQ727" s="8"/>
    </row>
    <row r="728" spans="1:43">
      <c r="A728" s="1">
        <f t="shared" si="81"/>
        <v>726</v>
      </c>
      <c r="B728" s="2" t="s">
        <v>45</v>
      </c>
      <c r="C728" s="1">
        <v>6</v>
      </c>
      <c r="D728" s="4">
        <f t="shared" si="80"/>
        <v>69</v>
      </c>
      <c r="E728" s="4" t="s">
        <v>128</v>
      </c>
      <c r="F728" s="4">
        <v>1</v>
      </c>
      <c r="G728" s="4" t="s">
        <v>11</v>
      </c>
      <c r="H728" s="4" t="s">
        <v>12</v>
      </c>
      <c r="I728" s="4"/>
      <c r="J728" s="5">
        <v>89</v>
      </c>
      <c r="K728" s="63">
        <v>5.0000000000000001E-3</v>
      </c>
      <c r="L728" s="38">
        <v>3.8299999999999992</v>
      </c>
      <c r="M728" s="127" t="s">
        <v>212</v>
      </c>
      <c r="N728" s="1" t="s">
        <v>13</v>
      </c>
      <c r="O728" s="22">
        <v>3.8299999999999996</v>
      </c>
      <c r="P728" s="1" t="s">
        <v>7</v>
      </c>
      <c r="Q728" s="3" t="s">
        <v>205</v>
      </c>
      <c r="R728" s="6">
        <v>4.1219999999999999</v>
      </c>
      <c r="S728" s="6">
        <v>3.778</v>
      </c>
      <c r="T728" s="6">
        <v>4.2789999999999999</v>
      </c>
      <c r="U728" s="6">
        <v>3.74</v>
      </c>
      <c r="V728" s="6">
        <v>4.0250000000000004</v>
      </c>
      <c r="W728" s="6">
        <v>3.9039999999999999</v>
      </c>
      <c r="X728" s="6">
        <v>3.9060000000000001</v>
      </c>
      <c r="Y728" s="6">
        <v>3.8940000000000001</v>
      </c>
      <c r="Z728" s="6">
        <v>3.8279999999999998</v>
      </c>
      <c r="AA728" s="73">
        <v>3.8319999999999999</v>
      </c>
      <c r="AB728" s="6">
        <v>4.1369999999999996</v>
      </c>
      <c r="AC728" s="6">
        <v>4.1210000000000004</v>
      </c>
      <c r="AD728" s="6">
        <v>4.008</v>
      </c>
      <c r="AE728" s="6">
        <v>3.903</v>
      </c>
      <c r="AF728" s="6">
        <v>3.7890000000000001</v>
      </c>
      <c r="AG728" s="6">
        <v>3.863</v>
      </c>
      <c r="AH728" s="6">
        <f t="shared" ref="AH728:AH740" si="83">IF((AF728&lt;&gt;0)*AND(AG728&lt;&gt;0),AVERAGE(AF728:AG728),"")</f>
        <v>3.8260000000000001</v>
      </c>
      <c r="AI728" s="7">
        <v>4.29</v>
      </c>
      <c r="AJ728" s="7">
        <v>3.74</v>
      </c>
      <c r="AK728" s="7">
        <v>3.36</v>
      </c>
      <c r="AL728" s="7">
        <v>3.94</v>
      </c>
      <c r="AM728" s="7">
        <v>3.92</v>
      </c>
      <c r="AN728" s="7">
        <v>3.84</v>
      </c>
      <c r="AO728" s="7">
        <v>3.8</v>
      </c>
      <c r="AP728" s="3"/>
      <c r="AQ728" s="8"/>
    </row>
    <row r="729" spans="1:43">
      <c r="A729" s="1">
        <f t="shared" si="81"/>
        <v>727</v>
      </c>
      <c r="B729" s="19"/>
      <c r="C729" s="1">
        <v>6</v>
      </c>
      <c r="D729" s="4">
        <f t="shared" si="80"/>
        <v>69</v>
      </c>
      <c r="E729" s="4" t="s">
        <v>131</v>
      </c>
      <c r="F729" s="4">
        <v>1</v>
      </c>
      <c r="G729" s="4" t="s">
        <v>11</v>
      </c>
      <c r="H729" s="4" t="s">
        <v>12</v>
      </c>
      <c r="I729" s="4"/>
      <c r="J729" s="5">
        <v>86.9</v>
      </c>
      <c r="K729" s="70"/>
      <c r="L729" s="38">
        <v>4.3699999999999992</v>
      </c>
      <c r="M729" s="127" t="s">
        <v>212</v>
      </c>
      <c r="N729" s="1" t="s">
        <v>13</v>
      </c>
      <c r="O729" s="22">
        <v>4.3769999999999998</v>
      </c>
      <c r="P729" s="1" t="s">
        <v>7</v>
      </c>
      <c r="Q729" s="3" t="s">
        <v>205</v>
      </c>
      <c r="R729" s="6">
        <v>4.8479999999999999</v>
      </c>
      <c r="S729" s="6">
        <v>4.2590000000000003</v>
      </c>
      <c r="T729" s="6">
        <v>4.8470000000000004</v>
      </c>
      <c r="U729" s="6">
        <v>4.3959999999999999</v>
      </c>
      <c r="V729" s="6">
        <v>4.6529999999999996</v>
      </c>
      <c r="W729" s="6">
        <v>4.4630000000000001</v>
      </c>
      <c r="X729" s="6">
        <v>4.4630000000000001</v>
      </c>
      <c r="Y729" s="6">
        <v>4.4720000000000004</v>
      </c>
      <c r="Z729" s="6">
        <v>4.3730000000000002</v>
      </c>
      <c r="AA729" s="1">
        <v>4.3780000000000001</v>
      </c>
      <c r="AB729" s="6">
        <v>4.7060000000000004</v>
      </c>
      <c r="AC729" s="6">
        <v>4.6840000000000002</v>
      </c>
      <c r="AD729" s="6">
        <v>4.5430000000000001</v>
      </c>
      <c r="AE729" s="6">
        <v>4.4560000000000004</v>
      </c>
      <c r="AF729" s="6">
        <v>4.2720000000000002</v>
      </c>
      <c r="AG729" s="6">
        <v>4.6040000000000001</v>
      </c>
      <c r="AH729" s="6">
        <f t="shared" si="83"/>
        <v>4.4380000000000006</v>
      </c>
      <c r="AI729" s="7">
        <v>4.83</v>
      </c>
      <c r="AJ729" s="7">
        <v>4.29</v>
      </c>
      <c r="AK729" s="7">
        <v>3.87</v>
      </c>
      <c r="AL729" s="7">
        <v>4.49</v>
      </c>
      <c r="AM729" s="7">
        <v>4.4800000000000004</v>
      </c>
      <c r="AN729" s="7">
        <v>4.4400000000000004</v>
      </c>
      <c r="AO729" s="7">
        <v>4.4000000000000004</v>
      </c>
      <c r="AP729" s="3"/>
      <c r="AQ729" s="8"/>
    </row>
    <row r="730" spans="1:43">
      <c r="A730" s="1">
        <f t="shared" si="81"/>
        <v>728</v>
      </c>
      <c r="B730" s="19"/>
      <c r="C730" s="1">
        <v>6</v>
      </c>
      <c r="D730" s="4">
        <f t="shared" si="80"/>
        <v>69</v>
      </c>
      <c r="E730" s="4" t="s">
        <v>118</v>
      </c>
      <c r="F730" s="4">
        <v>1</v>
      </c>
      <c r="G730" s="4" t="s">
        <v>11</v>
      </c>
      <c r="H730" s="4" t="s">
        <v>17</v>
      </c>
      <c r="I730" s="4"/>
      <c r="J730" s="5">
        <v>85.8</v>
      </c>
      <c r="K730" s="63">
        <v>1.6E-2</v>
      </c>
      <c r="L730" s="38">
        <v>5.2449999999999992</v>
      </c>
      <c r="M730" s="127" t="s">
        <v>212</v>
      </c>
      <c r="N730" s="1" t="s">
        <v>13</v>
      </c>
      <c r="O730" s="22">
        <v>5.2429999999999994</v>
      </c>
      <c r="P730" s="1" t="s">
        <v>7</v>
      </c>
      <c r="Q730" s="3" t="s">
        <v>205</v>
      </c>
      <c r="R730" s="6">
        <v>5.5110000000000001</v>
      </c>
      <c r="S730" s="6">
        <v>5.4290000000000003</v>
      </c>
      <c r="T730" s="6">
        <v>5.77</v>
      </c>
      <c r="U730" s="6">
        <v>5.0220000000000002</v>
      </c>
      <c r="V730" s="6">
        <v>5.4249999999999998</v>
      </c>
      <c r="W730" s="6">
        <v>5.3570000000000002</v>
      </c>
      <c r="X730" s="6">
        <v>5.3650000000000002</v>
      </c>
      <c r="Y730" s="6">
        <v>5.3220000000000001</v>
      </c>
      <c r="Z730" s="6">
        <v>5.2930000000000001</v>
      </c>
      <c r="AA730" s="1">
        <v>5.2690000000000001</v>
      </c>
      <c r="AB730" s="6">
        <v>5.2060000000000004</v>
      </c>
      <c r="AC730" s="6">
        <v>5.1959999999999997</v>
      </c>
      <c r="AD730" s="6">
        <v>5.2729999999999997</v>
      </c>
      <c r="AE730" s="6">
        <v>4.96</v>
      </c>
      <c r="AF730" s="6">
        <v>5.4390000000000001</v>
      </c>
      <c r="AG730" s="6">
        <v>5.1790000000000003</v>
      </c>
      <c r="AH730" s="6">
        <f t="shared" si="83"/>
        <v>5.3090000000000002</v>
      </c>
      <c r="AI730" s="7">
        <v>5.12</v>
      </c>
      <c r="AJ730" s="7">
        <v>5.34</v>
      </c>
      <c r="AK730" s="7">
        <v>4.87</v>
      </c>
      <c r="AL730" s="7">
        <v>5.3</v>
      </c>
      <c r="AM730" s="7">
        <v>5.25</v>
      </c>
      <c r="AN730" s="7">
        <v>5.61</v>
      </c>
      <c r="AO730" s="7">
        <v>5.58</v>
      </c>
      <c r="AP730" s="3"/>
      <c r="AQ730" s="8"/>
    </row>
    <row r="731" spans="1:43">
      <c r="A731" s="1">
        <f t="shared" si="81"/>
        <v>729</v>
      </c>
      <c r="B731" s="19"/>
      <c r="C731" s="1">
        <v>6</v>
      </c>
      <c r="D731" s="4">
        <f t="shared" si="80"/>
        <v>69</v>
      </c>
      <c r="E731" s="4" t="s">
        <v>131</v>
      </c>
      <c r="F731" s="4">
        <v>1</v>
      </c>
      <c r="G731" s="4" t="s">
        <v>11</v>
      </c>
      <c r="H731" s="4" t="s">
        <v>12</v>
      </c>
      <c r="I731" s="4"/>
      <c r="J731" s="5">
        <v>86.2</v>
      </c>
      <c r="K731" s="70"/>
      <c r="L731" s="38">
        <v>5.714999999999999</v>
      </c>
      <c r="M731" s="127" t="s">
        <v>212</v>
      </c>
      <c r="N731" s="1" t="s">
        <v>13</v>
      </c>
      <c r="O731" s="22">
        <v>5.7139999999999995</v>
      </c>
      <c r="P731" s="1" t="s">
        <v>7</v>
      </c>
      <c r="Q731" s="3" t="s">
        <v>205</v>
      </c>
      <c r="R731" s="6">
        <v>5.62</v>
      </c>
      <c r="S731" s="6">
        <v>5.7880000000000003</v>
      </c>
      <c r="T731" s="6">
        <v>6.2610000000000001</v>
      </c>
      <c r="U731" s="6">
        <v>5.7210000000000001</v>
      </c>
      <c r="V731" s="6">
        <v>6.0129999999999999</v>
      </c>
      <c r="W731" s="6">
        <v>5.8460000000000001</v>
      </c>
      <c r="X731" s="6">
        <v>5.8479999999999999</v>
      </c>
      <c r="Y731" s="6">
        <v>5.8220000000000001</v>
      </c>
      <c r="Z731" s="6">
        <v>5.742</v>
      </c>
      <c r="AA731" s="1">
        <v>5.734</v>
      </c>
      <c r="AB731" s="6">
        <v>6.1660000000000004</v>
      </c>
      <c r="AC731" s="6">
        <v>6.1470000000000002</v>
      </c>
      <c r="AD731" s="6">
        <v>6.0279999999999996</v>
      </c>
      <c r="AE731" s="6">
        <v>5.9340000000000002</v>
      </c>
      <c r="AF731" s="6">
        <v>5.806</v>
      </c>
      <c r="AG731" s="6">
        <v>5.7380000000000004</v>
      </c>
      <c r="AH731" s="6">
        <f t="shared" si="83"/>
        <v>5.7720000000000002</v>
      </c>
      <c r="AI731" s="7">
        <v>6.26</v>
      </c>
      <c r="AJ731" s="7">
        <v>5.73</v>
      </c>
      <c r="AK731" s="7">
        <v>5.19</v>
      </c>
      <c r="AL731" s="7">
        <v>5.93</v>
      </c>
      <c r="AM731" s="7">
        <v>5.89</v>
      </c>
      <c r="AN731" s="7">
        <v>5.95</v>
      </c>
      <c r="AO731" s="7">
        <v>5.88</v>
      </c>
      <c r="AP731" s="3"/>
      <c r="AQ731" s="8"/>
    </row>
    <row r="732" spans="1:43">
      <c r="A732" s="1">
        <f t="shared" si="81"/>
        <v>730</v>
      </c>
      <c r="B732" s="19"/>
      <c r="C732" s="1">
        <v>6</v>
      </c>
      <c r="D732" s="4">
        <f t="shared" si="80"/>
        <v>69</v>
      </c>
      <c r="E732" s="4" t="s">
        <v>137</v>
      </c>
      <c r="F732" s="4">
        <v>1</v>
      </c>
      <c r="G732" s="4" t="s">
        <v>14</v>
      </c>
      <c r="H732" s="4" t="s">
        <v>15</v>
      </c>
      <c r="I732" s="4"/>
      <c r="J732" s="5">
        <v>88.5</v>
      </c>
      <c r="K732" s="63">
        <v>1E-3</v>
      </c>
      <c r="L732" s="38">
        <v>6.2030000000000003</v>
      </c>
      <c r="M732" s="127" t="s">
        <v>212</v>
      </c>
      <c r="N732" s="1" t="s">
        <v>13</v>
      </c>
      <c r="O732" s="22">
        <v>6.2430000000000003</v>
      </c>
      <c r="P732" s="1" t="s">
        <v>7</v>
      </c>
      <c r="Q732" s="3" t="s">
        <v>205</v>
      </c>
      <c r="R732" s="6">
        <v>5.8360000000000003</v>
      </c>
      <c r="S732" s="6">
        <v>5.593</v>
      </c>
      <c r="T732" s="6">
        <v>6.657</v>
      </c>
      <c r="U732" s="6">
        <v>6.3550000000000004</v>
      </c>
      <c r="V732" s="6">
        <v>6.4210000000000003</v>
      </c>
      <c r="W732" s="6">
        <v>6.2619999999999996</v>
      </c>
      <c r="X732" s="6">
        <v>6.266</v>
      </c>
      <c r="Y732" s="6">
        <v>6.3049999999999997</v>
      </c>
      <c r="Z732" s="6">
        <v>6.173</v>
      </c>
      <c r="AA732" s="1">
        <v>6.1829999999999998</v>
      </c>
      <c r="AB732" s="6">
        <v>6.5049999999999999</v>
      </c>
      <c r="AC732" s="6">
        <v>6.407</v>
      </c>
      <c r="AD732" s="6">
        <v>6.1379999999999999</v>
      </c>
      <c r="AE732" s="6">
        <v>6.3049999999999997</v>
      </c>
      <c r="AF732" s="6">
        <v>5.6849999999999996</v>
      </c>
      <c r="AG732" s="6">
        <v>6.6669999999999998</v>
      </c>
      <c r="AH732" s="6">
        <f t="shared" si="83"/>
        <v>6.1760000000000002</v>
      </c>
      <c r="AI732" s="7">
        <v>5.99</v>
      </c>
      <c r="AJ732" s="7">
        <v>6.18</v>
      </c>
      <c r="AK732" s="7">
        <v>5.9</v>
      </c>
      <c r="AL732" s="7">
        <v>6.28</v>
      </c>
      <c r="AM732" s="7">
        <v>6.27</v>
      </c>
      <c r="AN732" s="7">
        <v>6.23</v>
      </c>
      <c r="AO732" s="7">
        <v>6.21</v>
      </c>
      <c r="AP732" s="3"/>
      <c r="AQ732" s="8"/>
    </row>
    <row r="733" spans="1:43">
      <c r="A733" s="1">
        <f t="shared" si="81"/>
        <v>731</v>
      </c>
      <c r="B733" s="19"/>
      <c r="C733" s="1">
        <v>6</v>
      </c>
      <c r="D733" s="4">
        <f t="shared" si="80"/>
        <v>69</v>
      </c>
      <c r="E733" s="4" t="s">
        <v>128</v>
      </c>
      <c r="F733" s="4">
        <v>1</v>
      </c>
      <c r="G733" s="4" t="s">
        <v>11</v>
      </c>
      <c r="H733" s="4" t="s">
        <v>12</v>
      </c>
      <c r="I733" s="4"/>
      <c r="J733" s="5">
        <v>87</v>
      </c>
      <c r="K733" s="63">
        <v>4.0000000000000001E-3</v>
      </c>
      <c r="L733" s="38">
        <v>6.3570000000000002</v>
      </c>
      <c r="M733" s="127" t="s">
        <v>212</v>
      </c>
      <c r="N733" s="1" t="s">
        <v>13</v>
      </c>
      <c r="O733" s="22">
        <v>6.3620000000000001</v>
      </c>
      <c r="P733" s="1" t="s">
        <v>7</v>
      </c>
      <c r="Q733" s="3" t="s">
        <v>205</v>
      </c>
      <c r="R733" s="6">
        <v>6.3940000000000001</v>
      </c>
      <c r="S733" s="6">
        <v>6.3339999999999996</v>
      </c>
      <c r="T733" s="6">
        <v>6.8540000000000001</v>
      </c>
      <c r="U733" s="6">
        <v>6.4059999999999997</v>
      </c>
      <c r="V733" s="6">
        <v>6.6669999999999998</v>
      </c>
      <c r="W733" s="6">
        <v>6.46</v>
      </c>
      <c r="X733" s="6">
        <v>6.4610000000000003</v>
      </c>
      <c r="Y733" s="6">
        <v>6.4729999999999999</v>
      </c>
      <c r="Z733" s="6">
        <v>6.3689999999999998</v>
      </c>
      <c r="AA733" s="1">
        <v>6.3760000000000003</v>
      </c>
      <c r="AB733" s="6">
        <v>6.742</v>
      </c>
      <c r="AC733" s="6">
        <v>6.72</v>
      </c>
      <c r="AD733" s="6">
        <v>6.5910000000000002</v>
      </c>
      <c r="AE733" s="6">
        <v>6.4989999999999997</v>
      </c>
      <c r="AF733" s="6">
        <v>6.3460000000000001</v>
      </c>
      <c r="AG733" s="6">
        <v>6.6189999999999998</v>
      </c>
      <c r="AH733" s="6">
        <f t="shared" si="83"/>
        <v>6.4824999999999999</v>
      </c>
      <c r="AI733" s="7">
        <v>7.16</v>
      </c>
      <c r="AJ733" s="7">
        <v>6.5</v>
      </c>
      <c r="AK733" s="7">
        <v>5.94</v>
      </c>
      <c r="AL733" s="7">
        <v>6.72</v>
      </c>
      <c r="AM733" s="7">
        <v>6.67</v>
      </c>
      <c r="AN733" s="7">
        <v>6.71</v>
      </c>
      <c r="AO733" s="7">
        <v>6.64</v>
      </c>
      <c r="AP733" s="3"/>
      <c r="AQ733" s="8"/>
    </row>
    <row r="734" spans="1:43">
      <c r="A734" s="1">
        <f t="shared" si="81"/>
        <v>732</v>
      </c>
      <c r="B734" s="19"/>
      <c r="C734" s="1">
        <v>6</v>
      </c>
      <c r="D734" s="4">
        <f t="shared" si="80"/>
        <v>69</v>
      </c>
      <c r="E734" s="4" t="s">
        <v>137</v>
      </c>
      <c r="F734" s="4">
        <v>1</v>
      </c>
      <c r="G734" s="4" t="s">
        <v>11</v>
      </c>
      <c r="H734" s="4" t="s">
        <v>17</v>
      </c>
      <c r="I734" s="4"/>
      <c r="J734" s="5">
        <v>90.6</v>
      </c>
      <c r="K734" s="63">
        <v>0.01</v>
      </c>
      <c r="L734" s="38">
        <v>6.726</v>
      </c>
      <c r="M734" s="127" t="s">
        <v>212</v>
      </c>
      <c r="N734" s="1" t="s">
        <v>13</v>
      </c>
      <c r="O734" s="22">
        <v>6.7169999999999996</v>
      </c>
      <c r="P734" s="1" t="s">
        <v>7</v>
      </c>
      <c r="Q734" s="3" t="s">
        <v>205</v>
      </c>
      <c r="R734" s="6">
        <v>7.0890000000000004</v>
      </c>
      <c r="S734" s="6">
        <v>6.8570000000000002</v>
      </c>
      <c r="T734" s="6">
        <v>7.1040000000000001</v>
      </c>
      <c r="U734" s="6">
        <v>6.7880000000000003</v>
      </c>
      <c r="V734" s="6">
        <v>6.8769999999999998</v>
      </c>
      <c r="W734" s="6">
        <v>6.8410000000000002</v>
      </c>
      <c r="X734" s="6">
        <v>6.8070000000000004</v>
      </c>
      <c r="Y734" s="6">
        <v>6.7720000000000002</v>
      </c>
      <c r="Z734" s="6">
        <v>6.7409999999999997</v>
      </c>
      <c r="AA734" s="1">
        <v>6.7549999999999999</v>
      </c>
      <c r="AB734" s="6">
        <v>6.6890000000000001</v>
      </c>
      <c r="AC734" s="6">
        <v>6.7110000000000003</v>
      </c>
      <c r="AD734" s="6">
        <v>6.7329999999999997</v>
      </c>
      <c r="AE734" s="6">
        <v>6.4989999999999997</v>
      </c>
      <c r="AF734" s="6">
        <v>6.8470000000000004</v>
      </c>
      <c r="AG734" s="6">
        <v>6.5369999999999999</v>
      </c>
      <c r="AH734" s="6">
        <f t="shared" si="83"/>
        <v>6.6920000000000002</v>
      </c>
      <c r="AI734" s="7">
        <v>7.54</v>
      </c>
      <c r="AJ734" s="7">
        <v>7.26</v>
      </c>
      <c r="AK734" s="7">
        <v>6.82</v>
      </c>
      <c r="AL734" s="7">
        <v>7.25</v>
      </c>
      <c r="AM734" s="7">
        <v>7.17</v>
      </c>
      <c r="AN734" s="7">
        <v>7.2</v>
      </c>
      <c r="AO734" s="7">
        <v>7.1</v>
      </c>
      <c r="AP734" s="3"/>
      <c r="AQ734" s="8"/>
    </row>
    <row r="735" spans="1:43">
      <c r="A735" s="1">
        <f t="shared" si="81"/>
        <v>733</v>
      </c>
      <c r="B735" s="19"/>
      <c r="C735" s="1">
        <v>6</v>
      </c>
      <c r="D735" s="4">
        <f t="shared" si="80"/>
        <v>69</v>
      </c>
      <c r="E735" s="4" t="s">
        <v>118</v>
      </c>
      <c r="F735" s="4">
        <v>1</v>
      </c>
      <c r="G735" s="4" t="s">
        <v>14</v>
      </c>
      <c r="H735" s="4" t="s">
        <v>16</v>
      </c>
      <c r="I735" s="4"/>
      <c r="J735" s="5">
        <v>88.7</v>
      </c>
      <c r="K735" s="63">
        <v>1.4999999999999999E-2</v>
      </c>
      <c r="L735" s="38">
        <v>6.8490000000000002</v>
      </c>
      <c r="M735" s="127" t="s">
        <v>212</v>
      </c>
      <c r="N735" s="1" t="s">
        <v>13</v>
      </c>
      <c r="O735" s="22">
        <v>6.8860000000000001</v>
      </c>
      <c r="P735" s="1" t="s">
        <v>7</v>
      </c>
      <c r="Q735" s="3"/>
      <c r="R735" s="6">
        <v>6.2460000000000004</v>
      </c>
      <c r="S735" s="6">
        <v>6.2</v>
      </c>
      <c r="T735" s="6">
        <v>7.2729999999999997</v>
      </c>
      <c r="U735" s="6">
        <v>7.0060000000000002</v>
      </c>
      <c r="V735" s="6">
        <v>7.048</v>
      </c>
      <c r="W735" s="6">
        <v>6.9029999999999996</v>
      </c>
      <c r="X735" s="6">
        <v>6.907</v>
      </c>
      <c r="Y735" s="6">
        <v>6.9480000000000004</v>
      </c>
      <c r="Z735" s="6">
        <v>6.8230000000000004</v>
      </c>
      <c r="AA735" s="1">
        <v>6.8280000000000003</v>
      </c>
      <c r="AB735" s="6">
        <v>7.0990000000000002</v>
      </c>
      <c r="AC735" s="6">
        <v>6.9980000000000002</v>
      </c>
      <c r="AD735" s="6">
        <v>6.73</v>
      </c>
      <c r="AE735" s="6">
        <v>6.9020000000000001</v>
      </c>
      <c r="AF735" s="6">
        <v>6.2919999999999998</v>
      </c>
      <c r="AG735" s="6">
        <v>7.26</v>
      </c>
      <c r="AH735" s="6">
        <f t="shared" si="83"/>
        <v>6.7759999999999998</v>
      </c>
      <c r="AI735" s="11"/>
      <c r="AJ735" s="11"/>
      <c r="AK735" s="11"/>
      <c r="AL735" s="11"/>
      <c r="AM735" s="11"/>
      <c r="AN735" s="11"/>
      <c r="AO735" s="11"/>
      <c r="AP735" s="3"/>
      <c r="AQ735" s="8"/>
    </row>
    <row r="736" spans="1:43">
      <c r="A736" s="1">
        <f t="shared" si="81"/>
        <v>734</v>
      </c>
      <c r="B736" s="19"/>
      <c r="C736" s="1">
        <v>6</v>
      </c>
      <c r="D736" s="4">
        <f t="shared" si="80"/>
        <v>69</v>
      </c>
      <c r="E736" s="4" t="s">
        <v>137</v>
      </c>
      <c r="F736" s="4">
        <v>1</v>
      </c>
      <c r="G736" s="4" t="s">
        <v>14</v>
      </c>
      <c r="H736" s="4" t="s">
        <v>15</v>
      </c>
      <c r="I736" s="4"/>
      <c r="J736" s="5">
        <v>89</v>
      </c>
      <c r="K736" s="63">
        <v>8.9999999999999993E-3</v>
      </c>
      <c r="L736" s="38">
        <v>7.0810000000000004</v>
      </c>
      <c r="M736" s="127" t="s">
        <v>212</v>
      </c>
      <c r="N736" s="1" t="s">
        <v>13</v>
      </c>
      <c r="O736" s="22">
        <v>7.1020000000000003</v>
      </c>
      <c r="P736" s="1" t="s">
        <v>7</v>
      </c>
      <c r="Q736" s="3"/>
      <c r="R736" s="6">
        <v>6.25</v>
      </c>
      <c r="S736" s="6">
        <v>6.4219999999999997</v>
      </c>
      <c r="T736" s="6">
        <v>7.5170000000000003</v>
      </c>
      <c r="U736" s="6">
        <v>7.2690000000000001</v>
      </c>
      <c r="V736" s="6">
        <v>7.29</v>
      </c>
      <c r="W736" s="6">
        <v>7.1159999999999997</v>
      </c>
      <c r="X736" s="6">
        <v>7.1459999999999999</v>
      </c>
      <c r="Y736" s="6">
        <v>7.1829999999999998</v>
      </c>
      <c r="Z736" s="6">
        <v>7.0650000000000004</v>
      </c>
      <c r="AA736" s="1">
        <v>7.0739999999999998</v>
      </c>
      <c r="AB736" s="6">
        <v>7.3079999999999998</v>
      </c>
      <c r="AC736" s="6">
        <v>7.2110000000000003</v>
      </c>
      <c r="AD736" s="6">
        <v>6.9749999999999996</v>
      </c>
      <c r="AE736" s="6">
        <v>7.1139999999999999</v>
      </c>
      <c r="AF736" s="6">
        <v>6.51</v>
      </c>
      <c r="AG736" s="6">
        <v>7.4790000000000001</v>
      </c>
      <c r="AH736" s="6">
        <f t="shared" si="83"/>
        <v>6.9945000000000004</v>
      </c>
      <c r="AI736" s="11"/>
      <c r="AJ736" s="11"/>
      <c r="AK736" s="11"/>
      <c r="AL736" s="11"/>
      <c r="AM736" s="11"/>
      <c r="AN736" s="11"/>
      <c r="AO736" s="11"/>
      <c r="AP736" s="3"/>
      <c r="AQ736" s="8"/>
    </row>
    <row r="737" spans="1:43">
      <c r="A737" s="1">
        <f t="shared" si="81"/>
        <v>735</v>
      </c>
      <c r="B737" s="19"/>
      <c r="C737" s="1">
        <v>6</v>
      </c>
      <c r="D737" s="4">
        <f t="shared" si="80"/>
        <v>69</v>
      </c>
      <c r="E737" s="4" t="s">
        <v>131</v>
      </c>
      <c r="F737" s="4">
        <v>1</v>
      </c>
      <c r="G737" s="4" t="s">
        <v>11</v>
      </c>
      <c r="H737" s="4" t="s">
        <v>12</v>
      </c>
      <c r="I737" s="4"/>
      <c r="J737" s="5">
        <v>88.7</v>
      </c>
      <c r="K737" s="70"/>
      <c r="L737" s="38">
        <v>7.3630000000000004</v>
      </c>
      <c r="M737" s="127" t="s">
        <v>212</v>
      </c>
      <c r="N737" s="1" t="s">
        <v>13</v>
      </c>
      <c r="O737" s="22">
        <v>7.2759999999999998</v>
      </c>
      <c r="P737" s="1" t="s">
        <v>7</v>
      </c>
      <c r="Q737" s="3"/>
      <c r="R737" s="6">
        <v>6.843</v>
      </c>
      <c r="S737" s="6">
        <v>6.798</v>
      </c>
      <c r="T737" s="6">
        <v>7.798</v>
      </c>
      <c r="U737" s="6">
        <v>7.524</v>
      </c>
      <c r="V737" s="6">
        <v>7.56</v>
      </c>
      <c r="W737" s="6">
        <v>7.4210000000000003</v>
      </c>
      <c r="X737" s="6">
        <v>7.4269999999999996</v>
      </c>
      <c r="Y737" s="6">
        <v>7.468</v>
      </c>
      <c r="Z737" s="6">
        <v>7.35</v>
      </c>
      <c r="AA737" s="1">
        <v>7.3470000000000004</v>
      </c>
      <c r="AB737" s="6">
        <v>7.6539999999999999</v>
      </c>
      <c r="AC737" s="6">
        <v>7.55</v>
      </c>
      <c r="AD737" s="6">
        <v>7.298</v>
      </c>
      <c r="AE737" s="6">
        <v>7.4589999999999996</v>
      </c>
      <c r="AF737" s="6">
        <v>6.891</v>
      </c>
      <c r="AG737" s="22">
        <v>7.7759999999999998</v>
      </c>
      <c r="AH737" s="6">
        <f t="shared" si="83"/>
        <v>7.3334999999999999</v>
      </c>
      <c r="AI737" s="11"/>
      <c r="AJ737" s="11"/>
      <c r="AK737" s="11"/>
      <c r="AL737" s="11"/>
      <c r="AM737" s="11"/>
      <c r="AN737" s="11"/>
      <c r="AO737" s="11"/>
      <c r="AP737" s="3"/>
      <c r="AQ737" s="8"/>
    </row>
    <row r="738" spans="1:43">
      <c r="A738" s="1">
        <f t="shared" si="81"/>
        <v>736</v>
      </c>
      <c r="B738" s="19"/>
      <c r="C738" s="1">
        <v>6</v>
      </c>
      <c r="D738" s="4">
        <f t="shared" si="80"/>
        <v>69</v>
      </c>
      <c r="E738" s="4" t="s">
        <v>137</v>
      </c>
      <c r="F738" s="4">
        <v>1</v>
      </c>
      <c r="G738" s="4" t="s">
        <v>11</v>
      </c>
      <c r="H738" s="4" t="s">
        <v>17</v>
      </c>
      <c r="I738" s="4"/>
      <c r="J738" s="5">
        <v>90.6</v>
      </c>
      <c r="K738" s="63">
        <v>0.39800000000000002</v>
      </c>
      <c r="L738" s="38">
        <v>7.4169999999999998</v>
      </c>
      <c r="M738" s="127" t="s">
        <v>212</v>
      </c>
      <c r="N738" s="1" t="s">
        <v>13</v>
      </c>
      <c r="O738" s="22">
        <v>7.4109999999999996</v>
      </c>
      <c r="P738" s="1" t="s">
        <v>7</v>
      </c>
      <c r="Q738" s="3"/>
      <c r="R738" s="6">
        <v>7.4710000000000001</v>
      </c>
      <c r="S738" s="46"/>
      <c r="T738" s="6">
        <v>7.8810000000000002</v>
      </c>
      <c r="U738" s="46"/>
      <c r="V738" s="6">
        <v>7.6349999999999998</v>
      </c>
      <c r="W738" s="6">
        <v>7.548</v>
      </c>
      <c r="X738" s="6">
        <v>7.4509999999999996</v>
      </c>
      <c r="Y738" s="6">
        <v>7.4829999999999997</v>
      </c>
      <c r="Z738" s="6">
        <v>7.4089999999999998</v>
      </c>
      <c r="AA738" s="80">
        <v>7.4379999999999997</v>
      </c>
      <c r="AB738" s="6">
        <v>7.5750000000000002</v>
      </c>
      <c r="AC738" s="6">
        <v>7.56</v>
      </c>
      <c r="AD738" s="46"/>
      <c r="AE738" s="6">
        <v>7.3780000000000001</v>
      </c>
      <c r="AF738" s="6">
        <v>7.4279999999999999</v>
      </c>
      <c r="AG738" s="22">
        <v>7.3079999999999998</v>
      </c>
      <c r="AH738" s="6">
        <f t="shared" si="83"/>
        <v>7.3680000000000003</v>
      </c>
      <c r="AI738" s="11"/>
      <c r="AJ738" s="11"/>
      <c r="AK738" s="11"/>
      <c r="AL738" s="11"/>
      <c r="AM738" s="11"/>
      <c r="AN738" s="11"/>
      <c r="AO738" s="11"/>
      <c r="AP738" s="3"/>
      <c r="AQ738" s="8"/>
    </row>
    <row r="739" spans="1:43">
      <c r="A739" s="1">
        <f t="shared" si="81"/>
        <v>737</v>
      </c>
      <c r="B739" s="19"/>
      <c r="C739" s="1">
        <v>6</v>
      </c>
      <c r="D739" s="4">
        <f t="shared" si="80"/>
        <v>69</v>
      </c>
      <c r="E739" s="4" t="s">
        <v>118</v>
      </c>
      <c r="F739" s="4">
        <v>1</v>
      </c>
      <c r="G739" s="4" t="s">
        <v>207</v>
      </c>
      <c r="H739" s="4" t="s">
        <v>170</v>
      </c>
      <c r="I739" s="4"/>
      <c r="J739" s="5">
        <v>89.5</v>
      </c>
      <c r="K739" s="63">
        <v>0.221</v>
      </c>
      <c r="L739" s="38">
        <v>7.5439999999999996</v>
      </c>
      <c r="M739" s="127" t="s">
        <v>212</v>
      </c>
      <c r="N739" s="1" t="s">
        <v>13</v>
      </c>
      <c r="O739" s="22">
        <v>7.5529999999999999</v>
      </c>
      <c r="P739" s="1" t="s">
        <v>7</v>
      </c>
      <c r="Q739" s="3"/>
      <c r="R739" s="46"/>
      <c r="S739" s="22">
        <v>6.9909999999999997</v>
      </c>
      <c r="T739" s="22">
        <v>7.9850000000000003</v>
      </c>
      <c r="U739" s="46"/>
      <c r="V739" s="6">
        <v>7.7569999999999997</v>
      </c>
      <c r="W739" s="22">
        <v>7.6369999999999996</v>
      </c>
      <c r="X739" s="22">
        <v>7.6059999999999999</v>
      </c>
      <c r="Y739" s="6">
        <v>7.6310000000000002</v>
      </c>
      <c r="Z739" s="6">
        <v>7.5350000000000001</v>
      </c>
      <c r="AA739" s="1">
        <v>7.5490000000000004</v>
      </c>
      <c r="AB739" s="6">
        <v>7.7569999999999997</v>
      </c>
      <c r="AC739" s="46"/>
      <c r="AD739" s="22">
        <v>7.4710000000000001</v>
      </c>
      <c r="AE739" s="6">
        <v>7.5629999999999997</v>
      </c>
      <c r="AF739" s="6">
        <v>7.0819999999999999</v>
      </c>
      <c r="AG739" s="46"/>
      <c r="AH739" s="46"/>
      <c r="AI739" s="11"/>
      <c r="AJ739" s="11"/>
      <c r="AK739" s="11"/>
      <c r="AL739" s="11"/>
      <c r="AM739" s="11"/>
      <c r="AN739" s="11"/>
      <c r="AO739" s="11"/>
      <c r="AP739" s="3"/>
      <c r="AQ739" s="8"/>
    </row>
    <row r="740" spans="1:43">
      <c r="A740" s="1">
        <f t="shared" si="81"/>
        <v>738</v>
      </c>
      <c r="B740" s="19"/>
      <c r="C740" s="1">
        <v>6</v>
      </c>
      <c r="D740" s="4">
        <f t="shared" si="80"/>
        <v>69</v>
      </c>
      <c r="E740" s="4" t="s">
        <v>131</v>
      </c>
      <c r="F740" s="4">
        <v>1</v>
      </c>
      <c r="G740" s="4" t="s">
        <v>14</v>
      </c>
      <c r="H740" s="4" t="s">
        <v>22</v>
      </c>
      <c r="I740" s="4"/>
      <c r="J740" s="5">
        <v>92.3</v>
      </c>
      <c r="K740" s="70"/>
      <c r="L740" s="38">
        <v>7.5819999999999999</v>
      </c>
      <c r="M740" s="127" t="s">
        <v>212</v>
      </c>
      <c r="N740" s="1" t="s">
        <v>13</v>
      </c>
      <c r="O740" s="22">
        <v>7.6079999999999997</v>
      </c>
      <c r="P740" s="1" t="s">
        <v>7</v>
      </c>
      <c r="Q740" s="3"/>
      <c r="R740" s="6">
        <v>7.681</v>
      </c>
      <c r="S740" s="22">
        <v>7.5720000000000001</v>
      </c>
      <c r="T740" s="22">
        <v>7.9340000000000002</v>
      </c>
      <c r="U740" s="6">
        <v>7.6580000000000004</v>
      </c>
      <c r="V740" s="6">
        <v>7.673</v>
      </c>
      <c r="W740" s="6">
        <v>7.6120000000000001</v>
      </c>
      <c r="X740" s="6">
        <v>7.617</v>
      </c>
      <c r="Y740" s="6">
        <v>7.6109999999999998</v>
      </c>
      <c r="Z740" s="6">
        <v>7.5839999999999996</v>
      </c>
      <c r="AA740" s="1">
        <v>7.5910000000000002</v>
      </c>
      <c r="AB740" s="6">
        <v>7.73</v>
      </c>
      <c r="AC740" s="6">
        <v>7.6879999999999997</v>
      </c>
      <c r="AD740" s="6">
        <v>7.649</v>
      </c>
      <c r="AE740" s="6">
        <v>7.6029999999999998</v>
      </c>
      <c r="AF740" s="6">
        <v>7.6150000000000002</v>
      </c>
      <c r="AG740" s="6">
        <v>7.4320000000000004</v>
      </c>
      <c r="AH740" s="6">
        <f t="shared" si="83"/>
        <v>7.5235000000000003</v>
      </c>
      <c r="AI740" s="11"/>
      <c r="AJ740" s="11"/>
      <c r="AK740" s="11"/>
      <c r="AL740" s="11"/>
      <c r="AM740" s="11"/>
      <c r="AN740" s="11"/>
      <c r="AO740" s="11"/>
      <c r="AP740" s="3"/>
      <c r="AQ740" s="8"/>
    </row>
    <row r="741" spans="1:43">
      <c r="A741" s="1">
        <f t="shared" si="81"/>
        <v>739</v>
      </c>
      <c r="B741" s="19"/>
      <c r="C741" s="1">
        <v>6</v>
      </c>
      <c r="D741" s="4">
        <f t="shared" si="80"/>
        <v>69</v>
      </c>
      <c r="E741" s="4" t="s">
        <v>129</v>
      </c>
      <c r="F741" s="4">
        <v>3</v>
      </c>
      <c r="G741" s="4" t="s">
        <v>11</v>
      </c>
      <c r="H741" s="4" t="s">
        <v>12</v>
      </c>
      <c r="I741" s="4"/>
      <c r="J741" s="5">
        <v>97.1</v>
      </c>
      <c r="K741" s="70"/>
      <c r="L741" s="37">
        <v>3.1920000000000002</v>
      </c>
      <c r="M741" s="127" t="s">
        <v>110</v>
      </c>
      <c r="N741" s="1" t="s">
        <v>13</v>
      </c>
      <c r="O741" s="22">
        <v>3.2</v>
      </c>
      <c r="P741" s="1" t="s">
        <v>7</v>
      </c>
      <c r="Q741" s="3" t="s">
        <v>205</v>
      </c>
      <c r="R741" s="6">
        <v>3.4950000000000001</v>
      </c>
      <c r="S741" s="6">
        <v>3.181</v>
      </c>
      <c r="T741" s="6">
        <v>3.5339999999999998</v>
      </c>
      <c r="U741" s="6">
        <v>3.0819999999999999</v>
      </c>
      <c r="V741" s="6">
        <v>3.2989999999999999</v>
      </c>
      <c r="W741" s="46"/>
      <c r="X741" s="46"/>
      <c r="Y741" s="46"/>
      <c r="Z741" s="6">
        <v>3.194</v>
      </c>
      <c r="AA741" s="46"/>
      <c r="AB741" s="6">
        <v>3.536</v>
      </c>
      <c r="AC741" s="6">
        <v>3.53</v>
      </c>
      <c r="AD741" s="6">
        <v>3.4140000000000001</v>
      </c>
      <c r="AE741" s="6">
        <v>3.3319999999999999</v>
      </c>
      <c r="AF741" s="6">
        <v>3.1850000000000001</v>
      </c>
      <c r="AG741" s="6">
        <v>3.1160000000000001</v>
      </c>
      <c r="AH741" s="6">
        <f>IF((AF741&lt;&gt;0)*AND(AG741&lt;&gt;0),AVERAGE(AF741:AG741),"")</f>
        <v>3.1505000000000001</v>
      </c>
      <c r="AI741" s="7">
        <v>3.6</v>
      </c>
      <c r="AJ741" s="7">
        <v>3.08</v>
      </c>
      <c r="AK741" s="7">
        <v>2.72</v>
      </c>
      <c r="AL741" s="7">
        <v>3.29</v>
      </c>
      <c r="AM741" s="7">
        <v>3.28</v>
      </c>
      <c r="AN741" s="7">
        <v>3.17</v>
      </c>
      <c r="AO741" s="7">
        <v>3.13</v>
      </c>
      <c r="AP741" s="3"/>
      <c r="AQ741" s="8"/>
    </row>
    <row r="742" spans="1:43">
      <c r="A742" s="1">
        <f t="shared" si="81"/>
        <v>740</v>
      </c>
      <c r="B742" s="19"/>
      <c r="C742" s="1">
        <v>6</v>
      </c>
      <c r="D742" s="4">
        <f t="shared" si="80"/>
        <v>69</v>
      </c>
      <c r="E742" s="4" t="s">
        <v>130</v>
      </c>
      <c r="F742" s="4">
        <v>3</v>
      </c>
      <c r="G742" s="4" t="s">
        <v>11</v>
      </c>
      <c r="H742" s="4" t="s">
        <v>12</v>
      </c>
      <c r="I742" s="4"/>
      <c r="J742" s="5">
        <v>96.1</v>
      </c>
      <c r="K742" s="70"/>
      <c r="L742" s="37">
        <v>4.101</v>
      </c>
      <c r="M742" s="127" t="s">
        <v>110</v>
      </c>
      <c r="N742" s="1" t="s">
        <v>13</v>
      </c>
      <c r="O742" s="22">
        <v>4.1109999999999998</v>
      </c>
      <c r="P742" s="1" t="s">
        <v>7</v>
      </c>
      <c r="Q742" s="3" t="s">
        <v>205</v>
      </c>
      <c r="R742" s="6">
        <v>4.6399999999999997</v>
      </c>
      <c r="S742" s="6">
        <v>4.0140000000000002</v>
      </c>
      <c r="T742" s="6">
        <v>4.49</v>
      </c>
      <c r="U742" s="6">
        <v>4.141</v>
      </c>
      <c r="V742" s="6">
        <v>4.3049999999999997</v>
      </c>
      <c r="W742" s="46"/>
      <c r="X742" s="46"/>
      <c r="Y742" s="46"/>
      <c r="Z742" s="6">
        <v>4.1059999999999999</v>
      </c>
      <c r="AA742" s="46"/>
      <c r="AB742" s="6">
        <v>4.4580000000000002</v>
      </c>
      <c r="AC742" s="6">
        <v>4.4420000000000002</v>
      </c>
      <c r="AD742" s="6">
        <v>4.3010000000000002</v>
      </c>
      <c r="AE742" s="6">
        <v>4.234</v>
      </c>
      <c r="AF742" s="6">
        <v>4.0190000000000001</v>
      </c>
      <c r="AG742" s="6">
        <v>4.2240000000000002</v>
      </c>
      <c r="AH742" s="6">
        <f>IF((AF742&lt;&gt;0)*AND(AG742&lt;&gt;0),AVERAGE(AF742:AG742),"")</f>
        <v>4.1215000000000002</v>
      </c>
      <c r="AI742" s="7">
        <v>4.49</v>
      </c>
      <c r="AJ742" s="7">
        <v>4.01</v>
      </c>
      <c r="AK742" s="7">
        <v>3.59</v>
      </c>
      <c r="AL742" s="7">
        <v>4.2</v>
      </c>
      <c r="AM742" s="7">
        <v>4.18</v>
      </c>
      <c r="AN742" s="7">
        <v>4.17</v>
      </c>
      <c r="AO742" s="7">
        <v>4.1399999999999997</v>
      </c>
      <c r="AP742" s="3"/>
      <c r="AQ742" s="8"/>
    </row>
    <row r="743" spans="1:43">
      <c r="A743" s="1">
        <f t="shared" si="81"/>
        <v>741</v>
      </c>
      <c r="B743" s="19"/>
      <c r="C743" s="1">
        <v>6</v>
      </c>
      <c r="D743" s="4">
        <f t="shared" si="80"/>
        <v>69</v>
      </c>
      <c r="E743" s="4" t="s">
        <v>142</v>
      </c>
      <c r="F743" s="4">
        <v>3</v>
      </c>
      <c r="G743" s="4" t="s">
        <v>11</v>
      </c>
      <c r="H743" s="4" t="s">
        <v>17</v>
      </c>
      <c r="I743" s="4"/>
      <c r="J743" s="5">
        <v>98.5</v>
      </c>
      <c r="K743" s="70"/>
      <c r="L743" s="50">
        <v>4.3410000000000002</v>
      </c>
      <c r="M743" s="127" t="s">
        <v>110</v>
      </c>
      <c r="N743" s="10" t="s">
        <v>111</v>
      </c>
      <c r="O743" s="22">
        <v>4.3479999999999999</v>
      </c>
      <c r="P743" s="1" t="s">
        <v>7</v>
      </c>
      <c r="Q743" s="3" t="s">
        <v>205</v>
      </c>
      <c r="R743" s="6">
        <v>4.7460000000000004</v>
      </c>
      <c r="S743" s="6">
        <v>4.6109999999999998</v>
      </c>
      <c r="T743" s="6">
        <v>4.6219999999999999</v>
      </c>
      <c r="U743" s="6">
        <v>3.879</v>
      </c>
      <c r="V743" s="6">
        <v>4.1689999999999996</v>
      </c>
      <c r="W743" s="46"/>
      <c r="X743" s="46"/>
      <c r="Y743" s="46"/>
      <c r="Z743" s="6">
        <v>4.3810000000000002</v>
      </c>
      <c r="AA743" s="46"/>
      <c r="AB743" s="6">
        <v>4.5149999999999997</v>
      </c>
      <c r="AC743" s="6">
        <v>4.5129999999999999</v>
      </c>
      <c r="AD743" s="6">
        <v>4.5460000000000003</v>
      </c>
      <c r="AE743" s="6">
        <v>4.3899999999999997</v>
      </c>
      <c r="AF743" s="6">
        <v>4.6040000000000001</v>
      </c>
      <c r="AG743" s="6">
        <v>4.0679999999999996</v>
      </c>
      <c r="AH743" s="6">
        <f>IF((AF743&lt;&gt;0)*AND(AG743&lt;&gt;0),AVERAGE(AF743:AG743),"")</f>
        <v>4.3360000000000003</v>
      </c>
      <c r="AI743" s="7">
        <v>3.93</v>
      </c>
      <c r="AJ743" s="7">
        <v>4.4400000000000004</v>
      </c>
      <c r="AK743" s="7">
        <v>4.13</v>
      </c>
      <c r="AL743" s="7">
        <v>4.3</v>
      </c>
      <c r="AM743" s="7">
        <v>4.24</v>
      </c>
      <c r="AN743" s="7">
        <v>4.51</v>
      </c>
      <c r="AO743" s="7">
        <v>4.49</v>
      </c>
      <c r="AP743" s="3"/>
      <c r="AQ743" s="8"/>
    </row>
    <row r="744" spans="1:43">
      <c r="A744" s="1">
        <f t="shared" si="81"/>
        <v>742</v>
      </c>
      <c r="B744" s="19"/>
      <c r="C744" s="1">
        <v>6</v>
      </c>
      <c r="D744" s="4">
        <f t="shared" si="80"/>
        <v>69</v>
      </c>
      <c r="E744" s="4" t="s">
        <v>143</v>
      </c>
      <c r="F744" s="4">
        <v>3</v>
      </c>
      <c r="G744" s="4" t="s">
        <v>11</v>
      </c>
      <c r="H744" s="4" t="s">
        <v>17</v>
      </c>
      <c r="I744" s="4"/>
      <c r="J744" s="5">
        <v>97.3</v>
      </c>
      <c r="K744" s="70"/>
      <c r="L744" s="38">
        <v>4.8220000000000001</v>
      </c>
      <c r="M744" s="127" t="s">
        <v>110</v>
      </c>
      <c r="N744" s="1" t="s">
        <v>13</v>
      </c>
      <c r="O744" s="22">
        <v>4.82</v>
      </c>
      <c r="P744" s="1" t="s">
        <v>7</v>
      </c>
      <c r="Q744" s="3" t="s">
        <v>205</v>
      </c>
      <c r="R744" s="6">
        <v>5.1840000000000002</v>
      </c>
      <c r="S744" s="6">
        <v>5.0679999999999996</v>
      </c>
      <c r="T744" s="6">
        <v>5.19</v>
      </c>
      <c r="U744" s="6">
        <v>4.7759999999999998</v>
      </c>
      <c r="V744" s="6">
        <v>4.8630000000000004</v>
      </c>
      <c r="W744" s="46"/>
      <c r="X744" s="46"/>
      <c r="Y744" s="46"/>
      <c r="Z744" s="6">
        <v>4.827</v>
      </c>
      <c r="AA744" s="46"/>
      <c r="AB744" s="6">
        <v>4.9489999999999998</v>
      </c>
      <c r="AC744" s="6">
        <v>4.9560000000000004</v>
      </c>
      <c r="AD744" s="6">
        <v>4.9960000000000004</v>
      </c>
      <c r="AE744" s="6">
        <v>4.7759999999999998</v>
      </c>
      <c r="AF744" s="6">
        <v>5.0590000000000002</v>
      </c>
      <c r="AG744" s="6">
        <v>4.4619999999999997</v>
      </c>
      <c r="AH744" s="6">
        <f>IF((AF744&lt;&gt;0)*AND(AG744&lt;&gt;0),AVERAGE(AF744:AG744),"")</f>
        <v>4.7605000000000004</v>
      </c>
      <c r="AI744" s="7">
        <v>4.93</v>
      </c>
      <c r="AJ744" s="7">
        <v>4.87</v>
      </c>
      <c r="AK744" s="7">
        <v>4.4800000000000004</v>
      </c>
      <c r="AL744" s="7">
        <v>4.8899999999999997</v>
      </c>
      <c r="AM744" s="7">
        <v>4.83</v>
      </c>
      <c r="AN744" s="7">
        <v>4.97</v>
      </c>
      <c r="AO744" s="7">
        <v>4.9400000000000004</v>
      </c>
      <c r="AP744" s="3"/>
      <c r="AQ744" s="8"/>
    </row>
    <row r="745" spans="1:43">
      <c r="A745" s="1">
        <f t="shared" si="81"/>
        <v>743</v>
      </c>
      <c r="B745" s="2" t="s">
        <v>46</v>
      </c>
      <c r="C745" s="1">
        <v>6</v>
      </c>
      <c r="D745" s="4">
        <f t="shared" si="80"/>
        <v>69</v>
      </c>
      <c r="E745" s="4" t="s">
        <v>128</v>
      </c>
      <c r="F745" s="4">
        <v>1</v>
      </c>
      <c r="G745" s="4" t="s">
        <v>11</v>
      </c>
      <c r="H745" s="4" t="s">
        <v>12</v>
      </c>
      <c r="I745" s="4"/>
      <c r="J745" s="5">
        <v>88.4</v>
      </c>
      <c r="K745" s="63">
        <v>4.0000000000000001E-3</v>
      </c>
      <c r="L745" s="38">
        <v>4.9590000000000014</v>
      </c>
      <c r="M745" s="127" t="s">
        <v>212</v>
      </c>
      <c r="N745" s="1" t="s">
        <v>13</v>
      </c>
      <c r="O745" s="22">
        <v>4.9610000000000021</v>
      </c>
      <c r="P745" s="1" t="s">
        <v>7</v>
      </c>
      <c r="Q745" s="3" t="s">
        <v>205</v>
      </c>
      <c r="R745" s="22">
        <v>5.218</v>
      </c>
      <c r="S745" s="22">
        <v>4.9909999999999997</v>
      </c>
      <c r="T745" s="22">
        <v>5.359</v>
      </c>
      <c r="U745" s="22">
        <v>4.931</v>
      </c>
      <c r="V745" s="22">
        <v>5.1740000000000004</v>
      </c>
      <c r="W745" s="6">
        <v>5.0410000000000004</v>
      </c>
      <c r="X745" s="6">
        <v>5.0389999999999997</v>
      </c>
      <c r="Y745" s="6">
        <v>5.0270000000000001</v>
      </c>
      <c r="Z745" s="1">
        <v>4.9619999999999997</v>
      </c>
      <c r="AA745" s="1">
        <v>4.9610000000000003</v>
      </c>
      <c r="AB745" s="22">
        <v>5.306</v>
      </c>
      <c r="AC745" s="22">
        <v>5.3049999999999997</v>
      </c>
      <c r="AD745" s="1">
        <v>5.202</v>
      </c>
      <c r="AE745" s="1">
        <v>5.0869999999999997</v>
      </c>
      <c r="AF745" s="1">
        <v>4.9779999999999998</v>
      </c>
      <c r="AG745" s="1">
        <v>4.9950000000000001</v>
      </c>
      <c r="AH745" s="6">
        <f t="shared" ref="AH745:AH758" si="84">IF((AF745&lt;&gt;0)*AND(AG745&lt;&gt;0),AVERAGE(AF745:AG745),"")</f>
        <v>4.9864999999999995</v>
      </c>
      <c r="AI745" s="7">
        <v>5.43</v>
      </c>
      <c r="AJ745" s="7">
        <v>5.15</v>
      </c>
      <c r="AK745" s="7">
        <v>4.8099999999999996</v>
      </c>
      <c r="AL745" s="7">
        <v>5.18</v>
      </c>
      <c r="AM745" s="7">
        <v>5.13</v>
      </c>
      <c r="AN745" s="7">
        <v>5.19</v>
      </c>
      <c r="AO745" s="7">
        <v>5.15</v>
      </c>
      <c r="AP745" s="3"/>
      <c r="AQ745" s="8"/>
    </row>
    <row r="746" spans="1:43">
      <c r="A746" s="1">
        <f t="shared" si="81"/>
        <v>744</v>
      </c>
      <c r="B746" s="19"/>
      <c r="C746" s="1">
        <v>6</v>
      </c>
      <c r="D746" s="4">
        <f t="shared" si="80"/>
        <v>69</v>
      </c>
      <c r="E746" s="4" t="s">
        <v>137</v>
      </c>
      <c r="F746" s="4">
        <v>1</v>
      </c>
      <c r="G746" s="4" t="s">
        <v>11</v>
      </c>
      <c r="H746" s="4" t="s">
        <v>17</v>
      </c>
      <c r="I746" s="4"/>
      <c r="J746" s="5">
        <v>86.5</v>
      </c>
      <c r="K746" s="63">
        <v>2.8000000000000001E-2</v>
      </c>
      <c r="L746" s="38">
        <v>5.1330000000000009</v>
      </c>
      <c r="M746" s="127" t="s">
        <v>212</v>
      </c>
      <c r="N746" s="1" t="s">
        <v>13</v>
      </c>
      <c r="O746" s="22">
        <v>5.13</v>
      </c>
      <c r="P746" s="1" t="s">
        <v>7</v>
      </c>
      <c r="Q746" s="3" t="s">
        <v>205</v>
      </c>
      <c r="R746" s="22">
        <v>5.3959999999999999</v>
      </c>
      <c r="S746" s="22">
        <v>5.3239999999999998</v>
      </c>
      <c r="T746" s="22">
        <v>5.5659999999999998</v>
      </c>
      <c r="U746" s="22">
        <v>4.9080000000000004</v>
      </c>
      <c r="V746" s="22">
        <v>5.2949999999999999</v>
      </c>
      <c r="W746" s="6">
        <v>5.226</v>
      </c>
      <c r="X746" s="6">
        <v>5.2320000000000002</v>
      </c>
      <c r="Y746" s="6">
        <v>5.2030000000000003</v>
      </c>
      <c r="Z746" s="1">
        <v>5.1749999999999998</v>
      </c>
      <c r="AA746" s="1">
        <v>5.1539999999999999</v>
      </c>
      <c r="AB746" s="22">
        <v>5.0999999999999996</v>
      </c>
      <c r="AC746" s="22">
        <v>5.09</v>
      </c>
      <c r="AD746" s="1">
        <v>5.1669999999999998</v>
      </c>
      <c r="AE746" s="1">
        <v>4.8719999999999999</v>
      </c>
      <c r="AF746" s="1">
        <v>5.3289999999999997</v>
      </c>
      <c r="AG746" s="1">
        <v>5.0810000000000004</v>
      </c>
      <c r="AH746" s="6">
        <f t="shared" si="84"/>
        <v>5.2050000000000001</v>
      </c>
      <c r="AI746" s="7">
        <v>5.03</v>
      </c>
      <c r="AJ746" s="7">
        <v>5.18</v>
      </c>
      <c r="AK746" s="7">
        <v>4.76</v>
      </c>
      <c r="AL746" s="7">
        <v>5.15</v>
      </c>
      <c r="AM746" s="7">
        <v>5.09</v>
      </c>
      <c r="AN746" s="7">
        <v>5.34</v>
      </c>
      <c r="AO746" s="7">
        <v>5.31</v>
      </c>
      <c r="AP746" s="3"/>
      <c r="AQ746" s="8"/>
    </row>
    <row r="747" spans="1:43">
      <c r="A747" s="1">
        <f t="shared" si="81"/>
        <v>745</v>
      </c>
      <c r="B747" s="19"/>
      <c r="C747" s="1">
        <v>6</v>
      </c>
      <c r="D747" s="4">
        <f t="shared" si="80"/>
        <v>69</v>
      </c>
      <c r="E747" s="4" t="s">
        <v>131</v>
      </c>
      <c r="F747" s="4">
        <v>1</v>
      </c>
      <c r="G747" s="4" t="s">
        <v>11</v>
      </c>
      <c r="H747" s="4" t="s">
        <v>12</v>
      </c>
      <c r="I747" s="4"/>
      <c r="J747" s="5">
        <v>87.9</v>
      </c>
      <c r="K747" s="70"/>
      <c r="L747" s="38">
        <v>5.3990000000000009</v>
      </c>
      <c r="M747" s="127" t="s">
        <v>212</v>
      </c>
      <c r="N747" s="1" t="s">
        <v>13</v>
      </c>
      <c r="O747" s="22">
        <v>5.4089999999999998</v>
      </c>
      <c r="P747" s="1" t="s">
        <v>7</v>
      </c>
      <c r="Q747" s="3" t="s">
        <v>205</v>
      </c>
      <c r="R747" s="22">
        <v>5.3259999999999996</v>
      </c>
      <c r="S747" s="22">
        <v>5.2759999999999998</v>
      </c>
      <c r="T747" s="22">
        <v>5.7679999999999998</v>
      </c>
      <c r="U747" s="22">
        <v>5.3490000000000002</v>
      </c>
      <c r="V747" s="22">
        <v>5.6420000000000003</v>
      </c>
      <c r="W747" s="6">
        <v>5.4589999999999996</v>
      </c>
      <c r="X747" s="6">
        <v>5.4610000000000003</v>
      </c>
      <c r="Y747" s="6">
        <v>5.4829999999999997</v>
      </c>
      <c r="Z747" s="1">
        <v>5.3959999999999999</v>
      </c>
      <c r="AA747" s="1">
        <v>5.3970000000000002</v>
      </c>
      <c r="AB747" s="22">
        <v>6.5359999999999996</v>
      </c>
      <c r="AC747" s="22">
        <v>5.6520000000000001</v>
      </c>
      <c r="AD747" s="1">
        <v>5.5270000000000001</v>
      </c>
      <c r="AE747" s="1">
        <v>5.4020000000000001</v>
      </c>
      <c r="AF747" s="1">
        <v>5.2649999999999997</v>
      </c>
      <c r="AG747" s="1">
        <v>5.7050000000000001</v>
      </c>
      <c r="AH747" s="6">
        <f t="shared" si="84"/>
        <v>5.4849999999999994</v>
      </c>
      <c r="AI747" s="7">
        <v>6.3</v>
      </c>
      <c r="AJ747" s="7">
        <v>5.46</v>
      </c>
      <c r="AK747" s="7">
        <v>5.03</v>
      </c>
      <c r="AL747" s="7">
        <v>5.63</v>
      </c>
      <c r="AM747" s="7">
        <v>5.59</v>
      </c>
      <c r="AN747" s="7">
        <v>5.35</v>
      </c>
      <c r="AO747" s="7">
        <v>5.29</v>
      </c>
      <c r="AP747" s="3"/>
      <c r="AQ747" s="8"/>
    </row>
    <row r="748" spans="1:43">
      <c r="A748" s="1">
        <f t="shared" si="81"/>
        <v>746</v>
      </c>
      <c r="B748" s="19"/>
      <c r="C748" s="1">
        <v>6</v>
      </c>
      <c r="D748" s="4">
        <f t="shared" si="80"/>
        <v>69</v>
      </c>
      <c r="E748" s="4" t="s">
        <v>118</v>
      </c>
      <c r="F748" s="4">
        <v>1</v>
      </c>
      <c r="G748" s="4" t="s">
        <v>11</v>
      </c>
      <c r="H748" s="4" t="s">
        <v>17</v>
      </c>
      <c r="I748" s="4"/>
      <c r="J748" s="5">
        <v>92.1</v>
      </c>
      <c r="K748" s="63">
        <v>0.01</v>
      </c>
      <c r="L748" s="38">
        <v>6.6339999999999995</v>
      </c>
      <c r="M748" s="127" t="s">
        <v>212</v>
      </c>
      <c r="N748" s="1" t="s">
        <v>13</v>
      </c>
      <c r="O748" s="22">
        <v>6.6269999999999998</v>
      </c>
      <c r="P748" s="1" t="s">
        <v>7</v>
      </c>
      <c r="Q748" s="3" t="s">
        <v>205</v>
      </c>
      <c r="R748" s="22">
        <v>6.8369999999999997</v>
      </c>
      <c r="S748" s="22">
        <v>6.6840000000000002</v>
      </c>
      <c r="T748" s="22">
        <v>6.8719999999999999</v>
      </c>
      <c r="U748" s="22">
        <v>6.6520000000000001</v>
      </c>
      <c r="V748" s="22">
        <v>6.7130000000000001</v>
      </c>
      <c r="W748" s="22">
        <v>6.734</v>
      </c>
      <c r="X748" s="22">
        <v>6.6669999999999998</v>
      </c>
      <c r="Y748" s="22">
        <v>6.6459999999999999</v>
      </c>
      <c r="Z748" s="22">
        <v>6.63</v>
      </c>
      <c r="AA748" s="22">
        <v>6.6369999999999996</v>
      </c>
      <c r="AB748" s="22">
        <v>6.5359999999999996</v>
      </c>
      <c r="AC748" s="22">
        <v>6.5720000000000001</v>
      </c>
      <c r="AD748" s="1">
        <v>6.6050000000000004</v>
      </c>
      <c r="AE748" s="1">
        <v>6.3639999999999999</v>
      </c>
      <c r="AF748" s="1">
        <v>6.6479999999999997</v>
      </c>
      <c r="AG748" s="1">
        <v>6.3890000000000002</v>
      </c>
      <c r="AH748" s="6">
        <f t="shared" si="84"/>
        <v>6.5184999999999995</v>
      </c>
      <c r="AI748" s="7">
        <v>7.9</v>
      </c>
      <c r="AJ748" s="7">
        <v>6.92</v>
      </c>
      <c r="AK748" s="7">
        <v>6.27</v>
      </c>
      <c r="AL748" s="7">
        <v>7.04</v>
      </c>
      <c r="AM748" s="7">
        <v>6.93</v>
      </c>
      <c r="AN748" s="7">
        <v>6.8</v>
      </c>
      <c r="AO748" s="7">
        <v>6.69</v>
      </c>
      <c r="AP748" s="3"/>
      <c r="AQ748" s="8"/>
    </row>
    <row r="749" spans="1:43">
      <c r="A749" s="1">
        <f t="shared" si="81"/>
        <v>747</v>
      </c>
      <c r="B749" s="19"/>
      <c r="C749" s="1">
        <v>6</v>
      </c>
      <c r="D749" s="4">
        <f t="shared" si="80"/>
        <v>69</v>
      </c>
      <c r="E749" s="4" t="s">
        <v>118</v>
      </c>
      <c r="F749" s="4">
        <v>1</v>
      </c>
      <c r="G749" s="4" t="s">
        <v>14</v>
      </c>
      <c r="H749" s="4" t="s">
        <v>15</v>
      </c>
      <c r="I749" s="4"/>
      <c r="J749" s="5">
        <v>89.7</v>
      </c>
      <c r="K749" s="63">
        <v>1.0999999999999999E-2</v>
      </c>
      <c r="L749" s="38">
        <v>6.7649999999999997</v>
      </c>
      <c r="M749" s="127" t="s">
        <v>212</v>
      </c>
      <c r="N749" s="1" t="s">
        <v>13</v>
      </c>
      <c r="O749" s="22">
        <v>6.802999999999999</v>
      </c>
      <c r="P749" s="1" t="s">
        <v>7</v>
      </c>
      <c r="Q749" s="3" t="s">
        <v>205</v>
      </c>
      <c r="R749" s="22">
        <v>6.3780000000000001</v>
      </c>
      <c r="S749" s="22">
        <v>6.2439999999999998</v>
      </c>
      <c r="T749" s="22">
        <v>7.1319999999999997</v>
      </c>
      <c r="U749" s="22">
        <v>6.8810000000000002</v>
      </c>
      <c r="V749" s="22">
        <v>6.9560000000000004</v>
      </c>
      <c r="W749" s="22">
        <v>6.7690000000000001</v>
      </c>
      <c r="X749" s="22">
        <v>6.8319999999999999</v>
      </c>
      <c r="Y749" s="22">
        <v>6.8630000000000004</v>
      </c>
      <c r="Z749" s="22">
        <v>6.76</v>
      </c>
      <c r="AA749" s="22">
        <v>6.76</v>
      </c>
      <c r="AB749" s="22">
        <v>7.0359999999999996</v>
      </c>
      <c r="AC749" s="22">
        <v>6.9619999999999997</v>
      </c>
      <c r="AD749" s="1">
        <v>6.734</v>
      </c>
      <c r="AE749" s="1">
        <v>6.851</v>
      </c>
      <c r="AF749" s="1">
        <v>6.3129999999999997</v>
      </c>
      <c r="AG749" s="1">
        <v>7.1710000000000003</v>
      </c>
      <c r="AH749" s="6">
        <f t="shared" si="84"/>
        <v>6.742</v>
      </c>
      <c r="AI749" s="7">
        <v>6.4</v>
      </c>
      <c r="AJ749" s="7">
        <v>6.9</v>
      </c>
      <c r="AK749" s="7">
        <v>6.67</v>
      </c>
      <c r="AL749" s="7">
        <v>6.97</v>
      </c>
      <c r="AM749" s="7">
        <v>6.96</v>
      </c>
      <c r="AN749" s="7">
        <v>7</v>
      </c>
      <c r="AO749" s="7">
        <v>6.99</v>
      </c>
      <c r="AP749" s="3"/>
      <c r="AQ749" s="8"/>
    </row>
    <row r="750" spans="1:43">
      <c r="A750" s="1">
        <f t="shared" si="81"/>
        <v>748</v>
      </c>
      <c r="B750" s="19"/>
      <c r="C750" s="1">
        <v>6</v>
      </c>
      <c r="D750" s="4">
        <f t="shared" si="80"/>
        <v>69</v>
      </c>
      <c r="E750" s="4" t="s">
        <v>131</v>
      </c>
      <c r="F750" s="4">
        <v>1</v>
      </c>
      <c r="G750" s="4" t="s">
        <v>14</v>
      </c>
      <c r="H750" s="4" t="s">
        <v>22</v>
      </c>
      <c r="I750" s="4"/>
      <c r="J750" s="5">
        <v>93.2</v>
      </c>
      <c r="K750" s="70"/>
      <c r="L750" s="38">
        <v>6.8110000000000008</v>
      </c>
      <c r="M750" s="127" t="s">
        <v>212</v>
      </c>
      <c r="N750" s="1" t="s">
        <v>13</v>
      </c>
      <c r="O750" s="22">
        <v>6.8339999999999996</v>
      </c>
      <c r="P750" s="1" t="s">
        <v>7</v>
      </c>
      <c r="Q750" s="3" t="s">
        <v>205</v>
      </c>
      <c r="R750" s="22">
        <v>6.8810000000000002</v>
      </c>
      <c r="S750" s="22">
        <v>6.7859999999999996</v>
      </c>
      <c r="T750" s="22">
        <v>7.0830000000000002</v>
      </c>
      <c r="U750" s="22">
        <v>6.8390000000000004</v>
      </c>
      <c r="V750" s="22">
        <v>6.8680000000000003</v>
      </c>
      <c r="W750" s="6">
        <v>6.827</v>
      </c>
      <c r="X750" s="6">
        <v>6.8330000000000002</v>
      </c>
      <c r="Y750" s="6">
        <v>6.8250000000000002</v>
      </c>
      <c r="Z750" s="22">
        <v>6.81</v>
      </c>
      <c r="AA750" s="1">
        <v>6.8179999999999996</v>
      </c>
      <c r="AB750" s="22">
        <v>6.9169999999999998</v>
      </c>
      <c r="AC750" s="22">
        <v>6.87</v>
      </c>
      <c r="AD750" s="1">
        <v>6.8419999999999996</v>
      </c>
      <c r="AE750" s="1">
        <v>6.8029999999999999</v>
      </c>
      <c r="AF750" s="1">
        <v>6.8319999999999999</v>
      </c>
      <c r="AG750" s="1">
        <v>6.6459999999999999</v>
      </c>
      <c r="AH750" s="6">
        <f t="shared" si="84"/>
        <v>6.7389999999999999</v>
      </c>
      <c r="AI750" s="7">
        <v>6.6</v>
      </c>
      <c r="AJ750" s="7">
        <v>7.08</v>
      </c>
      <c r="AK750" s="7">
        <v>6.87</v>
      </c>
      <c r="AL750" s="7">
        <v>6.88</v>
      </c>
      <c r="AM750" s="7">
        <v>6.8</v>
      </c>
      <c r="AN750" s="7">
        <v>6.89</v>
      </c>
      <c r="AO750" s="7">
        <v>6.86</v>
      </c>
      <c r="AP750" s="3"/>
      <c r="AQ750" s="8"/>
    </row>
    <row r="751" spans="1:43">
      <c r="A751" s="1">
        <f t="shared" si="81"/>
        <v>749</v>
      </c>
      <c r="B751" s="19"/>
      <c r="C751" s="1">
        <v>6</v>
      </c>
      <c r="D751" s="4">
        <f t="shared" si="80"/>
        <v>69</v>
      </c>
      <c r="E751" s="4" t="s">
        <v>137</v>
      </c>
      <c r="F751" s="4">
        <v>1</v>
      </c>
      <c r="G751" s="4" t="s">
        <v>11</v>
      </c>
      <c r="H751" s="4" t="s">
        <v>17</v>
      </c>
      <c r="I751" s="4"/>
      <c r="J751" s="5">
        <v>89.9</v>
      </c>
      <c r="K751" s="63">
        <v>0.17399999999999999</v>
      </c>
      <c r="L751" s="38">
        <v>7.3319999999999999</v>
      </c>
      <c r="M751" s="127" t="s">
        <v>212</v>
      </c>
      <c r="N751" s="1" t="s">
        <v>13</v>
      </c>
      <c r="O751" s="22">
        <v>7.3330000000000002</v>
      </c>
      <c r="P751" s="1" t="s">
        <v>7</v>
      </c>
      <c r="Q751" s="3" t="s">
        <v>205</v>
      </c>
      <c r="R751" s="22">
        <v>7.7569999999999997</v>
      </c>
      <c r="S751" s="22">
        <v>7.3710000000000004</v>
      </c>
      <c r="T751" s="22">
        <v>7.7439999999999998</v>
      </c>
      <c r="U751" s="46"/>
      <c r="V751" s="22">
        <v>7.548</v>
      </c>
      <c r="W751" s="22">
        <v>7.4349999999999996</v>
      </c>
      <c r="X751" s="22">
        <v>7.3970000000000002</v>
      </c>
      <c r="Y751" s="22">
        <v>7.4180000000000001</v>
      </c>
      <c r="Z751" s="22">
        <v>7.35</v>
      </c>
      <c r="AA751" s="1">
        <v>7.3579999999999997</v>
      </c>
      <c r="AB751" s="22">
        <v>7.4859999999999998</v>
      </c>
      <c r="AC751" s="22">
        <v>7.4809999999999999</v>
      </c>
      <c r="AD751" s="22">
        <v>7.4480000000000004</v>
      </c>
      <c r="AE751" s="1">
        <v>7.306</v>
      </c>
      <c r="AF751" s="1">
        <v>7.3710000000000004</v>
      </c>
      <c r="AG751" s="1">
        <v>7.2489999999999997</v>
      </c>
      <c r="AH751" s="6">
        <f>IF((AF751&lt;&gt;0)*AND(AG751&lt;&gt;0),AVERAGE(AF751:AG751),"")</f>
        <v>7.3100000000000005</v>
      </c>
      <c r="AI751" s="7">
        <v>7.45</v>
      </c>
      <c r="AJ751" s="7">
        <v>7.92</v>
      </c>
      <c r="AK751" s="7">
        <v>7.67</v>
      </c>
      <c r="AL751" s="7">
        <v>7.8</v>
      </c>
      <c r="AM751" s="7">
        <v>7.73</v>
      </c>
      <c r="AN751" s="7">
        <v>7.88</v>
      </c>
      <c r="AO751" s="7">
        <v>7.83</v>
      </c>
      <c r="AP751" s="3"/>
      <c r="AQ751" s="8"/>
    </row>
    <row r="752" spans="1:43">
      <c r="A752" s="1">
        <f t="shared" si="81"/>
        <v>750</v>
      </c>
      <c r="B752" s="19"/>
      <c r="C752" s="1">
        <v>6</v>
      </c>
      <c r="D752" s="4">
        <f t="shared" si="80"/>
        <v>69</v>
      </c>
      <c r="E752" s="4" t="s">
        <v>137</v>
      </c>
      <c r="F752" s="4">
        <v>1</v>
      </c>
      <c r="G752" s="4" t="s">
        <v>14</v>
      </c>
      <c r="H752" s="4" t="s">
        <v>16</v>
      </c>
      <c r="I752" s="4"/>
      <c r="J752" s="5">
        <v>90</v>
      </c>
      <c r="K752" s="63">
        <v>0.31900000000000001</v>
      </c>
      <c r="L752" s="38">
        <v>7.4040000000000008</v>
      </c>
      <c r="M752" s="127" t="s">
        <v>212</v>
      </c>
      <c r="N752" s="1" t="s">
        <v>13</v>
      </c>
      <c r="O752" s="22">
        <v>7.43</v>
      </c>
      <c r="P752" s="1" t="s">
        <v>7</v>
      </c>
      <c r="Q752" s="3" t="s">
        <v>205</v>
      </c>
      <c r="R752" s="22">
        <v>6.7640000000000002</v>
      </c>
      <c r="S752" s="22">
        <v>6.8</v>
      </c>
      <c r="T752" s="22">
        <v>7.7380000000000004</v>
      </c>
      <c r="U752" s="22">
        <v>7.5110000000000001</v>
      </c>
      <c r="V752" s="22">
        <v>7.5590000000000002</v>
      </c>
      <c r="W752" s="22">
        <v>7.4329999999999998</v>
      </c>
      <c r="X752" s="22">
        <v>7.4409999999999998</v>
      </c>
      <c r="Y752" s="22">
        <v>7.4729999999999999</v>
      </c>
      <c r="Z752" s="22">
        <v>7.3769999999999998</v>
      </c>
      <c r="AA752" s="1">
        <v>7.3860000000000001</v>
      </c>
      <c r="AB752" s="22">
        <v>7.6130000000000004</v>
      </c>
      <c r="AC752" s="22">
        <v>7.5339999999999998</v>
      </c>
      <c r="AD752" s="22">
        <v>7.2869999999999999</v>
      </c>
      <c r="AE752" s="1">
        <v>7.4260000000000002</v>
      </c>
      <c r="AF752" s="1">
        <v>6.8710000000000004</v>
      </c>
      <c r="AG752" s="1">
        <v>7.7880000000000003</v>
      </c>
      <c r="AH752" s="6">
        <f>IF((AF752&lt;&gt;0)*AND(AG752&lt;&gt;0),AVERAGE(AF752:AG752),"")</f>
        <v>7.3295000000000003</v>
      </c>
      <c r="AI752" s="11"/>
      <c r="AJ752" s="11"/>
      <c r="AK752" s="11"/>
      <c r="AL752" s="11"/>
      <c r="AM752" s="11"/>
      <c r="AN752" s="11"/>
      <c r="AO752" s="11"/>
      <c r="AP752" s="3"/>
      <c r="AQ752" s="8"/>
    </row>
    <row r="753" spans="1:43">
      <c r="A753" s="1">
        <f t="shared" si="81"/>
        <v>751</v>
      </c>
      <c r="B753" s="19"/>
      <c r="C753" s="1">
        <v>6</v>
      </c>
      <c r="D753" s="4">
        <f t="shared" si="80"/>
        <v>69</v>
      </c>
      <c r="E753" s="4" t="s">
        <v>128</v>
      </c>
      <c r="F753" s="4">
        <v>1</v>
      </c>
      <c r="G753" s="4" t="s">
        <v>14</v>
      </c>
      <c r="H753" s="4" t="s">
        <v>23</v>
      </c>
      <c r="I753" s="4"/>
      <c r="J753" s="5">
        <v>93.6</v>
      </c>
      <c r="K753" s="63">
        <v>4.4999999999999998E-2</v>
      </c>
      <c r="L753" s="37">
        <v>7.3879999999999999</v>
      </c>
      <c r="M753" s="127" t="s">
        <v>212</v>
      </c>
      <c r="N753" s="1" t="s">
        <v>13</v>
      </c>
      <c r="O753" s="22">
        <v>7.4079999999999995</v>
      </c>
      <c r="P753" s="1" t="s">
        <v>7</v>
      </c>
      <c r="Q753" s="3" t="s">
        <v>205</v>
      </c>
      <c r="R753" s="22">
        <v>7.4189999999999996</v>
      </c>
      <c r="S753" s="22">
        <v>7.3369999999999997</v>
      </c>
      <c r="T753" s="22">
        <v>7.6429999999999998</v>
      </c>
      <c r="U753" s="22">
        <v>7.3979999999999997</v>
      </c>
      <c r="V753" s="22">
        <v>7.4290000000000003</v>
      </c>
      <c r="W753" s="22">
        <v>7.399</v>
      </c>
      <c r="X753" s="6">
        <v>7.4050000000000002</v>
      </c>
      <c r="Y753" s="22">
        <v>7.3940000000000001</v>
      </c>
      <c r="Z753" s="1">
        <v>7.3849999999999998</v>
      </c>
      <c r="AA753" s="1">
        <v>7.3920000000000003</v>
      </c>
      <c r="AB753" s="22">
        <v>7.468</v>
      </c>
      <c r="AC753" s="22">
        <v>7.4219999999999997</v>
      </c>
      <c r="AD753" s="1">
        <v>7.3940000000000001</v>
      </c>
      <c r="AE753" s="1">
        <v>7.3570000000000002</v>
      </c>
      <c r="AF753" s="1">
        <v>7.3810000000000002</v>
      </c>
      <c r="AG753" s="1">
        <v>7.2089999999999996</v>
      </c>
      <c r="AH753" s="6">
        <f t="shared" si="84"/>
        <v>7.2949999999999999</v>
      </c>
      <c r="AI753" s="7">
        <v>7.12</v>
      </c>
      <c r="AJ753" s="7">
        <v>7.7</v>
      </c>
      <c r="AK753" s="7">
        <v>7.51</v>
      </c>
      <c r="AL753" s="7">
        <v>7.48</v>
      </c>
      <c r="AM753" s="7">
        <v>7.4</v>
      </c>
      <c r="AN753" s="7">
        <v>7.47</v>
      </c>
      <c r="AO753" s="7">
        <v>7.45</v>
      </c>
      <c r="AP753" s="3"/>
      <c r="AQ753" s="8"/>
    </row>
    <row r="754" spans="1:43">
      <c r="A754" s="1">
        <f t="shared" si="81"/>
        <v>752</v>
      </c>
      <c r="B754" s="19"/>
      <c r="C754" s="1">
        <v>6</v>
      </c>
      <c r="D754" s="4">
        <f t="shared" si="80"/>
        <v>69</v>
      </c>
      <c r="E754" s="4" t="s">
        <v>118</v>
      </c>
      <c r="F754" s="4">
        <v>1</v>
      </c>
      <c r="G754" s="4" t="s">
        <v>14</v>
      </c>
      <c r="H754" s="4" t="s">
        <v>15</v>
      </c>
      <c r="I754" s="4"/>
      <c r="J754" s="5">
        <v>90.5</v>
      </c>
      <c r="K754" s="63">
        <v>0.29199999999999998</v>
      </c>
      <c r="L754" s="37">
        <v>7.3979999999999988</v>
      </c>
      <c r="M754" s="127" t="s">
        <v>212</v>
      </c>
      <c r="N754" s="1" t="s">
        <v>13</v>
      </c>
      <c r="O754" s="22">
        <v>7.411999999999999</v>
      </c>
      <c r="P754" s="1" t="s">
        <v>7</v>
      </c>
      <c r="Q754" s="3" t="s">
        <v>205</v>
      </c>
      <c r="R754" s="22">
        <v>6.8070000000000004</v>
      </c>
      <c r="S754" s="22">
        <v>6.9059999999999997</v>
      </c>
      <c r="T754" s="22">
        <v>7.7789999999999999</v>
      </c>
      <c r="U754" s="22">
        <v>7.6719999999999997</v>
      </c>
      <c r="V754" s="22">
        <v>7.593</v>
      </c>
      <c r="W754" s="22">
        <v>7.4740000000000002</v>
      </c>
      <c r="X754" s="22">
        <v>7.4409999999999998</v>
      </c>
      <c r="Y754" s="22">
        <v>7.4729999999999999</v>
      </c>
      <c r="Z754" s="1">
        <v>7.3879999999999999</v>
      </c>
      <c r="AA754" s="1">
        <v>7.4020000000000001</v>
      </c>
      <c r="AB754" s="22">
        <v>7.7560000000000002</v>
      </c>
      <c r="AC754" s="22">
        <v>7.5460000000000003</v>
      </c>
      <c r="AD754" s="1">
        <v>7.3529999999999998</v>
      </c>
      <c r="AE754" s="1">
        <v>7.569</v>
      </c>
      <c r="AF754" s="1">
        <v>6.968</v>
      </c>
      <c r="AG754" s="1">
        <v>7.9160000000000004</v>
      </c>
      <c r="AH754" s="6">
        <f t="shared" si="84"/>
        <v>7.4420000000000002</v>
      </c>
      <c r="AI754" s="11"/>
      <c r="AJ754" s="11"/>
      <c r="AK754" s="11"/>
      <c r="AL754" s="11"/>
      <c r="AM754" s="11"/>
      <c r="AN754" s="11"/>
      <c r="AO754" s="11"/>
      <c r="AP754" s="3"/>
      <c r="AQ754" s="8"/>
    </row>
    <row r="755" spans="1:43">
      <c r="A755" s="1">
        <f t="shared" si="81"/>
        <v>753</v>
      </c>
      <c r="B755" s="19"/>
      <c r="C755" s="1">
        <v>6</v>
      </c>
      <c r="D755" s="4">
        <f t="shared" si="80"/>
        <v>69</v>
      </c>
      <c r="E755" s="4" t="s">
        <v>128</v>
      </c>
      <c r="F755" s="4">
        <v>1</v>
      </c>
      <c r="G755" s="4" t="s">
        <v>14</v>
      </c>
      <c r="H755" s="4" t="s">
        <v>22</v>
      </c>
      <c r="I755" s="4"/>
      <c r="J755" s="5">
        <v>91.9</v>
      </c>
      <c r="K755" s="63">
        <v>0</v>
      </c>
      <c r="L755" s="37">
        <v>7.51</v>
      </c>
      <c r="M755" s="127" t="s">
        <v>212</v>
      </c>
      <c r="N755" s="1" t="s">
        <v>13</v>
      </c>
      <c r="O755" s="22">
        <v>7.5339999999999998</v>
      </c>
      <c r="P755" s="1" t="s">
        <v>7</v>
      </c>
      <c r="Q755" s="3" t="s">
        <v>205</v>
      </c>
      <c r="R755" s="22">
        <v>7.5659999999999998</v>
      </c>
      <c r="S755" s="22">
        <v>7.4669999999999996</v>
      </c>
      <c r="T755" s="22">
        <v>7.83</v>
      </c>
      <c r="U755" s="22">
        <v>7.5609999999999999</v>
      </c>
      <c r="V755" s="22">
        <v>7.593</v>
      </c>
      <c r="W755" s="22">
        <v>7.54</v>
      </c>
      <c r="X755" s="22">
        <v>7.5460000000000003</v>
      </c>
      <c r="Y755" s="22">
        <v>7.5430000000000001</v>
      </c>
      <c r="Z755" s="1">
        <v>7.516</v>
      </c>
      <c r="AA755" s="1">
        <v>7.5190000000000001</v>
      </c>
      <c r="AB755" s="22">
        <v>7.6360000000000001</v>
      </c>
      <c r="AC755" s="6">
        <v>7.5869999999999997</v>
      </c>
      <c r="AD755" s="22">
        <v>7.5460000000000003</v>
      </c>
      <c r="AE755" s="1">
        <v>7.5090000000000003</v>
      </c>
      <c r="AF755" s="1">
        <v>7.5090000000000003</v>
      </c>
      <c r="AG755" s="1">
        <v>7.3869999999999996</v>
      </c>
      <c r="AH755" s="6">
        <f>IF((AF755&lt;&gt;0)*AND(AG755&lt;&gt;0),AVERAGE(AF755:AG755),"")</f>
        <v>7.4480000000000004</v>
      </c>
      <c r="AI755" s="11"/>
      <c r="AJ755" s="11"/>
      <c r="AK755" s="11"/>
      <c r="AL755" s="11"/>
      <c r="AM755" s="11"/>
      <c r="AN755" s="11"/>
      <c r="AO755" s="11"/>
      <c r="AP755" s="3"/>
      <c r="AQ755" s="8"/>
    </row>
    <row r="756" spans="1:43">
      <c r="A756" s="1">
        <f t="shared" si="81"/>
        <v>754</v>
      </c>
      <c r="B756" s="19"/>
      <c r="C756" s="1">
        <v>6</v>
      </c>
      <c r="D756" s="4">
        <f t="shared" si="80"/>
        <v>69</v>
      </c>
      <c r="E756" s="4" t="s">
        <v>118</v>
      </c>
      <c r="F756" s="4">
        <v>1</v>
      </c>
      <c r="G756" s="4" t="s">
        <v>11</v>
      </c>
      <c r="H756" s="4" t="s">
        <v>17</v>
      </c>
      <c r="I756" s="4"/>
      <c r="J756" s="5">
        <v>90.3</v>
      </c>
      <c r="K756" s="63">
        <v>0.25600000000000001</v>
      </c>
      <c r="L756" s="37">
        <v>7.5709999999999988</v>
      </c>
      <c r="M756" s="127" t="s">
        <v>212</v>
      </c>
      <c r="N756" s="1" t="s">
        <v>13</v>
      </c>
      <c r="O756" s="22">
        <v>7.5809999999999986</v>
      </c>
      <c r="P756" s="1" t="s">
        <v>7</v>
      </c>
      <c r="Q756" s="3" t="s">
        <v>205</v>
      </c>
      <c r="R756" s="22">
        <v>7.56</v>
      </c>
      <c r="S756" s="22">
        <v>7.4539999999999997</v>
      </c>
      <c r="T756" s="22">
        <v>7.952</v>
      </c>
      <c r="U756" s="46"/>
      <c r="V756" s="22">
        <v>7.7880000000000003</v>
      </c>
      <c r="W756" s="22">
        <v>7.6020000000000003</v>
      </c>
      <c r="X756" s="22">
        <v>7.6040000000000001</v>
      </c>
      <c r="Y756" s="22">
        <v>7.6529999999999996</v>
      </c>
      <c r="Z756" s="22">
        <v>7.56</v>
      </c>
      <c r="AA756" s="22">
        <v>7.5839999999999996</v>
      </c>
      <c r="AB756" s="22">
        <v>7.577</v>
      </c>
      <c r="AC756" s="22">
        <v>7.72</v>
      </c>
      <c r="AD756" s="22">
        <v>7.62</v>
      </c>
      <c r="AE756" s="1">
        <v>7.3929999999999998</v>
      </c>
      <c r="AF756" s="1">
        <v>7.4740000000000002</v>
      </c>
      <c r="AG756" s="1">
        <v>7.3710000000000004</v>
      </c>
      <c r="AH756" s="6">
        <f t="shared" si="84"/>
        <v>7.4225000000000003</v>
      </c>
      <c r="AI756" s="7">
        <v>9.49</v>
      </c>
      <c r="AJ756" s="7">
        <v>7.66</v>
      </c>
      <c r="AK756" s="7">
        <v>6.63</v>
      </c>
      <c r="AL756" s="7">
        <v>7.87</v>
      </c>
      <c r="AM756" s="7">
        <v>7.7</v>
      </c>
      <c r="AN756" s="1">
        <v>7.31</v>
      </c>
      <c r="AO756" s="1">
        <v>6.97</v>
      </c>
      <c r="AP756" s="3"/>
      <c r="AQ756" s="8"/>
    </row>
    <row r="757" spans="1:43">
      <c r="A757" s="1">
        <f t="shared" si="81"/>
        <v>755</v>
      </c>
      <c r="B757" s="19"/>
      <c r="C757" s="1">
        <v>6</v>
      </c>
      <c r="D757" s="4">
        <f t="shared" si="80"/>
        <v>69</v>
      </c>
      <c r="E757" s="4" t="s">
        <v>131</v>
      </c>
      <c r="F757" s="4">
        <v>1</v>
      </c>
      <c r="G757" s="4" t="s">
        <v>14</v>
      </c>
      <c r="H757" s="4" t="s">
        <v>22</v>
      </c>
      <c r="I757" s="4"/>
      <c r="J757" s="5">
        <v>93.1</v>
      </c>
      <c r="K757" s="70"/>
      <c r="L757" s="37">
        <v>7.6280000000000001</v>
      </c>
      <c r="M757" s="127" t="s">
        <v>212</v>
      </c>
      <c r="N757" s="1" t="s">
        <v>13</v>
      </c>
      <c r="O757" s="22">
        <v>7.6440000000000001</v>
      </c>
      <c r="P757" s="1" t="s">
        <v>7</v>
      </c>
      <c r="Q757" s="3" t="s">
        <v>205</v>
      </c>
      <c r="R757" s="22">
        <v>7.6470000000000002</v>
      </c>
      <c r="S757" s="22">
        <v>7.57</v>
      </c>
      <c r="T757" s="22">
        <v>7.9029999999999996</v>
      </c>
      <c r="U757" s="4">
        <v>7.6719999999999997</v>
      </c>
      <c r="V757" s="22">
        <v>7.681</v>
      </c>
      <c r="W757" s="22">
        <v>7.6440000000000001</v>
      </c>
      <c r="X757" s="22">
        <v>7.6509999999999998</v>
      </c>
      <c r="Y757" s="22">
        <v>7.6429999999999998</v>
      </c>
      <c r="Z757" s="22">
        <v>7.6280000000000001</v>
      </c>
      <c r="AA757" s="1">
        <v>7.6349999999999998</v>
      </c>
      <c r="AB757" s="22">
        <v>7.718</v>
      </c>
      <c r="AC757" s="22">
        <v>7.6879999999999997</v>
      </c>
      <c r="AD757" s="22">
        <v>7.6349999999999998</v>
      </c>
      <c r="AE757" s="1">
        <v>7.6059999999999999</v>
      </c>
      <c r="AF757" s="1">
        <v>7.6180000000000003</v>
      </c>
      <c r="AG757" s="1">
        <v>7.4589999999999996</v>
      </c>
      <c r="AH757" s="6">
        <f t="shared" si="84"/>
        <v>7.5385</v>
      </c>
      <c r="AI757" s="11"/>
      <c r="AJ757" s="11"/>
      <c r="AK757" s="11"/>
      <c r="AL757" s="11"/>
      <c r="AM757" s="11"/>
      <c r="AN757" s="11"/>
      <c r="AO757" s="11"/>
      <c r="AP757" s="3"/>
      <c r="AQ757" s="8"/>
    </row>
    <row r="758" spans="1:43">
      <c r="A758" s="1">
        <f t="shared" si="81"/>
        <v>756</v>
      </c>
      <c r="B758" s="19"/>
      <c r="C758" s="1">
        <v>6</v>
      </c>
      <c r="D758" s="4">
        <f t="shared" si="80"/>
        <v>69</v>
      </c>
      <c r="E758" s="4" t="s">
        <v>128</v>
      </c>
      <c r="F758" s="4">
        <v>1</v>
      </c>
      <c r="G758" s="4" t="s">
        <v>11</v>
      </c>
      <c r="H758" s="4" t="s">
        <v>12</v>
      </c>
      <c r="I758" s="4"/>
      <c r="J758" s="5">
        <v>89.9</v>
      </c>
      <c r="K758" s="63">
        <v>2E-3</v>
      </c>
      <c r="L758" s="37">
        <v>7.8719999999999999</v>
      </c>
      <c r="M758" s="127" t="s">
        <v>212</v>
      </c>
      <c r="N758" s="1" t="s">
        <v>13</v>
      </c>
      <c r="O758" s="22">
        <v>7.89</v>
      </c>
      <c r="P758" s="1" t="s">
        <v>7</v>
      </c>
      <c r="Q758" s="3" t="s">
        <v>205</v>
      </c>
      <c r="R758" s="11"/>
      <c r="S758" s="22">
        <v>7.3739999999999997</v>
      </c>
      <c r="T758" s="22">
        <v>8.2270000000000003</v>
      </c>
      <c r="U758" s="4">
        <v>8.0030000000000001</v>
      </c>
      <c r="V758" s="22">
        <v>8.032</v>
      </c>
      <c r="W758" s="22">
        <v>7.9219999999999997</v>
      </c>
      <c r="X758" s="22">
        <v>7.9269999999999996</v>
      </c>
      <c r="Y758" s="22">
        <v>7.9589999999999996</v>
      </c>
      <c r="Z758" s="1">
        <v>7.8650000000000002</v>
      </c>
      <c r="AA758" s="1">
        <v>7.8540000000000001</v>
      </c>
      <c r="AB758" s="22">
        <v>8.1170000000000009</v>
      </c>
      <c r="AC758" s="22">
        <v>8.0370000000000008</v>
      </c>
      <c r="AD758" s="22">
        <v>7.8159999999999998</v>
      </c>
      <c r="AE758" s="1">
        <v>7.9359999999999999</v>
      </c>
      <c r="AF758" s="1">
        <v>7.4420000000000002</v>
      </c>
      <c r="AG758" s="1">
        <v>8.2590000000000003</v>
      </c>
      <c r="AH758" s="6">
        <f t="shared" si="84"/>
        <v>7.8505000000000003</v>
      </c>
      <c r="AI758" s="11"/>
      <c r="AJ758" s="11"/>
      <c r="AK758" s="11"/>
      <c r="AL758" s="11"/>
      <c r="AM758" s="11"/>
      <c r="AN758" s="11"/>
      <c r="AO758" s="11"/>
      <c r="AP758" s="3"/>
      <c r="AQ758" s="8"/>
    </row>
    <row r="759" spans="1:43">
      <c r="A759" s="1">
        <f t="shared" si="81"/>
        <v>757</v>
      </c>
      <c r="B759" s="19"/>
      <c r="C759" s="1">
        <v>6</v>
      </c>
      <c r="D759" s="4">
        <f t="shared" si="80"/>
        <v>69</v>
      </c>
      <c r="E759" s="4" t="s">
        <v>143</v>
      </c>
      <c r="F759" s="4">
        <v>3</v>
      </c>
      <c r="G759" s="4" t="s">
        <v>11</v>
      </c>
      <c r="H759" s="4" t="s">
        <v>17</v>
      </c>
      <c r="I759" s="4"/>
      <c r="J759" s="5">
        <v>98.5</v>
      </c>
      <c r="K759" s="70"/>
      <c r="L759" s="38">
        <v>4.3029999999999999</v>
      </c>
      <c r="M759" s="127" t="s">
        <v>110</v>
      </c>
      <c r="N759" s="1" t="s">
        <v>13</v>
      </c>
      <c r="O759" s="22">
        <v>4.3109999999999999</v>
      </c>
      <c r="P759" s="1" t="s">
        <v>7</v>
      </c>
      <c r="Q759" s="3" t="s">
        <v>205</v>
      </c>
      <c r="R759" s="22">
        <v>4.6580000000000004</v>
      </c>
      <c r="S759" s="22">
        <v>4.5339999999999998</v>
      </c>
      <c r="T759" s="22">
        <v>4.5289999999999999</v>
      </c>
      <c r="U759" s="22">
        <v>3.88</v>
      </c>
      <c r="V759" s="22">
        <v>4.1539999999999999</v>
      </c>
      <c r="W759" s="11"/>
      <c r="X759" s="11"/>
      <c r="Y759" s="11"/>
      <c r="Z759" s="22">
        <v>4.3330000000000002</v>
      </c>
      <c r="AA759" s="11"/>
      <c r="AB759" s="6">
        <v>4.4939999999999998</v>
      </c>
      <c r="AC759" s="6">
        <v>4.4870000000000001</v>
      </c>
      <c r="AD759" s="6">
        <v>4.5019999999999998</v>
      </c>
      <c r="AE759" s="6">
        <v>4.3769999999999998</v>
      </c>
      <c r="AF759" s="6">
        <v>4.53</v>
      </c>
      <c r="AG759" s="22">
        <v>4.0609999999999999</v>
      </c>
      <c r="AH759" s="6">
        <f t="shared" ref="AH759:AH766" si="85">IF((AF759&lt;&gt;0)*AND(AG759&lt;&gt;0),AVERAGE(AF759:AG759),"")</f>
        <v>4.2955000000000005</v>
      </c>
      <c r="AI759" s="7">
        <v>3.98</v>
      </c>
      <c r="AJ759" s="7">
        <v>4.4000000000000004</v>
      </c>
      <c r="AK759" s="7">
        <v>4.0599999999999996</v>
      </c>
      <c r="AL759" s="7">
        <v>4.29</v>
      </c>
      <c r="AM759" s="7">
        <v>4.22</v>
      </c>
      <c r="AN759" s="7">
        <v>4.62</v>
      </c>
      <c r="AO759" s="7">
        <v>4.5999999999999996</v>
      </c>
      <c r="AP759" s="3"/>
      <c r="AQ759" s="8"/>
    </row>
    <row r="760" spans="1:43">
      <c r="A760" s="1">
        <f t="shared" si="81"/>
        <v>758</v>
      </c>
      <c r="B760" s="19"/>
      <c r="C760" s="1">
        <v>6</v>
      </c>
      <c r="D760" s="4">
        <f t="shared" si="80"/>
        <v>69</v>
      </c>
      <c r="E760" s="4" t="s">
        <v>129</v>
      </c>
      <c r="F760" s="4">
        <v>3</v>
      </c>
      <c r="G760" s="4" t="s">
        <v>11</v>
      </c>
      <c r="H760" s="4" t="s">
        <v>12</v>
      </c>
      <c r="I760" s="4"/>
      <c r="J760" s="5">
        <v>97</v>
      </c>
      <c r="K760" s="70"/>
      <c r="L760" s="38">
        <v>4.4550000000000001</v>
      </c>
      <c r="M760" s="127" t="s">
        <v>110</v>
      </c>
      <c r="N760" s="1" t="s">
        <v>13</v>
      </c>
      <c r="O760" s="22">
        <v>4.4629999999999992</v>
      </c>
      <c r="P760" s="1" t="s">
        <v>7</v>
      </c>
      <c r="Q760" s="3" t="s">
        <v>205</v>
      </c>
      <c r="R760" s="22">
        <v>4.7149999999999999</v>
      </c>
      <c r="S760" s="22">
        <v>4.4809999999999999</v>
      </c>
      <c r="T760" s="22">
        <v>4.7619999999999996</v>
      </c>
      <c r="U760" s="22">
        <v>4.319</v>
      </c>
      <c r="V760" s="22">
        <v>4.585</v>
      </c>
      <c r="W760" s="11"/>
      <c r="X760" s="11"/>
      <c r="Y760" s="11"/>
      <c r="Z760" s="1">
        <v>4.4580000000000002</v>
      </c>
      <c r="AA760" s="11"/>
      <c r="AB760" s="6">
        <v>4.8230000000000004</v>
      </c>
      <c r="AC760" s="6">
        <v>4.8209999999999997</v>
      </c>
      <c r="AD760" s="6">
        <v>4.7080000000000002</v>
      </c>
      <c r="AE760" s="6">
        <v>4.6289999999999996</v>
      </c>
      <c r="AF760" s="6">
        <v>4.47</v>
      </c>
      <c r="AG760" s="6">
        <v>4.4260000000000002</v>
      </c>
      <c r="AH760" s="6">
        <f t="shared" si="85"/>
        <v>4.4480000000000004</v>
      </c>
      <c r="AI760" s="7">
        <v>4.6500000000000004</v>
      </c>
      <c r="AJ760" s="7">
        <v>4.4800000000000004</v>
      </c>
      <c r="AK760" s="7">
        <v>4.21</v>
      </c>
      <c r="AL760" s="7">
        <v>4.57</v>
      </c>
      <c r="AM760" s="7">
        <v>4.55</v>
      </c>
      <c r="AN760" s="7">
        <v>4.5999999999999996</v>
      </c>
      <c r="AO760" s="7">
        <v>4.58</v>
      </c>
      <c r="AP760" s="3"/>
      <c r="AQ760" s="8"/>
    </row>
    <row r="761" spans="1:43">
      <c r="A761" s="1">
        <f t="shared" si="81"/>
        <v>759</v>
      </c>
      <c r="B761" s="19"/>
      <c r="C761" s="1">
        <v>6</v>
      </c>
      <c r="D761" s="4">
        <f t="shared" si="80"/>
        <v>69</v>
      </c>
      <c r="E761" s="4" t="s">
        <v>142</v>
      </c>
      <c r="F761" s="4">
        <v>3</v>
      </c>
      <c r="G761" s="4" t="s">
        <v>11</v>
      </c>
      <c r="H761" s="4" t="s">
        <v>17</v>
      </c>
      <c r="I761" s="4"/>
      <c r="J761" s="5">
        <v>97.3</v>
      </c>
      <c r="K761" s="70"/>
      <c r="L761" s="38">
        <v>4.785000000000001</v>
      </c>
      <c r="M761" s="127" t="s">
        <v>110</v>
      </c>
      <c r="N761" s="1" t="s">
        <v>13</v>
      </c>
      <c r="O761" s="22">
        <v>4.7830000000000004</v>
      </c>
      <c r="P761" s="1" t="s">
        <v>7</v>
      </c>
      <c r="Q761" s="3" t="s">
        <v>205</v>
      </c>
      <c r="R761" s="22">
        <v>5.0750000000000002</v>
      </c>
      <c r="S761" s="6">
        <v>4.984</v>
      </c>
      <c r="T761" s="4">
        <v>5.0780000000000003</v>
      </c>
      <c r="U761" s="22">
        <v>4.7080000000000002</v>
      </c>
      <c r="V761" s="4">
        <v>4.8280000000000003</v>
      </c>
      <c r="W761" s="11"/>
      <c r="X761" s="11"/>
      <c r="Y761" s="11"/>
      <c r="Z761" s="1">
        <v>4.7930000000000001</v>
      </c>
      <c r="AA761" s="11"/>
      <c r="AB761" s="6">
        <v>4.931</v>
      </c>
      <c r="AC761" s="6">
        <v>4.9370000000000003</v>
      </c>
      <c r="AD761" s="6">
        <v>4.9539999999999997</v>
      </c>
      <c r="AE761" s="6">
        <v>4.7640000000000002</v>
      </c>
      <c r="AF761" s="6">
        <v>4.9770000000000003</v>
      </c>
      <c r="AG761" s="6">
        <v>4.49</v>
      </c>
      <c r="AH761" s="6">
        <f t="shared" si="85"/>
        <v>4.7335000000000003</v>
      </c>
      <c r="AI761" s="7">
        <v>4.83</v>
      </c>
      <c r="AJ761" s="7">
        <v>4.8600000000000003</v>
      </c>
      <c r="AK761" s="7">
        <v>4.53</v>
      </c>
      <c r="AL761" s="7">
        <v>4.8099999999999996</v>
      </c>
      <c r="AM761" s="7">
        <v>4.74</v>
      </c>
      <c r="AN761" s="7">
        <v>4.91</v>
      </c>
      <c r="AO761" s="7">
        <v>4.88</v>
      </c>
      <c r="AP761" s="3"/>
      <c r="AQ761" s="8"/>
    </row>
    <row r="762" spans="1:43">
      <c r="A762" s="1">
        <f t="shared" si="81"/>
        <v>760</v>
      </c>
      <c r="B762" s="19"/>
      <c r="C762" s="1">
        <v>6</v>
      </c>
      <c r="D762" s="4">
        <f t="shared" si="80"/>
        <v>69</v>
      </c>
      <c r="E762" s="4" t="s">
        <v>143</v>
      </c>
      <c r="F762" s="4">
        <v>3</v>
      </c>
      <c r="G762" s="4" t="s">
        <v>11</v>
      </c>
      <c r="H762" s="4" t="s">
        <v>17</v>
      </c>
      <c r="I762" s="4"/>
      <c r="J762" s="5">
        <v>97.1</v>
      </c>
      <c r="K762" s="70"/>
      <c r="L762" s="37">
        <v>5.0360000000000005</v>
      </c>
      <c r="M762" s="127" t="s">
        <v>110</v>
      </c>
      <c r="N762" s="1" t="s">
        <v>13</v>
      </c>
      <c r="O762" s="22">
        <v>5.0379999999999994</v>
      </c>
      <c r="P762" s="1" t="s">
        <v>7</v>
      </c>
      <c r="Q762" s="3" t="s">
        <v>205</v>
      </c>
      <c r="R762" s="22">
        <v>5.3259999999999996</v>
      </c>
      <c r="S762" s="6">
        <v>5.2939999999999996</v>
      </c>
      <c r="T762" s="4">
        <v>5.3659999999999997</v>
      </c>
      <c r="U762" s="22">
        <v>4.9720000000000004</v>
      </c>
      <c r="V762" s="4">
        <v>5.109</v>
      </c>
      <c r="W762" s="11"/>
      <c r="X762" s="11"/>
      <c r="Y762" s="11"/>
      <c r="Z762" s="1">
        <v>5.0460000000000003</v>
      </c>
      <c r="AA762" s="11"/>
      <c r="AB762" s="6">
        <v>5.1740000000000004</v>
      </c>
      <c r="AC762" s="6">
        <v>5.1829999999999998</v>
      </c>
      <c r="AD762" s="6">
        <v>5.2210000000000001</v>
      </c>
      <c r="AE762" s="6">
        <v>5.008</v>
      </c>
      <c r="AF762" s="6">
        <v>5.2770000000000001</v>
      </c>
      <c r="AG762" s="6">
        <v>4.7510000000000003</v>
      </c>
      <c r="AH762" s="6">
        <f t="shared" si="85"/>
        <v>5.0140000000000002</v>
      </c>
      <c r="AI762" s="7">
        <v>5.1100000000000003</v>
      </c>
      <c r="AJ762" s="7">
        <v>5.09</v>
      </c>
      <c r="AK762" s="7">
        <v>4.63</v>
      </c>
      <c r="AL762" s="7">
        <v>5.09</v>
      </c>
      <c r="AM762" s="7">
        <v>5.0199999999999996</v>
      </c>
      <c r="AN762" s="7">
        <v>5.22</v>
      </c>
      <c r="AO762" s="7">
        <v>5.19</v>
      </c>
      <c r="AP762" s="3"/>
      <c r="AQ762" s="8"/>
    </row>
    <row r="763" spans="1:43">
      <c r="A763" s="1">
        <f t="shared" si="81"/>
        <v>761</v>
      </c>
      <c r="B763" s="19"/>
      <c r="C763" s="1">
        <v>6</v>
      </c>
      <c r="D763" s="4">
        <f t="shared" si="80"/>
        <v>69</v>
      </c>
      <c r="E763" s="4" t="s">
        <v>130</v>
      </c>
      <c r="F763" s="4">
        <v>3</v>
      </c>
      <c r="G763" s="4" t="s">
        <v>11</v>
      </c>
      <c r="H763" s="4" t="s">
        <v>12</v>
      </c>
      <c r="I763" s="4"/>
      <c r="J763" s="5">
        <v>95.8</v>
      </c>
      <c r="K763" s="70"/>
      <c r="L763" s="38">
        <v>5.3419999999999996</v>
      </c>
      <c r="M763" s="127" t="s">
        <v>110</v>
      </c>
      <c r="N763" s="1" t="s">
        <v>13</v>
      </c>
      <c r="O763" s="22">
        <v>5.3530000000000006</v>
      </c>
      <c r="P763" s="1" t="s">
        <v>7</v>
      </c>
      <c r="Q763" s="3"/>
      <c r="R763" s="22">
        <v>5.3559999999999999</v>
      </c>
      <c r="S763" s="22">
        <v>5.2380000000000004</v>
      </c>
      <c r="T763" s="4">
        <v>5.7089999999999996</v>
      </c>
      <c r="U763" s="22">
        <v>5.4249999999999998</v>
      </c>
      <c r="V763" s="1">
        <v>5.5789999999999997</v>
      </c>
      <c r="W763" s="11"/>
      <c r="X763" s="11"/>
      <c r="Y763" s="11"/>
      <c r="Z763" s="1">
        <v>5.3540000000000001</v>
      </c>
      <c r="AA763" s="11"/>
      <c r="AB763" s="6">
        <v>5.65</v>
      </c>
      <c r="AC763" s="6">
        <v>5.6539999999999999</v>
      </c>
      <c r="AD763" s="6">
        <v>5.5149999999999997</v>
      </c>
      <c r="AE763" s="6">
        <v>5.4160000000000004</v>
      </c>
      <c r="AF763" s="6">
        <v>5.23</v>
      </c>
      <c r="AG763" s="22">
        <v>5.625</v>
      </c>
      <c r="AH763" s="6">
        <f t="shared" si="85"/>
        <v>5.4275000000000002</v>
      </c>
      <c r="AI763" s="7">
        <v>5.94</v>
      </c>
      <c r="AJ763" s="7">
        <v>5.33</v>
      </c>
      <c r="AK763" s="7">
        <v>4.96</v>
      </c>
      <c r="AL763" s="7">
        <v>5.53</v>
      </c>
      <c r="AM763" s="7">
        <v>5.51</v>
      </c>
      <c r="AN763" s="7">
        <v>5.37</v>
      </c>
      <c r="AO763" s="7">
        <v>5.33</v>
      </c>
      <c r="AP763" s="3"/>
      <c r="AQ763" s="8"/>
    </row>
    <row r="764" spans="1:43">
      <c r="A764" s="1">
        <f t="shared" si="81"/>
        <v>762</v>
      </c>
      <c r="B764" s="19"/>
      <c r="C764" s="1">
        <v>6</v>
      </c>
      <c r="D764" s="4">
        <f t="shared" si="80"/>
        <v>69</v>
      </c>
      <c r="E764" s="4" t="s">
        <v>142</v>
      </c>
      <c r="F764" s="4">
        <v>3</v>
      </c>
      <c r="G764" s="4" t="s">
        <v>11</v>
      </c>
      <c r="H764" s="4" t="s">
        <v>17</v>
      </c>
      <c r="I764" s="4"/>
      <c r="J764" s="5">
        <v>97.7</v>
      </c>
      <c r="K764" s="70"/>
      <c r="L764" s="37">
        <v>6.2409999999999997</v>
      </c>
      <c r="M764" s="127" t="s">
        <v>110</v>
      </c>
      <c r="N764" s="1" t="s">
        <v>13</v>
      </c>
      <c r="O764" s="22">
        <v>6.2400000000000011</v>
      </c>
      <c r="P764" s="1" t="s">
        <v>7</v>
      </c>
      <c r="Q764" s="3"/>
      <c r="R764" s="22">
        <v>6.4029999999999996</v>
      </c>
      <c r="S764" s="22">
        <v>6.39</v>
      </c>
      <c r="T764" s="4">
        <v>6.4340000000000002</v>
      </c>
      <c r="U764" s="22">
        <v>6.24</v>
      </c>
      <c r="V764" s="1">
        <v>6.258</v>
      </c>
      <c r="W764" s="11"/>
      <c r="X764" s="11"/>
      <c r="Y764" s="11"/>
      <c r="Z764" s="1">
        <v>6.2489999999999997</v>
      </c>
      <c r="AA764" s="11"/>
      <c r="AB764" s="6">
        <v>6.4329999999999998</v>
      </c>
      <c r="AC764" s="6">
        <v>6.4669999999999996</v>
      </c>
      <c r="AD764" s="6">
        <v>6.4409999999999998</v>
      </c>
      <c r="AE764" s="6">
        <v>6.274</v>
      </c>
      <c r="AF764" s="6">
        <v>6.3520000000000003</v>
      </c>
      <c r="AG764" s="6">
        <v>5.9580000000000002</v>
      </c>
      <c r="AH764" s="6">
        <f t="shared" si="85"/>
        <v>6.1550000000000002</v>
      </c>
      <c r="AI764" s="7">
        <v>6.93</v>
      </c>
      <c r="AJ764" s="7">
        <v>6.4</v>
      </c>
      <c r="AK764" s="7">
        <v>5.99</v>
      </c>
      <c r="AL764" s="7">
        <v>6.43</v>
      </c>
      <c r="AM764" s="7">
        <v>6.35</v>
      </c>
      <c r="AN764" s="7">
        <v>6.37</v>
      </c>
      <c r="AO764" s="7">
        <v>6.29</v>
      </c>
      <c r="AP764" s="3"/>
      <c r="AQ764" s="8"/>
    </row>
    <row r="765" spans="1:43">
      <c r="A765" s="1">
        <f t="shared" si="81"/>
        <v>763</v>
      </c>
      <c r="B765" s="19"/>
      <c r="C765" s="1">
        <v>6</v>
      </c>
      <c r="D765" s="4">
        <f t="shared" si="80"/>
        <v>69</v>
      </c>
      <c r="E765" s="4" t="s">
        <v>143</v>
      </c>
      <c r="F765" s="4">
        <v>3</v>
      </c>
      <c r="G765" s="4" t="s">
        <v>14</v>
      </c>
      <c r="H765" s="4" t="s">
        <v>15</v>
      </c>
      <c r="I765" s="4"/>
      <c r="J765" s="5">
        <v>95.9</v>
      </c>
      <c r="K765" s="70"/>
      <c r="L765" s="37">
        <v>6.6999999999999993</v>
      </c>
      <c r="M765" s="127" t="s">
        <v>110</v>
      </c>
      <c r="N765" s="1" t="s">
        <v>13</v>
      </c>
      <c r="O765" s="22">
        <v>6.7389999999999981</v>
      </c>
      <c r="P765" s="1" t="s">
        <v>7</v>
      </c>
      <c r="Q765" s="3"/>
      <c r="R765" s="73">
        <v>7.4329999999999998</v>
      </c>
      <c r="S765" s="22">
        <v>6.2160000000000002</v>
      </c>
      <c r="T765" s="4">
        <v>7.0609999999999999</v>
      </c>
      <c r="U765" s="22">
        <v>6.6950000000000003</v>
      </c>
      <c r="V765" s="1">
        <v>6.8869999999999996</v>
      </c>
      <c r="W765" s="11"/>
      <c r="X765" s="11"/>
      <c r="Y765" s="11"/>
      <c r="Z765" s="22">
        <v>6.71</v>
      </c>
      <c r="AA765" s="11"/>
      <c r="AB765" s="6">
        <v>7.0010000000000003</v>
      </c>
      <c r="AC765" s="6">
        <v>6.9260000000000002</v>
      </c>
      <c r="AD765" s="6">
        <v>6.6929999999999996</v>
      </c>
      <c r="AE765" s="6">
        <v>6.8220000000000001</v>
      </c>
      <c r="AF765" s="6">
        <v>6.2850000000000001</v>
      </c>
      <c r="AG765" s="6">
        <v>7.0910000000000002</v>
      </c>
      <c r="AH765" s="6">
        <f t="shared" ref="AH765" si="86">IF((AF765&lt;&gt;0)*AND(AG765&lt;&gt;0),AVERAGE(AF765:AG765),"")</f>
        <v>6.6880000000000006</v>
      </c>
      <c r="AI765" s="11"/>
      <c r="AJ765" s="11"/>
      <c r="AK765" s="11"/>
      <c r="AL765" s="11"/>
      <c r="AM765" s="11"/>
      <c r="AN765" s="11"/>
      <c r="AO765" s="11"/>
      <c r="AP765" s="3"/>
      <c r="AQ765" s="8"/>
    </row>
    <row r="766" spans="1:43">
      <c r="A766" s="1">
        <f t="shared" si="81"/>
        <v>764</v>
      </c>
      <c r="B766" s="19"/>
      <c r="C766" s="1">
        <v>6</v>
      </c>
      <c r="D766" s="4">
        <f t="shared" si="80"/>
        <v>69</v>
      </c>
      <c r="E766" s="4" t="s">
        <v>130</v>
      </c>
      <c r="F766" s="4">
        <v>3</v>
      </c>
      <c r="G766" s="4" t="s">
        <v>14</v>
      </c>
      <c r="H766" s="4" t="s">
        <v>22</v>
      </c>
      <c r="I766" s="4"/>
      <c r="J766" s="5">
        <v>97.7</v>
      </c>
      <c r="K766" s="70"/>
      <c r="L766" s="37">
        <v>6.7609999999999992</v>
      </c>
      <c r="M766" s="127" t="s">
        <v>110</v>
      </c>
      <c r="N766" s="1" t="s">
        <v>13</v>
      </c>
      <c r="O766" s="22">
        <v>6.7849999999999984</v>
      </c>
      <c r="P766" s="1" t="s">
        <v>7</v>
      </c>
      <c r="Q766" s="3"/>
      <c r="R766" s="22">
        <v>6.851</v>
      </c>
      <c r="S766" s="22">
        <v>6.7450000000000001</v>
      </c>
      <c r="T766" s="1">
        <v>7.0190000000000001</v>
      </c>
      <c r="U766" s="22">
        <v>6.8090000000000002</v>
      </c>
      <c r="V766" s="1">
        <v>6.8070000000000004</v>
      </c>
      <c r="W766" s="11"/>
      <c r="X766" s="11"/>
      <c r="Y766" s="11"/>
      <c r="Z766" s="22">
        <v>6.76</v>
      </c>
      <c r="AA766" s="11"/>
      <c r="AB766" s="6">
        <v>6.8879999999999999</v>
      </c>
      <c r="AC766" s="6">
        <v>6.8419999999999996</v>
      </c>
      <c r="AD766" s="6">
        <v>6.81</v>
      </c>
      <c r="AE766" s="6">
        <v>6.7779999999999996</v>
      </c>
      <c r="AF766" s="6">
        <v>6.7889999999999997</v>
      </c>
      <c r="AG766" s="6">
        <v>6.59</v>
      </c>
      <c r="AH766" s="6">
        <f t="shared" si="85"/>
        <v>6.6894999999999998</v>
      </c>
      <c r="AI766" s="11"/>
      <c r="AJ766" s="11"/>
      <c r="AK766" s="11"/>
      <c r="AL766" s="11"/>
      <c r="AM766" s="11"/>
      <c r="AN766" s="11"/>
      <c r="AO766" s="11"/>
      <c r="AP766" s="3"/>
      <c r="AQ766" s="8"/>
    </row>
    <row r="767" spans="1:43">
      <c r="A767" s="1">
        <f t="shared" si="81"/>
        <v>765</v>
      </c>
      <c r="B767" s="2" t="s">
        <v>257</v>
      </c>
      <c r="C767" s="1">
        <v>6</v>
      </c>
      <c r="D767" s="4">
        <f t="shared" si="80"/>
        <v>69</v>
      </c>
      <c r="E767" s="4" t="s">
        <v>137</v>
      </c>
      <c r="F767" s="4">
        <v>1</v>
      </c>
      <c r="G767" s="4" t="s">
        <v>11</v>
      </c>
      <c r="H767" s="4" t="s">
        <v>17</v>
      </c>
      <c r="I767" s="4"/>
      <c r="J767" s="5">
        <v>87.2</v>
      </c>
      <c r="K767" s="63">
        <v>7.3999999999999996E-2</v>
      </c>
      <c r="L767" s="37">
        <v>5.17</v>
      </c>
      <c r="M767" s="127" t="s">
        <v>212</v>
      </c>
      <c r="N767" s="1" t="s">
        <v>13</v>
      </c>
      <c r="O767" s="46"/>
      <c r="P767" s="11"/>
      <c r="Q767" s="3"/>
      <c r="R767" s="79">
        <v>5.4560000000000004</v>
      </c>
      <c r="S767" s="79">
        <v>5.3959999999999999</v>
      </c>
      <c r="T767" s="79">
        <v>5.5359999999999996</v>
      </c>
      <c r="U767" s="79">
        <v>4.984</v>
      </c>
      <c r="V767" s="76">
        <v>5.327</v>
      </c>
      <c r="W767" s="79">
        <v>5.2530000000000001</v>
      </c>
      <c r="X767" s="79">
        <v>5.25</v>
      </c>
      <c r="Y767" s="79">
        <v>5.2320000000000002</v>
      </c>
      <c r="Z767" s="22">
        <v>5.2060000000000004</v>
      </c>
      <c r="AA767" s="22">
        <v>5.1959999999999997</v>
      </c>
      <c r="AB767" s="79">
        <v>5.1630000000000003</v>
      </c>
      <c r="AC767" s="79">
        <v>5.1840000000000002</v>
      </c>
      <c r="AD767" s="79">
        <v>5.2560000000000002</v>
      </c>
      <c r="AE767" s="79">
        <v>4.9450000000000003</v>
      </c>
      <c r="AF767" s="79">
        <v>5.5359999999999996</v>
      </c>
      <c r="AG767" s="79">
        <v>5.0640000000000001</v>
      </c>
      <c r="AH767" s="22">
        <f t="shared" ref="AH767:AH772" si="87">SUM(AF767:AG767)/2</f>
        <v>5.3</v>
      </c>
      <c r="AI767" s="11"/>
      <c r="AJ767" s="11"/>
      <c r="AK767" s="11"/>
      <c r="AL767" s="11"/>
      <c r="AM767" s="11"/>
      <c r="AN767" s="11"/>
      <c r="AO767" s="11"/>
      <c r="AP767" s="3"/>
      <c r="AQ767" s="8"/>
    </row>
    <row r="768" spans="1:43">
      <c r="A768" s="1">
        <f t="shared" si="81"/>
        <v>766</v>
      </c>
      <c r="B768" s="19"/>
      <c r="C768" s="1">
        <v>6</v>
      </c>
      <c r="D768" s="4">
        <f t="shared" si="80"/>
        <v>69</v>
      </c>
      <c r="E768" s="4" t="s">
        <v>118</v>
      </c>
      <c r="F768" s="4">
        <v>1</v>
      </c>
      <c r="G768" s="4" t="s">
        <v>11</v>
      </c>
      <c r="H768" s="4" t="s">
        <v>17</v>
      </c>
      <c r="I768" s="4"/>
      <c r="J768" s="5">
        <v>87.8</v>
      </c>
      <c r="K768" s="63">
        <v>1.0999999999999999E-2</v>
      </c>
      <c r="L768" s="37">
        <v>6.3040000000000003</v>
      </c>
      <c r="M768" s="127" t="s">
        <v>212</v>
      </c>
      <c r="N768" s="1" t="s">
        <v>13</v>
      </c>
      <c r="O768" s="46"/>
      <c r="P768" s="11"/>
      <c r="Q768" s="3"/>
      <c r="R768" s="79">
        <v>6.6420000000000003</v>
      </c>
      <c r="S768" s="79">
        <v>6.4619999999999997</v>
      </c>
      <c r="T768" s="79">
        <v>6.6589999999999998</v>
      </c>
      <c r="U768" s="79">
        <v>6.3220000000000001</v>
      </c>
      <c r="V768" s="76">
        <v>6.5110000000000001</v>
      </c>
      <c r="W768" s="79">
        <v>6.4279999999999999</v>
      </c>
      <c r="X768" s="79">
        <v>6.415</v>
      </c>
      <c r="Y768" s="79">
        <v>6.383</v>
      </c>
      <c r="Z768" s="22">
        <v>6.34</v>
      </c>
      <c r="AA768" s="22">
        <v>6.3440000000000003</v>
      </c>
      <c r="AB768" s="79">
        <v>6.2809999999999997</v>
      </c>
      <c r="AC768" s="79">
        <v>6.3239999999999998</v>
      </c>
      <c r="AD768" s="79">
        <v>6.3689999999999998</v>
      </c>
      <c r="AE768" s="79">
        <v>6.077</v>
      </c>
      <c r="AF768" s="79">
        <v>6.3959999999999999</v>
      </c>
      <c r="AG768" s="79">
        <v>6.14</v>
      </c>
      <c r="AH768" s="22">
        <f t="shared" si="87"/>
        <v>6.2679999999999998</v>
      </c>
      <c r="AI768" s="11"/>
      <c r="AJ768" s="11"/>
      <c r="AK768" s="11"/>
      <c r="AL768" s="11"/>
      <c r="AM768" s="11"/>
      <c r="AN768" s="11"/>
      <c r="AO768" s="11"/>
      <c r="AP768" s="3"/>
      <c r="AQ768" s="8"/>
    </row>
    <row r="769" spans="1:43">
      <c r="A769" s="1">
        <f t="shared" si="81"/>
        <v>767</v>
      </c>
      <c r="B769" s="19"/>
      <c r="C769" s="1">
        <v>6</v>
      </c>
      <c r="D769" s="4">
        <f t="shared" si="80"/>
        <v>69</v>
      </c>
      <c r="E769" s="4" t="s">
        <v>128</v>
      </c>
      <c r="F769" s="4">
        <v>1</v>
      </c>
      <c r="G769" s="4" t="s">
        <v>11</v>
      </c>
      <c r="H769" s="4" t="s">
        <v>140</v>
      </c>
      <c r="I769" s="4"/>
      <c r="J769" s="5">
        <v>90.7</v>
      </c>
      <c r="K769" s="63">
        <v>3.0000000000000001E-3</v>
      </c>
      <c r="L769" s="37">
        <v>7.5300000000000011</v>
      </c>
      <c r="M769" s="127" t="s">
        <v>212</v>
      </c>
      <c r="N769" s="1" t="s">
        <v>13</v>
      </c>
      <c r="O769" s="46"/>
      <c r="P769" s="11"/>
      <c r="Q769" s="3"/>
      <c r="R769" s="79">
        <v>7.766</v>
      </c>
      <c r="S769" s="79">
        <v>7.64</v>
      </c>
      <c r="T769" s="79">
        <v>7.8390000000000004</v>
      </c>
      <c r="U769" s="79">
        <v>7.4809999999999999</v>
      </c>
      <c r="V769" s="76">
        <v>7.7190000000000003</v>
      </c>
      <c r="W769" s="79">
        <v>7.593</v>
      </c>
      <c r="X769" s="79">
        <v>7.5919999999999996</v>
      </c>
      <c r="Y769" s="79">
        <v>7.5970000000000004</v>
      </c>
      <c r="Z769" s="22">
        <v>7.54</v>
      </c>
      <c r="AA769" s="22">
        <v>7.5410000000000004</v>
      </c>
      <c r="AB769" s="79">
        <v>7.9569999999999999</v>
      </c>
      <c r="AC769" s="79">
        <v>7.931</v>
      </c>
      <c r="AD769" s="79">
        <v>7.835</v>
      </c>
      <c r="AE769" s="79">
        <v>7.7530000000000001</v>
      </c>
      <c r="AF769" s="79">
        <v>7.6639999999999997</v>
      </c>
      <c r="AG769" s="79">
        <v>7.4119999999999999</v>
      </c>
      <c r="AH769" s="22">
        <f t="shared" si="87"/>
        <v>7.5380000000000003</v>
      </c>
      <c r="AI769" s="11"/>
      <c r="AJ769" s="11"/>
      <c r="AK769" s="11"/>
      <c r="AL769" s="11"/>
      <c r="AM769" s="11"/>
      <c r="AN769" s="11"/>
      <c r="AO769" s="11"/>
      <c r="AP769" s="3"/>
      <c r="AQ769" s="8"/>
    </row>
    <row r="770" spans="1:43">
      <c r="A770" s="1">
        <f t="shared" si="81"/>
        <v>768</v>
      </c>
      <c r="B770" s="19"/>
      <c r="C770" s="1">
        <v>6</v>
      </c>
      <c r="D770" s="4">
        <f t="shared" si="80"/>
        <v>69</v>
      </c>
      <c r="E770" s="4" t="s">
        <v>118</v>
      </c>
      <c r="F770" s="4">
        <v>1</v>
      </c>
      <c r="G770" s="4" t="s">
        <v>11</v>
      </c>
      <c r="H770" s="4" t="s">
        <v>17</v>
      </c>
      <c r="I770" s="4"/>
      <c r="J770" s="5">
        <v>90.2</v>
      </c>
      <c r="K770" s="63">
        <v>0.51800000000000002</v>
      </c>
      <c r="L770" s="37">
        <v>7.484</v>
      </c>
      <c r="M770" s="127" t="s">
        <v>212</v>
      </c>
      <c r="N770" s="1" t="s">
        <v>13</v>
      </c>
      <c r="O770" s="46"/>
      <c r="P770" s="11"/>
      <c r="Q770" s="3"/>
      <c r="R770" s="79">
        <v>7.7</v>
      </c>
      <c r="S770" s="79">
        <v>7.681</v>
      </c>
      <c r="T770" s="79">
        <v>7.9029999999999996</v>
      </c>
      <c r="U770" s="46"/>
      <c r="V770" s="76">
        <v>7.7910000000000004</v>
      </c>
      <c r="W770" s="79">
        <v>7.5880000000000001</v>
      </c>
      <c r="X770" s="79">
        <v>7.55</v>
      </c>
      <c r="Y770" s="79">
        <v>7.5839999999999996</v>
      </c>
      <c r="Z770" s="22">
        <v>7.5129999999999999</v>
      </c>
      <c r="AA770" s="22">
        <v>7.5350000000000001</v>
      </c>
      <c r="AB770" s="79">
        <v>7.7519999999999998</v>
      </c>
      <c r="AC770" s="79">
        <v>7.7839999999999998</v>
      </c>
      <c r="AD770" s="79">
        <v>7.7519999999999998</v>
      </c>
      <c r="AE770" s="79">
        <v>7.5720000000000001</v>
      </c>
      <c r="AF770" s="79">
        <v>7.6509999999999998</v>
      </c>
      <c r="AG770" s="79">
        <v>7.3289999999999997</v>
      </c>
      <c r="AH770" s="22">
        <f t="shared" si="87"/>
        <v>7.49</v>
      </c>
      <c r="AI770" s="11"/>
      <c r="AJ770" s="11"/>
      <c r="AK770" s="11"/>
      <c r="AL770" s="11"/>
      <c r="AM770" s="11"/>
      <c r="AN770" s="11"/>
      <c r="AO770" s="11"/>
      <c r="AP770" s="3"/>
      <c r="AQ770" s="8"/>
    </row>
    <row r="771" spans="1:43">
      <c r="A771" s="1">
        <f t="shared" si="81"/>
        <v>769</v>
      </c>
      <c r="B771" s="19"/>
      <c r="C771" s="1">
        <v>6</v>
      </c>
      <c r="D771" s="4">
        <f t="shared" si="80"/>
        <v>69</v>
      </c>
      <c r="E771" s="4" t="s">
        <v>137</v>
      </c>
      <c r="F771" s="4">
        <v>1</v>
      </c>
      <c r="G771" s="4" t="s">
        <v>11</v>
      </c>
      <c r="H771" s="4" t="s">
        <v>17</v>
      </c>
      <c r="I771" s="4"/>
      <c r="J771" s="5">
        <v>85.1</v>
      </c>
      <c r="K771" s="63">
        <v>0.376</v>
      </c>
      <c r="L771" s="37">
        <v>7.5169999999999995</v>
      </c>
      <c r="M771" s="127" t="s">
        <v>212</v>
      </c>
      <c r="N771" s="1" t="s">
        <v>13</v>
      </c>
      <c r="O771" s="46"/>
      <c r="P771" s="11"/>
      <c r="Q771" s="3"/>
      <c r="R771" s="79">
        <v>7.7590000000000003</v>
      </c>
      <c r="S771" s="79">
        <v>7.7069999999999999</v>
      </c>
      <c r="T771" s="79">
        <v>7.9859999999999998</v>
      </c>
      <c r="U771" s="46"/>
      <c r="V771" s="76">
        <v>7.87</v>
      </c>
      <c r="W771" s="79">
        <v>7.6630000000000003</v>
      </c>
      <c r="X771" s="79">
        <v>7.6269999999999998</v>
      </c>
      <c r="Y771" s="79">
        <v>7.6470000000000002</v>
      </c>
      <c r="Z771" s="22">
        <v>7.5620000000000003</v>
      </c>
      <c r="AA771" s="22">
        <v>7.569</v>
      </c>
      <c r="AB771" s="79">
        <v>7.7949999999999999</v>
      </c>
      <c r="AC771" s="79">
        <v>7.8280000000000003</v>
      </c>
      <c r="AD771" s="79">
        <v>7.7880000000000003</v>
      </c>
      <c r="AE771" s="79">
        <v>7.5890000000000004</v>
      </c>
      <c r="AF771" s="79">
        <v>7.6529999999999996</v>
      </c>
      <c r="AG771" s="79">
        <v>7.5750000000000002</v>
      </c>
      <c r="AH771" s="22">
        <f t="shared" si="87"/>
        <v>7.6139999999999999</v>
      </c>
      <c r="AI771" s="11"/>
      <c r="AJ771" s="11"/>
      <c r="AK771" s="11"/>
      <c r="AL771" s="11"/>
      <c r="AM771" s="11"/>
      <c r="AN771" s="11"/>
      <c r="AO771" s="11"/>
      <c r="AP771" s="3"/>
      <c r="AQ771" s="8"/>
    </row>
    <row r="772" spans="1:43">
      <c r="A772" s="1">
        <f t="shared" si="81"/>
        <v>770</v>
      </c>
      <c r="B772" s="19"/>
      <c r="C772" s="1">
        <v>6</v>
      </c>
      <c r="D772" s="4">
        <f t="shared" ref="D772:D835" si="88">_xlfn.SWITCH(C772,1,12,2,12,3,35,4,35,5,35,6,69,7,69,8,69,9,69,1016)</f>
        <v>69</v>
      </c>
      <c r="E772" s="4" t="s">
        <v>131</v>
      </c>
      <c r="F772" s="4">
        <v>1</v>
      </c>
      <c r="G772" s="4" t="s">
        <v>11</v>
      </c>
      <c r="H772" s="4" t="s">
        <v>140</v>
      </c>
      <c r="I772" s="4"/>
      <c r="J772" s="5">
        <v>90.2</v>
      </c>
      <c r="K772" s="70"/>
      <c r="L772" s="37">
        <v>7.6859999999999999</v>
      </c>
      <c r="M772" s="127" t="s">
        <v>212</v>
      </c>
      <c r="N772" s="1" t="s">
        <v>13</v>
      </c>
      <c r="O772" s="46"/>
      <c r="P772" s="11"/>
      <c r="Q772" s="3"/>
      <c r="R772" s="79">
        <v>7.8860000000000001</v>
      </c>
      <c r="S772" s="79">
        <v>7.7690000000000001</v>
      </c>
      <c r="T772" s="79">
        <v>7.9770000000000003</v>
      </c>
      <c r="U772" s="79">
        <v>7.6529999999999996</v>
      </c>
      <c r="V772" s="79">
        <v>7.8810000000000002</v>
      </c>
      <c r="W772" s="79">
        <v>7.7469999999999999</v>
      </c>
      <c r="X772" s="79">
        <v>7.7450000000000001</v>
      </c>
      <c r="Y772" s="79">
        <v>7.7549999999999999</v>
      </c>
      <c r="Z772" s="79">
        <v>7.6950000000000003</v>
      </c>
      <c r="AA772" s="1">
        <v>7.694</v>
      </c>
      <c r="AB772" s="79">
        <v>8.1199999999999992</v>
      </c>
      <c r="AC772" s="79">
        <v>8.1159999999999997</v>
      </c>
      <c r="AD772" s="79">
        <v>8.0020000000000007</v>
      </c>
      <c r="AE772" s="79">
        <v>7.9119999999999999</v>
      </c>
      <c r="AF772" s="79">
        <v>7.77</v>
      </c>
      <c r="AG772" s="79">
        <v>7.7450000000000001</v>
      </c>
      <c r="AH772" s="22">
        <f t="shared" si="87"/>
        <v>7.7575000000000003</v>
      </c>
      <c r="AI772" s="11"/>
      <c r="AJ772" s="11"/>
      <c r="AK772" s="11"/>
      <c r="AL772" s="11"/>
      <c r="AM772" s="11"/>
      <c r="AN772" s="11"/>
      <c r="AO772" s="11"/>
      <c r="AP772" s="3"/>
      <c r="AQ772" s="8"/>
    </row>
    <row r="773" spans="1:43">
      <c r="A773" s="1">
        <f t="shared" si="81"/>
        <v>771</v>
      </c>
      <c r="B773" s="2" t="s">
        <v>47</v>
      </c>
      <c r="C773" s="1">
        <v>6</v>
      </c>
      <c r="D773" s="4">
        <f t="shared" si="88"/>
        <v>69</v>
      </c>
      <c r="E773" s="4" t="s">
        <v>128</v>
      </c>
      <c r="F773" s="4">
        <v>1</v>
      </c>
      <c r="G773" s="4" t="s">
        <v>11</v>
      </c>
      <c r="H773" s="4" t="s">
        <v>12</v>
      </c>
      <c r="I773" s="4"/>
      <c r="J773" s="5">
        <v>88.6</v>
      </c>
      <c r="K773" s="63">
        <v>5.0000000000000001E-3</v>
      </c>
      <c r="L773" s="38">
        <v>4.4509999999999996</v>
      </c>
      <c r="M773" s="127" t="s">
        <v>212</v>
      </c>
      <c r="N773" s="1" t="s">
        <v>13</v>
      </c>
      <c r="O773" s="22">
        <v>4.4539999999999997</v>
      </c>
      <c r="P773" s="1" t="s">
        <v>7</v>
      </c>
      <c r="Q773" s="3" t="s">
        <v>205</v>
      </c>
      <c r="R773" s="6">
        <v>4.5720000000000001</v>
      </c>
      <c r="S773" s="6">
        <v>4.4050000000000002</v>
      </c>
      <c r="T773" s="6">
        <v>4.8479999999999999</v>
      </c>
      <c r="U773" s="22">
        <v>4.3869999999999996</v>
      </c>
      <c r="V773" s="6">
        <v>4.665</v>
      </c>
      <c r="W773" s="6">
        <v>4.5140000000000002</v>
      </c>
      <c r="X773" s="6">
        <v>4.5140000000000002</v>
      </c>
      <c r="Y773" s="6">
        <v>4.5129999999999999</v>
      </c>
      <c r="Z773" s="6">
        <v>4.4429999999999996</v>
      </c>
      <c r="AA773" s="73">
        <v>4.4470000000000001</v>
      </c>
      <c r="AB773" s="6">
        <v>4.7370000000000001</v>
      </c>
      <c r="AC773" s="6">
        <v>4.7510000000000003</v>
      </c>
      <c r="AD773" s="6">
        <v>4.6360000000000001</v>
      </c>
      <c r="AE773" s="6">
        <v>4.5019999999999998</v>
      </c>
      <c r="AF773" s="6">
        <v>4.3739999999999997</v>
      </c>
      <c r="AG773" s="6">
        <v>4.5430000000000001</v>
      </c>
      <c r="AH773" s="6">
        <f t="shared" si="72"/>
        <v>4.4584999999999999</v>
      </c>
      <c r="AI773" s="7">
        <v>4.8499999999999996</v>
      </c>
      <c r="AJ773" s="7">
        <v>4.4400000000000004</v>
      </c>
      <c r="AK773" s="7">
        <v>4.07</v>
      </c>
      <c r="AL773" s="7">
        <v>4.58</v>
      </c>
      <c r="AM773" s="7">
        <v>4.55</v>
      </c>
      <c r="AN773" s="7">
        <v>4.5999999999999996</v>
      </c>
      <c r="AO773" s="7">
        <v>4.55</v>
      </c>
      <c r="AP773" s="3"/>
      <c r="AQ773" s="8"/>
    </row>
    <row r="774" spans="1:43">
      <c r="A774" s="1">
        <f t="shared" si="81"/>
        <v>772</v>
      </c>
      <c r="B774" s="19"/>
      <c r="C774" s="1">
        <v>6</v>
      </c>
      <c r="D774" s="4">
        <f t="shared" si="88"/>
        <v>69</v>
      </c>
      <c r="E774" s="4" t="s">
        <v>131</v>
      </c>
      <c r="F774" s="4">
        <v>1</v>
      </c>
      <c r="G774" s="4" t="s">
        <v>11</v>
      </c>
      <c r="H774" s="4" t="s">
        <v>12</v>
      </c>
      <c r="I774" s="4"/>
      <c r="J774" s="5">
        <v>88.5</v>
      </c>
      <c r="K774" s="70"/>
      <c r="L774" s="38">
        <v>4.8689999999999998</v>
      </c>
      <c r="M774" s="127" t="s">
        <v>212</v>
      </c>
      <c r="N774" s="1" t="s">
        <v>13</v>
      </c>
      <c r="O774" s="22">
        <v>4.8780000000000001</v>
      </c>
      <c r="P774" s="1" t="s">
        <v>7</v>
      </c>
      <c r="Q774" s="3" t="s">
        <v>205</v>
      </c>
      <c r="R774" s="6">
        <v>4.9710000000000001</v>
      </c>
      <c r="S774" s="6">
        <v>4.7690000000000001</v>
      </c>
      <c r="T774" s="6">
        <v>5.2069999999999999</v>
      </c>
      <c r="U774" s="22">
        <v>4.8520000000000003</v>
      </c>
      <c r="V774" s="6">
        <v>5.0720000000000001</v>
      </c>
      <c r="W774" s="6">
        <v>4.9160000000000004</v>
      </c>
      <c r="X774" s="6">
        <v>4.9169999999999998</v>
      </c>
      <c r="Y774" s="6">
        <v>4.9379999999999997</v>
      </c>
      <c r="Z774" s="6">
        <v>4.8620000000000001</v>
      </c>
      <c r="AA774" s="73">
        <v>4.8609999999999998</v>
      </c>
      <c r="AB774" s="6">
        <v>5.077</v>
      </c>
      <c r="AC774" s="6">
        <v>5.1070000000000002</v>
      </c>
      <c r="AD774" s="6">
        <v>4.9950000000000001</v>
      </c>
      <c r="AE774" s="6">
        <v>4.8339999999999996</v>
      </c>
      <c r="AF774" s="6">
        <v>4.7300000000000004</v>
      </c>
      <c r="AG774" s="6">
        <v>5.0640000000000001</v>
      </c>
      <c r="AH774" s="6">
        <f t="shared" si="72"/>
        <v>4.8970000000000002</v>
      </c>
      <c r="AI774" s="7">
        <v>5.52</v>
      </c>
      <c r="AJ774" s="7">
        <v>4.8</v>
      </c>
      <c r="AK774" s="7">
        <v>4.3600000000000003</v>
      </c>
      <c r="AL774" s="7">
        <v>5.0199999999999996</v>
      </c>
      <c r="AM774" s="7">
        <v>5</v>
      </c>
      <c r="AN774" s="7">
        <v>4.9000000000000004</v>
      </c>
      <c r="AO774" s="7">
        <v>4.84</v>
      </c>
      <c r="AP774" s="3"/>
      <c r="AQ774" s="8"/>
    </row>
    <row r="775" spans="1:43">
      <c r="A775" s="1">
        <f t="shared" si="81"/>
        <v>773</v>
      </c>
      <c r="B775" s="19"/>
      <c r="C775" s="1">
        <v>6</v>
      </c>
      <c r="D775" s="4">
        <f t="shared" si="88"/>
        <v>69</v>
      </c>
      <c r="E775" s="4" t="s">
        <v>137</v>
      </c>
      <c r="F775" s="4">
        <v>1</v>
      </c>
      <c r="G775" s="4" t="s">
        <v>11</v>
      </c>
      <c r="H775" s="4" t="s">
        <v>17</v>
      </c>
      <c r="I775" s="4"/>
      <c r="J775" s="5">
        <v>86.3</v>
      </c>
      <c r="K775" s="63">
        <v>2.8000000000000001E-2</v>
      </c>
      <c r="L775" s="38">
        <v>5.3650000000000002</v>
      </c>
      <c r="M775" s="127" t="s">
        <v>212</v>
      </c>
      <c r="N775" s="1" t="s">
        <v>13</v>
      </c>
      <c r="O775" s="22">
        <v>5.3630000000000004</v>
      </c>
      <c r="P775" s="1" t="s">
        <v>7</v>
      </c>
      <c r="Q775" s="3" t="s">
        <v>205</v>
      </c>
      <c r="R775" s="6">
        <v>5.5780000000000003</v>
      </c>
      <c r="S775" s="6">
        <v>5.5380000000000003</v>
      </c>
      <c r="T775" s="6">
        <v>5.8129999999999997</v>
      </c>
      <c r="U775" s="22">
        <v>5.1210000000000004</v>
      </c>
      <c r="V775" s="6">
        <v>5.53</v>
      </c>
      <c r="W775" s="6">
        <v>5.46</v>
      </c>
      <c r="X775" s="6">
        <v>5.4660000000000002</v>
      </c>
      <c r="Y775" s="6">
        <v>5.4359999999999999</v>
      </c>
      <c r="Z775" s="6">
        <v>5.4059999999999997</v>
      </c>
      <c r="AA775" s="73">
        <v>5.3849999999999998</v>
      </c>
      <c r="AB775" s="6">
        <v>5.2939999999999996</v>
      </c>
      <c r="AC775" s="6">
        <v>5.3010000000000002</v>
      </c>
      <c r="AD775" s="6">
        <v>5.38</v>
      </c>
      <c r="AE775" s="6">
        <v>5.0549999999999997</v>
      </c>
      <c r="AF775" s="6">
        <v>5.516</v>
      </c>
      <c r="AG775" s="6">
        <v>5.3339999999999996</v>
      </c>
      <c r="AH775" s="6">
        <f t="shared" si="72"/>
        <v>5.4249999999999998</v>
      </c>
      <c r="AI775" s="7">
        <v>5.28</v>
      </c>
      <c r="AJ775" s="7">
        <v>5.42</v>
      </c>
      <c r="AK775" s="7">
        <v>4.9800000000000004</v>
      </c>
      <c r="AL775" s="7">
        <v>5.41</v>
      </c>
      <c r="AM775" s="7">
        <v>5.36</v>
      </c>
      <c r="AN775" s="7">
        <v>5.55</v>
      </c>
      <c r="AO775" s="7">
        <v>5.53</v>
      </c>
      <c r="AP775" s="3"/>
      <c r="AQ775" s="8"/>
    </row>
    <row r="776" spans="1:43">
      <c r="A776" s="1">
        <f t="shared" si="81"/>
        <v>774</v>
      </c>
      <c r="B776" s="19"/>
      <c r="C776" s="1">
        <v>6</v>
      </c>
      <c r="D776" s="4">
        <f t="shared" si="88"/>
        <v>69</v>
      </c>
      <c r="E776" s="4" t="s">
        <v>131</v>
      </c>
      <c r="F776" s="4">
        <v>1</v>
      </c>
      <c r="G776" s="4" t="s">
        <v>11</v>
      </c>
      <c r="H776" s="4" t="s">
        <v>12</v>
      </c>
      <c r="I776" s="4"/>
      <c r="J776" s="5">
        <v>86.7</v>
      </c>
      <c r="K776" s="70"/>
      <c r="L776" s="38">
        <v>5.923</v>
      </c>
      <c r="M776" s="127" t="s">
        <v>212</v>
      </c>
      <c r="N776" s="1" t="s">
        <v>13</v>
      </c>
      <c r="O776" s="22">
        <v>5.9219999999999997</v>
      </c>
      <c r="P776" s="1" t="s">
        <v>7</v>
      </c>
      <c r="Q776" s="3" t="s">
        <v>205</v>
      </c>
      <c r="R776" s="6">
        <v>6.0629999999999997</v>
      </c>
      <c r="S776" s="6">
        <v>5.9640000000000004</v>
      </c>
      <c r="T776" s="6">
        <v>6.3550000000000004</v>
      </c>
      <c r="U776" s="22">
        <v>5.9249999999999998</v>
      </c>
      <c r="V776" s="6">
        <v>6.1970000000000001</v>
      </c>
      <c r="W776" s="6">
        <v>6.0330000000000004</v>
      </c>
      <c r="X776" s="6">
        <v>6.0270000000000001</v>
      </c>
      <c r="Y776" s="6">
        <v>6.0179999999999998</v>
      </c>
      <c r="Z776" s="6">
        <v>5.93</v>
      </c>
      <c r="AA776" s="81">
        <v>5.9340000000000002</v>
      </c>
      <c r="AB776" s="6">
        <v>6.2880000000000003</v>
      </c>
      <c r="AC776" s="6">
        <v>6.3040000000000003</v>
      </c>
      <c r="AD776" s="6">
        <v>6.1929999999999996</v>
      </c>
      <c r="AE776" s="6">
        <v>6.0540000000000003</v>
      </c>
      <c r="AF776" s="6">
        <v>5.9320000000000004</v>
      </c>
      <c r="AG776" s="6">
        <v>6.08</v>
      </c>
      <c r="AH776" s="6">
        <f t="shared" si="72"/>
        <v>6.0060000000000002</v>
      </c>
      <c r="AI776" s="7">
        <v>6.7</v>
      </c>
      <c r="AJ776" s="7">
        <v>5.92</v>
      </c>
      <c r="AK776" s="7">
        <v>5.32</v>
      </c>
      <c r="AL776" s="7">
        <v>6.16</v>
      </c>
      <c r="AM776" s="7">
        <v>6.1</v>
      </c>
      <c r="AN776" s="7">
        <v>6.1</v>
      </c>
      <c r="AO776" s="7">
        <v>6.02</v>
      </c>
      <c r="AP776" s="3"/>
      <c r="AQ776" s="8"/>
    </row>
    <row r="777" spans="1:43">
      <c r="A777" s="1">
        <f t="shared" si="81"/>
        <v>775</v>
      </c>
      <c r="B777" s="19"/>
      <c r="C777" s="1">
        <v>6</v>
      </c>
      <c r="D777" s="4">
        <f t="shared" si="88"/>
        <v>69</v>
      </c>
      <c r="E777" s="4" t="s">
        <v>128</v>
      </c>
      <c r="F777" s="4">
        <v>1</v>
      </c>
      <c r="G777" s="4" t="s">
        <v>11</v>
      </c>
      <c r="H777" s="4" t="s">
        <v>12</v>
      </c>
      <c r="I777" s="4"/>
      <c r="J777" s="5">
        <v>86.7</v>
      </c>
      <c r="K777" s="63">
        <v>5.0000000000000001E-3</v>
      </c>
      <c r="L777" s="38">
        <v>6.2510000000000003</v>
      </c>
      <c r="M777" s="127" t="s">
        <v>212</v>
      </c>
      <c r="N777" s="1" t="s">
        <v>13</v>
      </c>
      <c r="O777" s="22">
        <v>6.2560000000000002</v>
      </c>
      <c r="P777" s="1" t="s">
        <v>7</v>
      </c>
      <c r="Q777" s="3" t="s">
        <v>205</v>
      </c>
      <c r="R777" s="6">
        <v>7.2249999999999996</v>
      </c>
      <c r="S777" s="6">
        <v>6.2530000000000001</v>
      </c>
      <c r="T777" s="6">
        <v>6.6509999999999998</v>
      </c>
      <c r="U777" s="22">
        <v>6.3129999999999997</v>
      </c>
      <c r="V777" s="6">
        <v>6.5359999999999996</v>
      </c>
      <c r="W777" s="6">
        <v>6.3449999999999998</v>
      </c>
      <c r="X777" s="6">
        <v>6.3440000000000003</v>
      </c>
      <c r="Y777" s="6">
        <v>6.3559999999999999</v>
      </c>
      <c r="Z777" s="6">
        <v>6.2619999999999996</v>
      </c>
      <c r="AA777" s="73">
        <v>6.26</v>
      </c>
      <c r="AB777" s="6">
        <v>6.5579999999999998</v>
      </c>
      <c r="AC777" s="6">
        <v>6.5839999999999996</v>
      </c>
      <c r="AD777" s="6">
        <v>6.4740000000000002</v>
      </c>
      <c r="AE777" s="6">
        <v>6.3159999999999998</v>
      </c>
      <c r="AF777" s="6">
        <v>6.2149999999999999</v>
      </c>
      <c r="AG777" s="6">
        <v>6.5229999999999997</v>
      </c>
      <c r="AH777" s="6">
        <f t="shared" si="72"/>
        <v>6.3689999999999998</v>
      </c>
      <c r="AI777" s="7">
        <v>7.2</v>
      </c>
      <c r="AJ777" s="7">
        <v>6.31</v>
      </c>
      <c r="AK777" s="7">
        <v>5.65</v>
      </c>
      <c r="AL777" s="7">
        <v>6.58</v>
      </c>
      <c r="AM777" s="7">
        <v>6.53</v>
      </c>
      <c r="AN777" s="7">
        <v>6.49</v>
      </c>
      <c r="AO777" s="7">
        <v>6.4</v>
      </c>
      <c r="AP777" s="3"/>
      <c r="AQ777" s="8"/>
    </row>
    <row r="778" spans="1:43">
      <c r="A778" s="1">
        <f t="shared" si="81"/>
        <v>776</v>
      </c>
      <c r="B778" s="19"/>
      <c r="C778" s="1">
        <v>6</v>
      </c>
      <c r="D778" s="4">
        <f t="shared" si="88"/>
        <v>69</v>
      </c>
      <c r="E778" s="4" t="s">
        <v>137</v>
      </c>
      <c r="F778" s="4">
        <v>1</v>
      </c>
      <c r="G778" s="4" t="s">
        <v>14</v>
      </c>
      <c r="H778" s="4" t="s">
        <v>15</v>
      </c>
      <c r="I778" s="4"/>
      <c r="J778" s="5">
        <v>90.3</v>
      </c>
      <c r="K778" s="63">
        <v>5.0000000000000001E-3</v>
      </c>
      <c r="L778" s="38">
        <v>6.7389999999999999</v>
      </c>
      <c r="M778" s="127" t="s">
        <v>212</v>
      </c>
      <c r="N778" s="1" t="s">
        <v>13</v>
      </c>
      <c r="O778" s="22">
        <v>6.7809999999999997</v>
      </c>
      <c r="P778" s="1" t="s">
        <v>7</v>
      </c>
      <c r="Q778" s="3" t="s">
        <v>205</v>
      </c>
      <c r="R778" s="6">
        <v>6.2309999999999999</v>
      </c>
      <c r="S778" s="6">
        <v>6.2</v>
      </c>
      <c r="T778" s="6">
        <v>7.048</v>
      </c>
      <c r="U778" s="22">
        <v>6.9080000000000004</v>
      </c>
      <c r="V778" s="6">
        <v>6.8789999999999996</v>
      </c>
      <c r="W778" s="6">
        <v>6.7690000000000001</v>
      </c>
      <c r="X778" s="6">
        <v>6.7729999999999997</v>
      </c>
      <c r="Y778" s="6">
        <v>6.81</v>
      </c>
      <c r="Z778" s="6">
        <v>6.72</v>
      </c>
      <c r="AA778" s="73">
        <v>6.7080000000000002</v>
      </c>
      <c r="AB778" s="6">
        <v>6.9569999999999999</v>
      </c>
      <c r="AC778" s="6">
        <v>6.899</v>
      </c>
      <c r="AD778" s="6">
        <v>6.6680000000000001</v>
      </c>
      <c r="AE778" s="6">
        <v>6.7720000000000002</v>
      </c>
      <c r="AF778" s="6">
        <v>6.2510000000000003</v>
      </c>
      <c r="AG778" s="6">
        <v>7.1150000000000002</v>
      </c>
      <c r="AH778" s="6">
        <f t="shared" si="72"/>
        <v>6.6829999999999998</v>
      </c>
      <c r="AI778" s="7">
        <v>6.86</v>
      </c>
      <c r="AJ778" s="7">
        <v>6.85</v>
      </c>
      <c r="AK778" s="7">
        <v>6.5</v>
      </c>
      <c r="AL778" s="7">
        <v>6.89</v>
      </c>
      <c r="AM778" s="7">
        <v>6.86</v>
      </c>
      <c r="AN778" s="7">
        <v>6.83</v>
      </c>
      <c r="AO778" s="7">
        <v>6.77</v>
      </c>
      <c r="AP778" s="3"/>
      <c r="AQ778" s="8"/>
    </row>
    <row r="779" spans="1:43">
      <c r="A779" s="1">
        <f t="shared" si="81"/>
        <v>777</v>
      </c>
      <c r="B779" s="19"/>
      <c r="C779" s="1">
        <v>6</v>
      </c>
      <c r="D779" s="4">
        <f t="shared" si="88"/>
        <v>69</v>
      </c>
      <c r="E779" s="4" t="s">
        <v>118</v>
      </c>
      <c r="F779" s="4">
        <v>1</v>
      </c>
      <c r="G779" s="4" t="s">
        <v>11</v>
      </c>
      <c r="H779" s="4" t="s">
        <v>17</v>
      </c>
      <c r="I779" s="4"/>
      <c r="J779" s="5">
        <v>91.5</v>
      </c>
      <c r="K779" s="63">
        <v>3.5999999999999997E-2</v>
      </c>
      <c r="L779" s="38">
        <v>6.86</v>
      </c>
      <c r="M779" s="127" t="s">
        <v>212</v>
      </c>
      <c r="N779" s="1" t="s">
        <v>13</v>
      </c>
      <c r="O779" s="22">
        <v>6.851</v>
      </c>
      <c r="P779" s="1" t="s">
        <v>7</v>
      </c>
      <c r="Q779" s="3" t="s">
        <v>205</v>
      </c>
      <c r="R779" s="6">
        <v>7.0679999999999996</v>
      </c>
      <c r="S779" s="6">
        <v>6.9790000000000001</v>
      </c>
      <c r="T779" s="6">
        <v>7.1260000000000003</v>
      </c>
      <c r="U779" s="22">
        <v>6.9370000000000003</v>
      </c>
      <c r="V779" s="6">
        <v>6.9690000000000003</v>
      </c>
      <c r="W779" s="6">
        <v>6.9320000000000004</v>
      </c>
      <c r="X779" s="6">
        <v>6.9119999999999999</v>
      </c>
      <c r="Y779" s="6">
        <v>6.8949999999999996</v>
      </c>
      <c r="Z779" s="6">
        <v>6.8719999999999999</v>
      </c>
      <c r="AA779" s="22">
        <v>6.88</v>
      </c>
      <c r="AB779" s="6">
        <v>6.8129999999999997</v>
      </c>
      <c r="AC779" s="6">
        <v>6.8710000000000004</v>
      </c>
      <c r="AD779" s="6">
        <v>6.8929999999999998</v>
      </c>
      <c r="AE779" s="6">
        <v>6.63</v>
      </c>
      <c r="AF779" s="6">
        <v>6.8280000000000003</v>
      </c>
      <c r="AG779" s="6">
        <v>6.5209999999999999</v>
      </c>
      <c r="AH779" s="6">
        <f t="shared" si="72"/>
        <v>6.6745000000000001</v>
      </c>
      <c r="AI779" s="7">
        <v>7.69</v>
      </c>
      <c r="AJ779" s="7">
        <v>7.31</v>
      </c>
      <c r="AK779" s="7">
        <v>6.94</v>
      </c>
      <c r="AL779" s="7">
        <v>7.29</v>
      </c>
      <c r="AM779" s="7">
        <v>7.22</v>
      </c>
      <c r="AN779" s="7">
        <v>7.21</v>
      </c>
      <c r="AO779" s="7">
        <v>7.11</v>
      </c>
      <c r="AP779" s="3"/>
      <c r="AQ779" s="8"/>
    </row>
    <row r="780" spans="1:43">
      <c r="A780" s="1">
        <f t="shared" ref="A780:A854" si="89">A779+1</f>
        <v>778</v>
      </c>
      <c r="B780" s="19"/>
      <c r="C780" s="1">
        <v>6</v>
      </c>
      <c r="D780" s="4">
        <f t="shared" si="88"/>
        <v>69</v>
      </c>
      <c r="E780" s="4" t="s">
        <v>118</v>
      </c>
      <c r="F780" s="4">
        <v>1</v>
      </c>
      <c r="G780" s="4" t="s">
        <v>14</v>
      </c>
      <c r="H780" s="4" t="s">
        <v>16</v>
      </c>
      <c r="I780" s="4"/>
      <c r="J780" s="5">
        <v>90.5</v>
      </c>
      <c r="K780" s="63">
        <v>0.13100000000000001</v>
      </c>
      <c r="L780" s="38">
        <v>7.4429999999999996</v>
      </c>
      <c r="M780" s="127" t="s">
        <v>212</v>
      </c>
      <c r="N780" s="1" t="s">
        <v>13</v>
      </c>
      <c r="O780" s="22">
        <v>7.4630000000000001</v>
      </c>
      <c r="P780" s="1" t="s">
        <v>7</v>
      </c>
      <c r="Q780" s="3"/>
      <c r="R780" s="6">
        <v>6.95</v>
      </c>
      <c r="S780" s="6">
        <v>6.8380000000000001</v>
      </c>
      <c r="T780" s="6">
        <v>7.7229999999999999</v>
      </c>
      <c r="U780" s="6">
        <v>7.516</v>
      </c>
      <c r="V780" s="6">
        <v>7.5609999999999999</v>
      </c>
      <c r="W780" s="6">
        <v>7.4649999999999999</v>
      </c>
      <c r="X780" s="6">
        <v>7.47</v>
      </c>
      <c r="Y780" s="6">
        <v>7.5010000000000003</v>
      </c>
      <c r="Z780" s="6">
        <v>7.4240000000000004</v>
      </c>
      <c r="AA780" s="73">
        <v>7.4119999999999999</v>
      </c>
      <c r="AB780" s="6">
        <v>7.5789999999999997</v>
      </c>
      <c r="AC780" s="6">
        <v>7.5369999999999999</v>
      </c>
      <c r="AD780" s="6">
        <v>7.3280000000000003</v>
      </c>
      <c r="AE780" s="6">
        <v>7.3949999999999996</v>
      </c>
      <c r="AF780" s="6">
        <v>6.9560000000000004</v>
      </c>
      <c r="AG780" s="6">
        <v>7.8019999999999996</v>
      </c>
      <c r="AH780" s="6">
        <f t="shared" si="72"/>
        <v>7.3789999999999996</v>
      </c>
      <c r="AI780" s="11"/>
      <c r="AJ780" s="11"/>
      <c r="AK780" s="11"/>
      <c r="AL780" s="11"/>
      <c r="AM780" s="11"/>
      <c r="AN780" s="11"/>
      <c r="AO780" s="11"/>
      <c r="AP780" s="3"/>
      <c r="AQ780" s="8"/>
    </row>
    <row r="781" spans="1:43">
      <c r="A781" s="1">
        <f t="shared" si="89"/>
        <v>779</v>
      </c>
      <c r="B781" s="19"/>
      <c r="C781" s="1">
        <v>6</v>
      </c>
      <c r="D781" s="4">
        <f t="shared" si="88"/>
        <v>69</v>
      </c>
      <c r="E781" s="4" t="s">
        <v>128</v>
      </c>
      <c r="F781" s="4">
        <v>1</v>
      </c>
      <c r="G781" s="4" t="s">
        <v>14</v>
      </c>
      <c r="H781" s="4" t="s">
        <v>15</v>
      </c>
      <c r="I781" s="4"/>
      <c r="J781" s="5">
        <v>93.6</v>
      </c>
      <c r="K781" s="63">
        <v>1.6E-2</v>
      </c>
      <c r="L781" s="38">
        <v>7.4740000000000002</v>
      </c>
      <c r="M781" s="127" t="s">
        <v>212</v>
      </c>
      <c r="N781" s="1" t="s">
        <v>13</v>
      </c>
      <c r="O781" s="22">
        <v>7.4989999999999997</v>
      </c>
      <c r="P781" s="1" t="s">
        <v>7</v>
      </c>
      <c r="Q781" s="3"/>
      <c r="R781" s="6">
        <v>7.5270000000000001</v>
      </c>
      <c r="S781" s="6">
        <v>7.4610000000000003</v>
      </c>
      <c r="T781" s="6">
        <v>7.7240000000000002</v>
      </c>
      <c r="U781" s="6">
        <v>7.5810000000000004</v>
      </c>
      <c r="V781" s="6">
        <v>7.5220000000000002</v>
      </c>
      <c r="W781" s="6">
        <v>7.484</v>
      </c>
      <c r="X781" s="6">
        <v>7.4889999999999999</v>
      </c>
      <c r="Y781" s="6">
        <v>7.4820000000000002</v>
      </c>
      <c r="Z781" s="6">
        <v>7.47</v>
      </c>
      <c r="AA781" s="73">
        <v>7.4779999999999998</v>
      </c>
      <c r="AB781" s="6">
        <v>7.56</v>
      </c>
      <c r="AC781" s="6">
        <v>7.5289999999999999</v>
      </c>
      <c r="AD781" s="6">
        <v>7.5069999999999997</v>
      </c>
      <c r="AE781" s="6">
        <v>7.4459999999999997</v>
      </c>
      <c r="AF781" s="6">
        <v>7.484</v>
      </c>
      <c r="AG781" s="6">
        <v>7.2839999999999998</v>
      </c>
      <c r="AH781" s="6">
        <f t="shared" si="72"/>
        <v>7.3840000000000003</v>
      </c>
      <c r="AI781" s="11"/>
      <c r="AJ781" s="11"/>
      <c r="AK781" s="11"/>
      <c r="AL781" s="11"/>
      <c r="AM781" s="11"/>
      <c r="AN781" s="11"/>
      <c r="AO781" s="11"/>
      <c r="AP781" s="3"/>
      <c r="AQ781" s="8"/>
    </row>
    <row r="782" spans="1:43">
      <c r="A782" s="1">
        <f t="shared" si="89"/>
        <v>780</v>
      </c>
      <c r="B782" s="19"/>
      <c r="C782" s="1">
        <v>6</v>
      </c>
      <c r="D782" s="4">
        <f t="shared" si="88"/>
        <v>69</v>
      </c>
      <c r="E782" s="4" t="s">
        <v>129</v>
      </c>
      <c r="F782" s="4">
        <v>3</v>
      </c>
      <c r="G782" s="4" t="s">
        <v>11</v>
      </c>
      <c r="H782" s="4" t="s">
        <v>12</v>
      </c>
      <c r="I782" s="4"/>
      <c r="J782" s="5">
        <v>96.8</v>
      </c>
      <c r="K782" s="70"/>
      <c r="L782" s="38">
        <v>4.0980000000000008</v>
      </c>
      <c r="M782" s="127" t="s">
        <v>110</v>
      </c>
      <c r="N782" s="1" t="s">
        <v>13</v>
      </c>
      <c r="O782" s="22">
        <v>4.107000000000002</v>
      </c>
      <c r="P782" s="1" t="s">
        <v>7</v>
      </c>
      <c r="Q782" s="3" t="s">
        <v>205</v>
      </c>
      <c r="R782" s="6">
        <v>4.3040000000000003</v>
      </c>
      <c r="S782" s="6">
        <v>4.0670000000000002</v>
      </c>
      <c r="T782" s="6">
        <v>4.4420000000000002</v>
      </c>
      <c r="U782" s="6">
        <v>4.0590000000000002</v>
      </c>
      <c r="V782" s="6">
        <v>4.2489999999999997</v>
      </c>
      <c r="W782" s="46"/>
      <c r="X782" s="46"/>
      <c r="Y782" s="46"/>
      <c r="Z782" s="6">
        <v>4.0979999999999999</v>
      </c>
      <c r="AA782" s="46"/>
      <c r="AB782" s="6">
        <v>4.4470000000000001</v>
      </c>
      <c r="AC782" s="6">
        <v>4.4509999999999996</v>
      </c>
      <c r="AD782" s="6">
        <v>4.3230000000000004</v>
      </c>
      <c r="AE782" s="6">
        <v>4.234</v>
      </c>
      <c r="AF782" s="6">
        <v>4.0460000000000003</v>
      </c>
      <c r="AG782" s="6">
        <v>4.1239999999999997</v>
      </c>
      <c r="AH782" s="6">
        <f t="shared" si="72"/>
        <v>4.085</v>
      </c>
      <c r="AI782" s="7">
        <v>4.45</v>
      </c>
      <c r="AJ782" s="7">
        <v>4.05</v>
      </c>
      <c r="AK782" s="7">
        <v>3.67</v>
      </c>
      <c r="AL782" s="7">
        <v>4.2</v>
      </c>
      <c r="AM782" s="7">
        <v>4.18</v>
      </c>
      <c r="AN782" s="7">
        <v>4.21</v>
      </c>
      <c r="AO782" s="7">
        <v>4.17</v>
      </c>
      <c r="AP782" s="3"/>
      <c r="AQ782" s="8"/>
    </row>
    <row r="783" spans="1:43">
      <c r="A783" s="1">
        <f t="shared" si="89"/>
        <v>781</v>
      </c>
      <c r="B783" s="19"/>
      <c r="C783" s="1">
        <v>6</v>
      </c>
      <c r="D783" s="4">
        <f t="shared" si="88"/>
        <v>69</v>
      </c>
      <c r="E783" s="4" t="s">
        <v>143</v>
      </c>
      <c r="F783" s="4">
        <v>3</v>
      </c>
      <c r="G783" s="4" t="s">
        <v>11</v>
      </c>
      <c r="H783" s="4" t="s">
        <v>17</v>
      </c>
      <c r="I783" s="4"/>
      <c r="J783" s="5">
        <v>98.3</v>
      </c>
      <c r="K783" s="70"/>
      <c r="L783" s="45">
        <v>4.5159999999999991</v>
      </c>
      <c r="M783" s="127" t="s">
        <v>110</v>
      </c>
      <c r="N783" s="10" t="s">
        <v>111</v>
      </c>
      <c r="O783" s="22">
        <v>4.5239999999999991</v>
      </c>
      <c r="P783" s="1" t="s">
        <v>7</v>
      </c>
      <c r="Q783" s="3" t="s">
        <v>205</v>
      </c>
      <c r="R783" s="6">
        <v>4.9080000000000004</v>
      </c>
      <c r="S783" s="6">
        <v>4.766</v>
      </c>
      <c r="T783" s="6">
        <v>4.7919999999999998</v>
      </c>
      <c r="U783" s="6">
        <v>4.12</v>
      </c>
      <c r="V783" s="6">
        <v>4.3879999999999999</v>
      </c>
      <c r="W783" s="46"/>
      <c r="X783" s="46"/>
      <c r="Y783" s="46"/>
      <c r="Z783" s="6">
        <v>4.548</v>
      </c>
      <c r="AA783" s="46"/>
      <c r="AB783" s="6">
        <v>4.7649999999999997</v>
      </c>
      <c r="AC783" s="6">
        <v>4.7469999999999999</v>
      </c>
      <c r="AD783" s="6">
        <v>4.7530000000000001</v>
      </c>
      <c r="AE783" s="6">
        <v>4.6390000000000002</v>
      </c>
      <c r="AF783" s="6">
        <v>4.7590000000000003</v>
      </c>
      <c r="AG783" s="6">
        <v>4.2320000000000002</v>
      </c>
      <c r="AH783" s="6">
        <f t="shared" si="72"/>
        <v>4.4954999999999998</v>
      </c>
      <c r="AI783" s="7">
        <v>4.22</v>
      </c>
      <c r="AJ783" s="7">
        <v>4.57</v>
      </c>
      <c r="AK783" s="7">
        <v>4.25</v>
      </c>
      <c r="AL783" s="7">
        <v>4.51</v>
      </c>
      <c r="AM783" s="7">
        <v>4.4400000000000004</v>
      </c>
      <c r="AN783" s="7">
        <v>4.68</v>
      </c>
      <c r="AO783" s="7">
        <v>4.67</v>
      </c>
      <c r="AP783" s="3"/>
      <c r="AQ783" s="8"/>
    </row>
    <row r="784" spans="1:43">
      <c r="A784" s="1">
        <f t="shared" si="89"/>
        <v>782</v>
      </c>
      <c r="B784" s="19"/>
      <c r="C784" s="1">
        <v>6</v>
      </c>
      <c r="D784" s="4">
        <f t="shared" si="88"/>
        <v>69</v>
      </c>
      <c r="E784" s="4" t="s">
        <v>130</v>
      </c>
      <c r="F784" s="4">
        <v>3</v>
      </c>
      <c r="G784" s="4" t="s">
        <v>11</v>
      </c>
      <c r="H784" s="4" t="s">
        <v>12</v>
      </c>
      <c r="I784" s="4"/>
      <c r="J784" s="5">
        <v>96.5</v>
      </c>
      <c r="K784" s="70"/>
      <c r="L784" s="38">
        <v>4.6550000000000002</v>
      </c>
      <c r="M784" s="127" t="s">
        <v>110</v>
      </c>
      <c r="N784" s="1" t="s">
        <v>13</v>
      </c>
      <c r="O784" s="22">
        <v>4.6660000000000004</v>
      </c>
      <c r="P784" s="1" t="s">
        <v>7</v>
      </c>
      <c r="Q784" s="3" t="s">
        <v>205</v>
      </c>
      <c r="R784" s="6">
        <v>5.0140000000000002</v>
      </c>
      <c r="S784" s="6">
        <v>4.6040000000000001</v>
      </c>
      <c r="T784" s="6">
        <v>4.9790000000000001</v>
      </c>
      <c r="U784" s="6">
        <v>4.657</v>
      </c>
      <c r="V784" s="6">
        <v>4.827</v>
      </c>
      <c r="W784" s="46"/>
      <c r="X784" s="46"/>
      <c r="Y784" s="46"/>
      <c r="Z784" s="6">
        <v>4.6609999999999996</v>
      </c>
      <c r="AA784" s="46"/>
      <c r="AB784" s="6">
        <v>4.9669999999999996</v>
      </c>
      <c r="AC784" s="6">
        <v>4.984</v>
      </c>
      <c r="AD784" s="6">
        <v>4.8579999999999997</v>
      </c>
      <c r="AE784" s="6">
        <v>4.7450000000000001</v>
      </c>
      <c r="AF784" s="6">
        <v>4.5750000000000002</v>
      </c>
      <c r="AG784" s="6">
        <v>4.74</v>
      </c>
      <c r="AH784" s="6">
        <f t="shared" si="72"/>
        <v>4.6575000000000006</v>
      </c>
      <c r="AI784" s="7">
        <v>5.2</v>
      </c>
      <c r="AJ784" s="7">
        <v>4.63</v>
      </c>
      <c r="AK784" s="7">
        <v>4.16</v>
      </c>
      <c r="AL784" s="7">
        <v>4.8099999999999996</v>
      </c>
      <c r="AM784" s="7">
        <v>4.78</v>
      </c>
      <c r="AN784" s="7">
        <v>4.76</v>
      </c>
      <c r="AO784" s="7">
        <v>4.72</v>
      </c>
      <c r="AP784" s="3"/>
      <c r="AQ784" s="8"/>
    </row>
    <row r="785" spans="1:43">
      <c r="A785" s="1">
        <f t="shared" si="89"/>
        <v>783</v>
      </c>
      <c r="B785" s="19"/>
      <c r="C785" s="1">
        <v>6</v>
      </c>
      <c r="D785" s="4">
        <f t="shared" si="88"/>
        <v>69</v>
      </c>
      <c r="E785" s="4" t="s">
        <v>142</v>
      </c>
      <c r="F785" s="4">
        <v>3</v>
      </c>
      <c r="G785" s="4" t="s">
        <v>11</v>
      </c>
      <c r="H785" s="4" t="s">
        <v>17</v>
      </c>
      <c r="I785" s="4"/>
      <c r="J785" s="5">
        <v>97.4</v>
      </c>
      <c r="K785" s="70"/>
      <c r="L785" s="38">
        <v>4.9520000000000008</v>
      </c>
      <c r="M785" s="127" t="s">
        <v>110</v>
      </c>
      <c r="N785" s="1" t="s">
        <v>13</v>
      </c>
      <c r="O785" s="22">
        <v>4.9500000000000011</v>
      </c>
      <c r="P785" s="1" t="s">
        <v>7</v>
      </c>
      <c r="Q785" s="3" t="s">
        <v>205</v>
      </c>
      <c r="R785" s="6">
        <v>5.2329999999999997</v>
      </c>
      <c r="S785" s="6">
        <v>5.1740000000000004</v>
      </c>
      <c r="T785" s="6">
        <v>5.24</v>
      </c>
      <c r="U785" s="6">
        <v>4.899</v>
      </c>
      <c r="V785" s="6">
        <v>4.9909999999999997</v>
      </c>
      <c r="W785" s="46"/>
      <c r="X785" s="46"/>
      <c r="Y785" s="46"/>
      <c r="Z785" s="22">
        <v>4.9580000000000002</v>
      </c>
      <c r="AA785" s="46"/>
      <c r="AB785" s="22">
        <v>5.0839999999999996</v>
      </c>
      <c r="AC785" s="22">
        <v>5.101</v>
      </c>
      <c r="AD785" s="6">
        <v>5.1269999999999998</v>
      </c>
      <c r="AE785" s="6">
        <v>4.9189999999999996</v>
      </c>
      <c r="AF785" s="6">
        <v>5.1440000000000001</v>
      </c>
      <c r="AG785" s="6">
        <v>4.6280000000000001</v>
      </c>
      <c r="AH785" s="6">
        <f t="shared" si="72"/>
        <v>4.8860000000000001</v>
      </c>
      <c r="AI785" s="7">
        <v>5.0999999999999996</v>
      </c>
      <c r="AJ785" s="7">
        <v>5.01</v>
      </c>
      <c r="AK785" s="7">
        <v>4.5999999999999996</v>
      </c>
      <c r="AL785" s="7">
        <v>5.03</v>
      </c>
      <c r="AM785" s="7">
        <v>4.97</v>
      </c>
      <c r="AN785" s="7">
        <v>5.05</v>
      </c>
      <c r="AO785" s="7">
        <v>5.01</v>
      </c>
      <c r="AP785" s="3"/>
      <c r="AQ785" s="8"/>
    </row>
    <row r="786" spans="1:43">
      <c r="A786" s="1">
        <f t="shared" si="89"/>
        <v>784</v>
      </c>
      <c r="B786" s="19"/>
      <c r="C786" s="1">
        <v>6</v>
      </c>
      <c r="D786" s="4">
        <f t="shared" si="88"/>
        <v>69</v>
      </c>
      <c r="E786" s="4" t="s">
        <v>143</v>
      </c>
      <c r="F786" s="4">
        <v>3</v>
      </c>
      <c r="G786" s="4" t="s">
        <v>11</v>
      </c>
      <c r="H786" s="4" t="s">
        <v>17</v>
      </c>
      <c r="I786" s="4"/>
      <c r="J786" s="5">
        <v>96.9</v>
      </c>
      <c r="K786" s="70"/>
      <c r="L786" s="38">
        <v>5.3579999999999997</v>
      </c>
      <c r="M786" s="127" t="s">
        <v>110</v>
      </c>
      <c r="N786" s="1" t="s">
        <v>13</v>
      </c>
      <c r="O786" s="22">
        <v>5.3609999999999998</v>
      </c>
      <c r="P786" s="1" t="s">
        <v>7</v>
      </c>
      <c r="Q786" s="3"/>
      <c r="R786" s="6">
        <v>5.6440000000000001</v>
      </c>
      <c r="S786" s="22">
        <v>5.6210000000000004</v>
      </c>
      <c r="T786" s="6">
        <v>5.7439999999999998</v>
      </c>
      <c r="U786" s="6">
        <v>5.35</v>
      </c>
      <c r="V786" s="6">
        <v>5.4470000000000001</v>
      </c>
      <c r="W786" s="46"/>
      <c r="X786" s="46"/>
      <c r="Y786" s="46"/>
      <c r="Z786" s="6">
        <v>5.3730000000000002</v>
      </c>
      <c r="AA786" s="46"/>
      <c r="AB786" s="22">
        <v>5.5510000000000002</v>
      </c>
      <c r="AC786" s="22">
        <v>5.5640000000000001</v>
      </c>
      <c r="AD786" s="6">
        <v>5.5830000000000002</v>
      </c>
      <c r="AE786" s="6">
        <v>5.3689999999999998</v>
      </c>
      <c r="AF786" s="6">
        <v>5.59</v>
      </c>
      <c r="AG786" s="6">
        <v>5.0890000000000004</v>
      </c>
      <c r="AH786" s="6">
        <f t="shared" ref="AH786:AH787" si="90">IF((AF786&lt;&gt;0)*AND(AG786&lt;&gt;0),AVERAGE(AF786:AG786),"")</f>
        <v>5.3395000000000001</v>
      </c>
      <c r="AI786" s="11"/>
      <c r="AJ786" s="11"/>
      <c r="AK786" s="11"/>
      <c r="AL786" s="11"/>
      <c r="AM786" s="11"/>
      <c r="AN786" s="11"/>
      <c r="AO786" s="11"/>
      <c r="AP786" s="3"/>
      <c r="AQ786" s="8"/>
    </row>
    <row r="787" spans="1:43">
      <c r="A787" s="1">
        <f t="shared" si="89"/>
        <v>785</v>
      </c>
      <c r="B787" s="19"/>
      <c r="C787" s="1">
        <v>6</v>
      </c>
      <c r="D787" s="4">
        <f t="shared" si="88"/>
        <v>69</v>
      </c>
      <c r="E787" s="4" t="s">
        <v>130</v>
      </c>
      <c r="F787" s="4">
        <v>3</v>
      </c>
      <c r="G787" s="4" t="s">
        <v>11</v>
      </c>
      <c r="H787" s="4" t="s">
        <v>12</v>
      </c>
      <c r="I787" s="4"/>
      <c r="J787" s="5">
        <v>96.3</v>
      </c>
      <c r="K787" s="70"/>
      <c r="L787" s="38">
        <v>5.5600000000000005</v>
      </c>
      <c r="M787" s="127" t="s">
        <v>110</v>
      </c>
      <c r="N787" s="1" t="s">
        <v>13</v>
      </c>
      <c r="O787" s="22">
        <v>5.5660000000000007</v>
      </c>
      <c r="P787" s="1" t="s">
        <v>7</v>
      </c>
      <c r="Q787" s="3"/>
      <c r="R787" s="6">
        <v>5.4820000000000002</v>
      </c>
      <c r="S787" s="22">
        <v>5.5650000000000004</v>
      </c>
      <c r="T787" s="6">
        <v>5.8979999999999997</v>
      </c>
      <c r="U787" s="6">
        <v>5.5389999999999997</v>
      </c>
      <c r="V787" s="6">
        <v>5.7510000000000003</v>
      </c>
      <c r="W787" s="46"/>
      <c r="X787" s="46"/>
      <c r="Y787" s="46"/>
      <c r="Z787" s="6">
        <v>5.5670000000000002</v>
      </c>
      <c r="AA787" s="46"/>
      <c r="AB787" s="22">
        <v>5.91</v>
      </c>
      <c r="AC787" s="22">
        <v>5.923</v>
      </c>
      <c r="AD787" s="6">
        <v>5.8040000000000003</v>
      </c>
      <c r="AE787" s="6">
        <v>5.694</v>
      </c>
      <c r="AF787" s="6">
        <v>5.5419999999999998</v>
      </c>
      <c r="AG787" s="6">
        <v>5.7060000000000004</v>
      </c>
      <c r="AH787" s="6">
        <f t="shared" si="90"/>
        <v>5.6240000000000006</v>
      </c>
      <c r="AI787" s="11"/>
      <c r="AJ787" s="11"/>
      <c r="AK787" s="11"/>
      <c r="AL787" s="11"/>
      <c r="AM787" s="11"/>
      <c r="AN787" s="11"/>
      <c r="AO787" s="11"/>
      <c r="AP787" s="3"/>
      <c r="AQ787" s="8"/>
    </row>
    <row r="788" spans="1:43">
      <c r="A788" s="1">
        <f t="shared" si="89"/>
        <v>786</v>
      </c>
      <c r="B788" s="2" t="s">
        <v>48</v>
      </c>
      <c r="C788" s="1">
        <v>5</v>
      </c>
      <c r="D788" s="4">
        <f t="shared" si="88"/>
        <v>35</v>
      </c>
      <c r="E788" s="4" t="s">
        <v>131</v>
      </c>
      <c r="F788" s="4">
        <v>1</v>
      </c>
      <c r="G788" s="4" t="s">
        <v>14</v>
      </c>
      <c r="H788" s="4" t="s">
        <v>22</v>
      </c>
      <c r="I788" s="4"/>
      <c r="J788" s="5">
        <v>92.9</v>
      </c>
      <c r="K788" s="70"/>
      <c r="L788" s="38">
        <v>5.2519999999999998</v>
      </c>
      <c r="M788" s="127" t="s">
        <v>203</v>
      </c>
      <c r="N788" s="1" t="s">
        <v>13</v>
      </c>
      <c r="O788" s="22">
        <v>5.2789999999999999</v>
      </c>
      <c r="P788" s="1" t="s">
        <v>7</v>
      </c>
      <c r="Q788" s="3" t="s">
        <v>205</v>
      </c>
      <c r="R788" s="22">
        <v>5.3410000000000002</v>
      </c>
      <c r="S788" s="22">
        <v>5.2249999999999996</v>
      </c>
      <c r="T788" s="22">
        <v>5.5439999999999996</v>
      </c>
      <c r="U788" s="22">
        <v>5.3360000000000003</v>
      </c>
      <c r="V788" s="22">
        <v>5.34</v>
      </c>
      <c r="W788" s="22">
        <v>5.27</v>
      </c>
      <c r="X788" s="22">
        <v>5.2750000000000004</v>
      </c>
      <c r="Y788" s="22">
        <v>5.2610000000000001</v>
      </c>
      <c r="Z788" s="22">
        <v>5.2409999999999997</v>
      </c>
      <c r="AA788" s="22">
        <v>5.242</v>
      </c>
      <c r="AB788" s="22">
        <v>5.4870000000000001</v>
      </c>
      <c r="AC788" s="22">
        <v>5.4249999999999998</v>
      </c>
      <c r="AD788" s="22">
        <v>5.3579999999999997</v>
      </c>
      <c r="AE788" s="22">
        <v>5.3739999999999997</v>
      </c>
      <c r="AF788" s="22">
        <v>5.2960000000000003</v>
      </c>
      <c r="AG788" s="22">
        <v>5.1420000000000003</v>
      </c>
      <c r="AH788" s="22">
        <f t="shared" ref="AH788:AH798" si="91">0.5*(AF788+AG788)</f>
        <v>5.2190000000000003</v>
      </c>
      <c r="AI788" s="7">
        <v>4.49</v>
      </c>
      <c r="AJ788" s="7">
        <v>5.44</v>
      </c>
      <c r="AK788" s="7">
        <v>5.23</v>
      </c>
      <c r="AL788" s="7">
        <v>5.28</v>
      </c>
      <c r="AM788" s="7">
        <v>5.23</v>
      </c>
      <c r="AN788" s="7">
        <v>5.51</v>
      </c>
      <c r="AO788" s="7">
        <v>5.51</v>
      </c>
      <c r="AP788" s="3"/>
      <c r="AQ788" s="8"/>
    </row>
    <row r="789" spans="1:43">
      <c r="A789" s="1">
        <f t="shared" si="89"/>
        <v>787</v>
      </c>
      <c r="B789" s="19"/>
      <c r="C789" s="1">
        <v>5</v>
      </c>
      <c r="D789" s="4">
        <f t="shared" si="88"/>
        <v>35</v>
      </c>
      <c r="E789" s="4" t="s">
        <v>128</v>
      </c>
      <c r="F789" s="4">
        <v>1</v>
      </c>
      <c r="G789" s="4" t="s">
        <v>14</v>
      </c>
      <c r="H789" s="4" t="s">
        <v>170</v>
      </c>
      <c r="I789" s="4"/>
      <c r="J789" s="5">
        <v>92.4</v>
      </c>
      <c r="K789" s="63">
        <v>1.4999999999999999E-2</v>
      </c>
      <c r="L789" s="38">
        <v>5.99</v>
      </c>
      <c r="M789" s="127" t="s">
        <v>203</v>
      </c>
      <c r="N789" s="1" t="s">
        <v>13</v>
      </c>
      <c r="O789" s="22">
        <v>6.0170000000000003</v>
      </c>
      <c r="P789" s="1" t="s">
        <v>7</v>
      </c>
      <c r="Q789" s="3" t="s">
        <v>205</v>
      </c>
      <c r="R789" s="22">
        <v>6.0430000000000001</v>
      </c>
      <c r="S789" s="22">
        <v>5.9089999999999998</v>
      </c>
      <c r="T789" s="22">
        <v>6.2290000000000001</v>
      </c>
      <c r="U789" s="22">
        <v>6.0170000000000003</v>
      </c>
      <c r="V789" s="22">
        <v>6.0380000000000003</v>
      </c>
      <c r="W789" s="22">
        <v>6.0010000000000003</v>
      </c>
      <c r="X789" s="22">
        <v>6.0060000000000002</v>
      </c>
      <c r="Y789" s="22">
        <v>5.9960000000000004</v>
      </c>
      <c r="Z789" s="22">
        <v>5.9820000000000002</v>
      </c>
      <c r="AA789" s="22">
        <v>5.97</v>
      </c>
      <c r="AB789" s="22">
        <v>6.1050000000000004</v>
      </c>
      <c r="AC789" s="22">
        <v>6.0590000000000002</v>
      </c>
      <c r="AD789" s="22">
        <v>6.0090000000000003</v>
      </c>
      <c r="AE789" s="22">
        <v>5.9790000000000001</v>
      </c>
      <c r="AF789" s="22">
        <v>5.9420000000000002</v>
      </c>
      <c r="AG789" s="22">
        <v>5.89</v>
      </c>
      <c r="AH789" s="22">
        <f t="shared" si="91"/>
        <v>5.9160000000000004</v>
      </c>
      <c r="AI789" s="7">
        <v>5.22</v>
      </c>
      <c r="AJ789" s="7">
        <v>6.26</v>
      </c>
      <c r="AK789" s="7">
        <v>6.07</v>
      </c>
      <c r="AL789" s="7">
        <v>6.08</v>
      </c>
      <c r="AM789" s="7">
        <v>6.02</v>
      </c>
      <c r="AN789" s="7">
        <v>6.31</v>
      </c>
      <c r="AO789" s="7">
        <v>6.32</v>
      </c>
      <c r="AP789" s="3"/>
      <c r="AQ789" s="8"/>
    </row>
    <row r="790" spans="1:43">
      <c r="A790" s="1">
        <f t="shared" si="89"/>
        <v>788</v>
      </c>
      <c r="B790" s="19"/>
      <c r="C790" s="1">
        <v>5</v>
      </c>
      <c r="D790" s="4">
        <f t="shared" si="88"/>
        <v>35</v>
      </c>
      <c r="E790" s="4" t="s">
        <v>131</v>
      </c>
      <c r="F790" s="4">
        <v>1</v>
      </c>
      <c r="G790" s="4" t="s">
        <v>14</v>
      </c>
      <c r="H790" s="4" t="s">
        <v>23</v>
      </c>
      <c r="I790" s="4"/>
      <c r="J790" s="5">
        <v>93</v>
      </c>
      <c r="K790" s="70"/>
      <c r="L790" s="38">
        <v>6.0270000000000001</v>
      </c>
      <c r="M790" s="127" t="s">
        <v>203</v>
      </c>
      <c r="N790" s="1" t="s">
        <v>13</v>
      </c>
      <c r="O790" s="22">
        <v>6.0460000000000003</v>
      </c>
      <c r="P790" s="1" t="s">
        <v>7</v>
      </c>
      <c r="Q790" s="3" t="s">
        <v>205</v>
      </c>
      <c r="R790" s="22">
        <v>6.0430000000000001</v>
      </c>
      <c r="S790" s="22">
        <v>5.9649999999999999</v>
      </c>
      <c r="T790" s="22">
        <v>6.2850000000000001</v>
      </c>
      <c r="U790" s="22">
        <v>6.1070000000000002</v>
      </c>
      <c r="V790" s="22">
        <v>6.0880000000000001</v>
      </c>
      <c r="W790" s="22">
        <v>6.0339999999999998</v>
      </c>
      <c r="X790" s="22">
        <v>6.04</v>
      </c>
      <c r="Y790" s="22">
        <v>6.0270000000000001</v>
      </c>
      <c r="Z790" s="22">
        <v>6.0140000000000002</v>
      </c>
      <c r="AA790" s="22">
        <v>6.0119999999999996</v>
      </c>
      <c r="AB790" s="22">
        <v>6.1840000000000002</v>
      </c>
      <c r="AC790" s="22">
        <v>6.1269999999999998</v>
      </c>
      <c r="AD790" s="22">
        <v>6.0720000000000001</v>
      </c>
      <c r="AE790" s="22">
        <v>6.0739999999999998</v>
      </c>
      <c r="AF790" s="22">
        <v>6.0259999999999998</v>
      </c>
      <c r="AG790" s="22">
        <v>5.9119999999999999</v>
      </c>
      <c r="AH790" s="22">
        <f t="shared" si="91"/>
        <v>5.9689999999999994</v>
      </c>
      <c r="AI790" s="7">
        <v>4.8899999999999997</v>
      </c>
      <c r="AJ790" s="7">
        <v>6.16</v>
      </c>
      <c r="AK790" s="7">
        <v>6.02</v>
      </c>
      <c r="AL790" s="7">
        <v>6.01</v>
      </c>
      <c r="AM790" s="7">
        <v>5.97</v>
      </c>
      <c r="AN790" s="7">
        <v>6.42</v>
      </c>
      <c r="AO790" s="7">
        <v>6.44</v>
      </c>
      <c r="AP790" s="3"/>
      <c r="AQ790" s="8"/>
    </row>
    <row r="791" spans="1:43">
      <c r="A791" s="1">
        <f t="shared" si="89"/>
        <v>789</v>
      </c>
      <c r="B791" s="19"/>
      <c r="C791" s="1">
        <v>5</v>
      </c>
      <c r="D791" s="4">
        <f t="shared" si="88"/>
        <v>35</v>
      </c>
      <c r="E791" s="4" t="s">
        <v>128</v>
      </c>
      <c r="F791" s="4">
        <v>1</v>
      </c>
      <c r="G791" s="4" t="s">
        <v>14</v>
      </c>
      <c r="H791" s="4" t="s">
        <v>170</v>
      </c>
      <c r="I791" s="4"/>
      <c r="J791" s="5">
        <v>92.3</v>
      </c>
      <c r="K791" s="63">
        <v>0.02</v>
      </c>
      <c r="L791" s="38">
        <v>6.1109999999999998</v>
      </c>
      <c r="M791" s="127" t="s">
        <v>203</v>
      </c>
      <c r="N791" s="1" t="s">
        <v>13</v>
      </c>
      <c r="O791" s="22">
        <v>6.1360000000000001</v>
      </c>
      <c r="P791" s="1" t="s">
        <v>7</v>
      </c>
      <c r="Q791" s="3"/>
      <c r="R791" s="22">
        <v>6.2830000000000004</v>
      </c>
      <c r="S791" s="22">
        <v>6.01</v>
      </c>
      <c r="T791" s="22">
        <v>6.375</v>
      </c>
      <c r="U791" s="35"/>
      <c r="V791" s="22">
        <v>6.173</v>
      </c>
      <c r="W791" s="22">
        <v>6.125</v>
      </c>
      <c r="X791" s="22">
        <v>6.13</v>
      </c>
      <c r="Y791" s="22">
        <v>6.6539999999999999</v>
      </c>
      <c r="Z791" s="22">
        <v>6.0990000000000002</v>
      </c>
      <c r="AA791" s="22">
        <v>6.0919999999999996</v>
      </c>
      <c r="AB791" s="22">
        <v>6.2510000000000003</v>
      </c>
      <c r="AC791" s="22">
        <v>6.1980000000000004</v>
      </c>
      <c r="AD791" s="22">
        <v>6.1340000000000003</v>
      </c>
      <c r="AE791" s="22">
        <v>6.1310000000000002</v>
      </c>
      <c r="AF791" s="22">
        <v>6.0640000000000001</v>
      </c>
      <c r="AG791" s="22">
        <v>6.0529999999999999</v>
      </c>
      <c r="AH791" s="22">
        <f t="shared" si="91"/>
        <v>6.0585000000000004</v>
      </c>
      <c r="AI791" s="39"/>
      <c r="AJ791" s="39"/>
      <c r="AK791" s="39"/>
      <c r="AL791" s="39"/>
      <c r="AM791" s="39"/>
      <c r="AN791" s="39"/>
      <c r="AO791" s="39"/>
      <c r="AP791" s="3"/>
      <c r="AQ791" s="8"/>
    </row>
    <row r="792" spans="1:43">
      <c r="A792" s="1">
        <f t="shared" si="89"/>
        <v>790</v>
      </c>
      <c r="B792" s="19"/>
      <c r="C792" s="1">
        <v>5</v>
      </c>
      <c r="D792" s="4">
        <f t="shared" si="88"/>
        <v>35</v>
      </c>
      <c r="E792" s="4" t="s">
        <v>137</v>
      </c>
      <c r="F792" s="4">
        <v>1</v>
      </c>
      <c r="G792" s="4" t="s">
        <v>11</v>
      </c>
      <c r="H792" s="4" t="s">
        <v>17</v>
      </c>
      <c r="I792" s="4"/>
      <c r="J792" s="5">
        <v>92.5</v>
      </c>
      <c r="K792" s="63">
        <v>0.16400000000000001</v>
      </c>
      <c r="L792" s="38">
        <v>6.2469999999999999</v>
      </c>
      <c r="M792" s="127" t="s">
        <v>203</v>
      </c>
      <c r="N792" s="1" t="s">
        <v>13</v>
      </c>
      <c r="O792" s="22">
        <v>6.2169999999999996</v>
      </c>
      <c r="P792" s="1" t="s">
        <v>7</v>
      </c>
      <c r="Q792" s="3" t="s">
        <v>205</v>
      </c>
      <c r="R792" s="22">
        <v>6.4119999999999999</v>
      </c>
      <c r="S792" s="22">
        <v>6.3</v>
      </c>
      <c r="T792" s="22">
        <v>6.5590000000000002</v>
      </c>
      <c r="U792" s="22">
        <v>6.3559999999999999</v>
      </c>
      <c r="V792" s="22">
        <v>6.3529999999999998</v>
      </c>
      <c r="W792" s="22">
        <v>6.2910000000000004</v>
      </c>
      <c r="X792" s="22">
        <v>6.2830000000000004</v>
      </c>
      <c r="Y792" s="22">
        <v>6.2670000000000003</v>
      </c>
      <c r="Z792" s="22">
        <v>6.2510000000000003</v>
      </c>
      <c r="AA792" s="22">
        <v>6.2539999999999996</v>
      </c>
      <c r="AB792" s="22">
        <v>6.407</v>
      </c>
      <c r="AC792" s="22">
        <v>6.3650000000000002</v>
      </c>
      <c r="AD792" s="22">
        <v>6.3440000000000003</v>
      </c>
      <c r="AE792" s="22">
        <v>6.2709999999999999</v>
      </c>
      <c r="AF792" s="22">
        <v>6.3529999999999998</v>
      </c>
      <c r="AG792" s="22">
        <v>6.1070000000000002</v>
      </c>
      <c r="AH792" s="22">
        <f t="shared" si="91"/>
        <v>6.23</v>
      </c>
      <c r="AI792" s="7">
        <v>7.73</v>
      </c>
      <c r="AJ792" s="7">
        <v>6.62</v>
      </c>
      <c r="AK792" s="7">
        <v>6.36</v>
      </c>
      <c r="AL792" s="7">
        <v>6.45</v>
      </c>
      <c r="AM792" s="7">
        <v>6.38</v>
      </c>
      <c r="AN792" s="7">
        <v>6.71</v>
      </c>
      <c r="AO792" s="7">
        <v>6.48</v>
      </c>
      <c r="AP792" s="3"/>
      <c r="AQ792" s="8"/>
    </row>
    <row r="793" spans="1:43">
      <c r="A793" s="1">
        <f t="shared" si="89"/>
        <v>791</v>
      </c>
      <c r="B793" s="19"/>
      <c r="C793" s="1">
        <v>5</v>
      </c>
      <c r="D793" s="4">
        <f t="shared" si="88"/>
        <v>35</v>
      </c>
      <c r="E793" s="4" t="s">
        <v>118</v>
      </c>
      <c r="F793" s="4">
        <v>1</v>
      </c>
      <c r="G793" s="4" t="s">
        <v>11</v>
      </c>
      <c r="H793" s="4" t="s">
        <v>17</v>
      </c>
      <c r="I793" s="4"/>
      <c r="J793" s="5">
        <v>86.3</v>
      </c>
      <c r="K793" s="63">
        <v>1E-3</v>
      </c>
      <c r="L793" s="38">
        <v>6.2759999999999998</v>
      </c>
      <c r="M793" s="127" t="s">
        <v>203</v>
      </c>
      <c r="N793" s="1" t="s">
        <v>13</v>
      </c>
      <c r="O793" s="22">
        <v>6.2750000000000004</v>
      </c>
      <c r="P793" s="1" t="s">
        <v>7</v>
      </c>
      <c r="Q793" s="3" t="s">
        <v>205</v>
      </c>
      <c r="R793" s="22">
        <v>6.6379999999999999</v>
      </c>
      <c r="S793" s="22">
        <v>6.4669999999999996</v>
      </c>
      <c r="T793" s="22">
        <v>6.6959999999999997</v>
      </c>
      <c r="U793" s="22">
        <v>6.5449999999999999</v>
      </c>
      <c r="V793" s="22">
        <v>6.5090000000000003</v>
      </c>
      <c r="W793" s="22">
        <v>6.391</v>
      </c>
      <c r="X793" s="22">
        <v>6.3869999999999996</v>
      </c>
      <c r="Y793" s="22">
        <v>6.3639999999999999</v>
      </c>
      <c r="Z793" s="22">
        <v>6.3150000000000004</v>
      </c>
      <c r="AA793" s="22">
        <v>6.298</v>
      </c>
      <c r="AB793" s="22">
        <v>6.407</v>
      </c>
      <c r="AC793" s="22">
        <v>6.4</v>
      </c>
      <c r="AD793" s="22">
        <v>6.4219999999999997</v>
      </c>
      <c r="AE793" s="22">
        <v>6.1929999999999996</v>
      </c>
      <c r="AF793" s="22">
        <v>6.4690000000000003</v>
      </c>
      <c r="AG793" s="22">
        <v>6.2889999999999997</v>
      </c>
      <c r="AH793" s="22">
        <f t="shared" si="91"/>
        <v>6.3789999999999996</v>
      </c>
      <c r="AI793" s="7">
        <v>6.47</v>
      </c>
      <c r="AJ793" s="7">
        <v>6.41</v>
      </c>
      <c r="AK793" s="7">
        <v>5.84</v>
      </c>
      <c r="AL793" s="7">
        <v>6.43</v>
      </c>
      <c r="AM793" s="7">
        <v>6.34</v>
      </c>
      <c r="AN793" s="7">
        <v>6.58</v>
      </c>
      <c r="AO793" s="7">
        <v>6.53</v>
      </c>
      <c r="AP793" s="3"/>
      <c r="AQ793" s="8"/>
    </row>
    <row r="794" spans="1:43">
      <c r="A794" s="1">
        <f t="shared" si="89"/>
        <v>792</v>
      </c>
      <c r="B794" s="19"/>
      <c r="C794" s="1">
        <v>5</v>
      </c>
      <c r="D794" s="4">
        <f t="shared" si="88"/>
        <v>35</v>
      </c>
      <c r="E794" s="4" t="s">
        <v>137</v>
      </c>
      <c r="F794" s="4">
        <v>1</v>
      </c>
      <c r="G794" s="4" t="s">
        <v>14</v>
      </c>
      <c r="H794" s="4" t="s">
        <v>23</v>
      </c>
      <c r="I794" s="4"/>
      <c r="J794" s="5">
        <v>92.6</v>
      </c>
      <c r="K794" s="63">
        <v>3.0000000000000001E-3</v>
      </c>
      <c r="L794" s="38">
        <v>6.8319999999999999</v>
      </c>
      <c r="M794" s="127" t="s">
        <v>203</v>
      </c>
      <c r="N794" s="1" t="s">
        <v>13</v>
      </c>
      <c r="O794" s="22">
        <v>6.7430000000000003</v>
      </c>
      <c r="P794" s="1" t="s">
        <v>7</v>
      </c>
      <c r="Q794" s="3" t="s">
        <v>205</v>
      </c>
      <c r="R794" s="22">
        <v>6.9989999999999997</v>
      </c>
      <c r="S794" s="22">
        <v>6.8929999999999998</v>
      </c>
      <c r="T794" s="22">
        <v>7.0949999999999998</v>
      </c>
      <c r="U794" s="22">
        <v>6.9249999999999998</v>
      </c>
      <c r="V794" s="22">
        <v>6.9260000000000002</v>
      </c>
      <c r="W794" s="22">
        <v>6.8490000000000002</v>
      </c>
      <c r="X794" s="22">
        <v>6.8540000000000001</v>
      </c>
      <c r="Y794" s="22">
        <v>6.8460000000000001</v>
      </c>
      <c r="Z794" s="22">
        <v>6.83</v>
      </c>
      <c r="AA794" s="22">
        <v>6.835</v>
      </c>
      <c r="AB794" s="22">
        <v>6.93</v>
      </c>
      <c r="AC794" s="22">
        <v>6.9080000000000004</v>
      </c>
      <c r="AD794" s="22">
        <v>6.9020000000000001</v>
      </c>
      <c r="AE794" s="22">
        <v>6.7960000000000003</v>
      </c>
      <c r="AF794" s="22">
        <v>6.9139999999999997</v>
      </c>
      <c r="AG794" s="22">
        <v>6.6879999999999997</v>
      </c>
      <c r="AH794" s="22">
        <f t="shared" si="91"/>
        <v>6.8010000000000002</v>
      </c>
      <c r="AI794" s="7">
        <v>5.82</v>
      </c>
      <c r="AJ794" s="7">
        <v>6.75</v>
      </c>
      <c r="AK794" s="7">
        <v>6.11</v>
      </c>
      <c r="AL794" s="7">
        <v>6.92</v>
      </c>
      <c r="AM794" s="7">
        <v>6.82</v>
      </c>
      <c r="AN794" s="7">
        <v>6.65</v>
      </c>
      <c r="AO794" s="7">
        <v>6.62</v>
      </c>
      <c r="AP794" s="3"/>
      <c r="AQ794" s="8"/>
    </row>
    <row r="795" spans="1:43">
      <c r="A795" s="1">
        <f t="shared" si="89"/>
        <v>793</v>
      </c>
      <c r="B795" s="19"/>
      <c r="C795" s="1">
        <v>5</v>
      </c>
      <c r="D795" s="4">
        <f t="shared" si="88"/>
        <v>35</v>
      </c>
      <c r="E795" s="4" t="s">
        <v>142</v>
      </c>
      <c r="F795" s="4">
        <v>3</v>
      </c>
      <c r="G795" s="4" t="s">
        <v>11</v>
      </c>
      <c r="H795" s="4" t="s">
        <v>17</v>
      </c>
      <c r="I795" s="4"/>
      <c r="J795" s="5">
        <v>98.3</v>
      </c>
      <c r="K795" s="70"/>
      <c r="L795" s="38">
        <v>4.5109999999999992</v>
      </c>
      <c r="M795" s="127" t="s">
        <v>110</v>
      </c>
      <c r="N795" s="1" t="s">
        <v>13</v>
      </c>
      <c r="O795" s="22">
        <v>4.5109999999999983</v>
      </c>
      <c r="P795" s="1" t="s">
        <v>7</v>
      </c>
      <c r="Q795" s="3" t="s">
        <v>205</v>
      </c>
      <c r="R795" s="22">
        <v>4.8049999999999997</v>
      </c>
      <c r="S795" s="22">
        <v>4.7160000000000002</v>
      </c>
      <c r="T795" s="22">
        <v>4.6959999999999997</v>
      </c>
      <c r="U795" s="22">
        <v>4.1769999999999996</v>
      </c>
      <c r="V795" s="22">
        <v>4.4509999999999996</v>
      </c>
      <c r="W795" s="35"/>
      <c r="X795" s="35"/>
      <c r="Y795" s="35"/>
      <c r="Z795" s="22">
        <v>4.5279999999999996</v>
      </c>
      <c r="AA795" s="35"/>
      <c r="AB795" s="22">
        <v>4.67</v>
      </c>
      <c r="AC795" s="22">
        <v>4.6749999999999998</v>
      </c>
      <c r="AD795" s="22">
        <v>4.6890000000000001</v>
      </c>
      <c r="AE795" s="22">
        <v>4.5490000000000004</v>
      </c>
      <c r="AF795" s="22">
        <v>4.7069999999999999</v>
      </c>
      <c r="AG795" s="22">
        <v>4.258</v>
      </c>
      <c r="AH795" s="22">
        <f t="shared" si="91"/>
        <v>4.4824999999999999</v>
      </c>
      <c r="AI795" s="7">
        <v>4.24</v>
      </c>
      <c r="AJ795" s="7">
        <v>4.57</v>
      </c>
      <c r="AK795" s="7">
        <v>4.3</v>
      </c>
      <c r="AL795" s="7">
        <v>4.49</v>
      </c>
      <c r="AM795" s="7">
        <v>4.4400000000000004</v>
      </c>
      <c r="AN795" s="7">
        <v>4.76</v>
      </c>
      <c r="AO795" s="7">
        <v>4.74</v>
      </c>
      <c r="AP795" s="3"/>
      <c r="AQ795" s="8"/>
    </row>
    <row r="796" spans="1:43">
      <c r="A796" s="1">
        <f t="shared" si="89"/>
        <v>794</v>
      </c>
      <c r="B796" s="19"/>
      <c r="C796" s="1">
        <v>5</v>
      </c>
      <c r="D796" s="4">
        <f t="shared" si="88"/>
        <v>35</v>
      </c>
      <c r="E796" s="4" t="s">
        <v>130</v>
      </c>
      <c r="F796" s="4">
        <v>3</v>
      </c>
      <c r="G796" s="4" t="s">
        <v>14</v>
      </c>
      <c r="H796" s="4" t="s">
        <v>22</v>
      </c>
      <c r="I796" s="4"/>
      <c r="J796" s="5">
        <v>97.6</v>
      </c>
      <c r="K796" s="70"/>
      <c r="L796" s="38">
        <v>5.21</v>
      </c>
      <c r="M796" s="127" t="s">
        <v>110</v>
      </c>
      <c r="N796" s="1" t="s">
        <v>13</v>
      </c>
      <c r="O796" s="22">
        <v>5.2379999999999995</v>
      </c>
      <c r="P796" s="1" t="s">
        <v>7</v>
      </c>
      <c r="Q796" s="3" t="s">
        <v>205</v>
      </c>
      <c r="R796" s="22">
        <v>5.3310000000000004</v>
      </c>
      <c r="S796" s="22">
        <v>5.2009999999999996</v>
      </c>
      <c r="T796" s="22">
        <v>5.5069999999999997</v>
      </c>
      <c r="U796" s="22">
        <v>5.407</v>
      </c>
      <c r="V796" s="22">
        <v>5.3040000000000003</v>
      </c>
      <c r="W796" s="35"/>
      <c r="X796" s="35"/>
      <c r="Y796" s="35"/>
      <c r="Z796" s="22">
        <v>5.2149999999999999</v>
      </c>
      <c r="AA796" s="35"/>
      <c r="AB796" s="22">
        <v>5.4720000000000004</v>
      </c>
      <c r="AC796" s="22">
        <v>5.4119999999999999</v>
      </c>
      <c r="AD796" s="22">
        <v>5.3410000000000002</v>
      </c>
      <c r="AE796" s="22">
        <v>5.3620000000000001</v>
      </c>
      <c r="AF796" s="22">
        <v>5.2709999999999999</v>
      </c>
      <c r="AG796" s="22">
        <v>5.1109999999999998</v>
      </c>
      <c r="AH796" s="22">
        <f t="shared" si="91"/>
        <v>5.1909999999999998</v>
      </c>
      <c r="AI796" s="7">
        <v>4.47</v>
      </c>
      <c r="AJ796" s="7">
        <v>5.41</v>
      </c>
      <c r="AK796" s="7">
        <v>5.21</v>
      </c>
      <c r="AL796" s="7">
        <v>5.26</v>
      </c>
      <c r="AM796" s="7">
        <v>5.2</v>
      </c>
      <c r="AN796" s="7">
        <v>5.48</v>
      </c>
      <c r="AO796" s="7">
        <v>5.49</v>
      </c>
      <c r="AP796" s="3"/>
      <c r="AQ796" s="8"/>
    </row>
    <row r="797" spans="1:43">
      <c r="A797" s="1">
        <f t="shared" si="89"/>
        <v>795</v>
      </c>
      <c r="B797" s="19"/>
      <c r="C797" s="1">
        <v>5</v>
      </c>
      <c r="D797" s="4">
        <f t="shared" si="88"/>
        <v>35</v>
      </c>
      <c r="E797" s="4" t="s">
        <v>143</v>
      </c>
      <c r="F797" s="4">
        <v>3</v>
      </c>
      <c r="G797" s="4" t="s">
        <v>11</v>
      </c>
      <c r="H797" s="4" t="s">
        <v>17</v>
      </c>
      <c r="I797" s="4"/>
      <c r="J797" s="5">
        <v>97.8</v>
      </c>
      <c r="K797" s="70"/>
      <c r="L797" s="38">
        <v>5.4530000000000012</v>
      </c>
      <c r="M797" s="127" t="s">
        <v>110</v>
      </c>
      <c r="N797" s="1" t="s">
        <v>13</v>
      </c>
      <c r="O797" s="22">
        <v>5.4570000000000007</v>
      </c>
      <c r="P797" s="1" t="s">
        <v>7</v>
      </c>
      <c r="Q797" s="3" t="s">
        <v>205</v>
      </c>
      <c r="R797" s="22">
        <v>5.7039999999999997</v>
      </c>
      <c r="S797" s="22">
        <v>5.6589999999999998</v>
      </c>
      <c r="T797" s="22">
        <v>5.6420000000000003</v>
      </c>
      <c r="U797" s="22">
        <v>5.1369999999999996</v>
      </c>
      <c r="V797" s="22">
        <v>5.4859999999999998</v>
      </c>
      <c r="W797" s="35"/>
      <c r="X797" s="35"/>
      <c r="Y797" s="35"/>
      <c r="Z797" s="22">
        <v>5.4640000000000004</v>
      </c>
      <c r="AA797" s="35"/>
      <c r="AB797" s="22">
        <v>5.4980000000000002</v>
      </c>
      <c r="AC797" s="22">
        <v>5.5119999999999996</v>
      </c>
      <c r="AD797" s="22">
        <v>5.5620000000000003</v>
      </c>
      <c r="AE797" s="22">
        <v>5.3579999999999997</v>
      </c>
      <c r="AF797" s="22">
        <v>5.62</v>
      </c>
      <c r="AG797" s="22">
        <v>5.23</v>
      </c>
      <c r="AH797" s="22">
        <f t="shared" si="91"/>
        <v>5.4250000000000007</v>
      </c>
      <c r="AI797" s="7">
        <v>5.52</v>
      </c>
      <c r="AJ797" s="7">
        <v>5.5</v>
      </c>
      <c r="AK797" s="7">
        <v>5.04</v>
      </c>
      <c r="AL797" s="7">
        <v>5.49</v>
      </c>
      <c r="AM797" s="7">
        <v>5.4</v>
      </c>
      <c r="AN797" s="7">
        <v>5.6</v>
      </c>
      <c r="AO797" s="7">
        <v>5.56</v>
      </c>
      <c r="AP797" s="3"/>
      <c r="AQ797" s="8"/>
    </row>
    <row r="798" spans="1:43">
      <c r="A798" s="1">
        <f t="shared" si="89"/>
        <v>796</v>
      </c>
      <c r="B798" s="19"/>
      <c r="C798" s="1">
        <v>5</v>
      </c>
      <c r="D798" s="4">
        <f t="shared" si="88"/>
        <v>35</v>
      </c>
      <c r="E798" s="4" t="s">
        <v>129</v>
      </c>
      <c r="F798" s="4">
        <v>3</v>
      </c>
      <c r="G798" s="4" t="s">
        <v>14</v>
      </c>
      <c r="H798" s="4" t="s">
        <v>23</v>
      </c>
      <c r="I798" s="4"/>
      <c r="J798" s="5">
        <v>97.4</v>
      </c>
      <c r="K798" s="70"/>
      <c r="L798" s="38">
        <v>5.9030000000000005</v>
      </c>
      <c r="M798" s="127" t="s">
        <v>110</v>
      </c>
      <c r="N798" s="1" t="s">
        <v>13</v>
      </c>
      <c r="O798" s="22">
        <v>5.9329999999999989</v>
      </c>
      <c r="P798" s="1" t="s">
        <v>7</v>
      </c>
      <c r="Q798" s="3" t="s">
        <v>205</v>
      </c>
      <c r="R798" s="22">
        <v>6.01</v>
      </c>
      <c r="S798" s="22">
        <v>5.8559999999999999</v>
      </c>
      <c r="T798" s="22">
        <v>6.1630000000000003</v>
      </c>
      <c r="U798" s="22">
        <v>6.0590000000000002</v>
      </c>
      <c r="V798" s="22">
        <v>5.9710000000000001</v>
      </c>
      <c r="W798" s="35"/>
      <c r="X798" s="35"/>
      <c r="Y798" s="35"/>
      <c r="Z798" s="22">
        <v>5.9240000000000004</v>
      </c>
      <c r="AA798" s="35"/>
      <c r="AB798" s="22">
        <v>6.0670000000000002</v>
      </c>
      <c r="AC798" s="22">
        <v>6.0220000000000002</v>
      </c>
      <c r="AD798" s="22">
        <v>5.9669999999999996</v>
      </c>
      <c r="AE798" s="22">
        <v>5.9420000000000002</v>
      </c>
      <c r="AF798" s="22">
        <v>5.8849999999999998</v>
      </c>
      <c r="AG798" s="22">
        <v>5.8360000000000003</v>
      </c>
      <c r="AH798" s="22">
        <f t="shared" si="91"/>
        <v>5.8605</v>
      </c>
      <c r="AI798" s="7">
        <v>5.18</v>
      </c>
      <c r="AJ798" s="7">
        <v>6.22</v>
      </c>
      <c r="AK798" s="7">
        <v>6.03</v>
      </c>
      <c r="AL798" s="7">
        <v>6.04</v>
      </c>
      <c r="AM798" s="7">
        <v>5.98</v>
      </c>
      <c r="AN798" s="7">
        <v>6.27</v>
      </c>
      <c r="AO798" s="7">
        <v>6.28</v>
      </c>
      <c r="AP798" s="3"/>
      <c r="AQ798" s="8"/>
    </row>
    <row r="799" spans="1:43">
      <c r="A799" s="1">
        <f t="shared" si="89"/>
        <v>797</v>
      </c>
      <c r="B799" s="2" t="s">
        <v>218</v>
      </c>
      <c r="C799" s="1">
        <v>8</v>
      </c>
      <c r="D799" s="4">
        <f t="shared" si="88"/>
        <v>69</v>
      </c>
      <c r="E799" s="4" t="s">
        <v>150</v>
      </c>
      <c r="F799" s="4">
        <v>1</v>
      </c>
      <c r="G799" s="4" t="s">
        <v>14</v>
      </c>
      <c r="H799" s="4" t="s">
        <v>170</v>
      </c>
      <c r="I799" s="4"/>
      <c r="J799" s="12">
        <v>92.8</v>
      </c>
      <c r="K799" s="63">
        <v>0.01</v>
      </c>
      <c r="L799" s="38">
        <v>4.5360000000000005</v>
      </c>
      <c r="M799" s="127" t="s">
        <v>110</v>
      </c>
      <c r="N799" s="1" t="s">
        <v>13</v>
      </c>
      <c r="O799" s="60"/>
      <c r="P799" s="9"/>
      <c r="Q799" s="3"/>
      <c r="R799" s="42">
        <v>4.5960000000000001</v>
      </c>
      <c r="S799" s="42">
        <v>4.4850000000000003</v>
      </c>
      <c r="T799" s="42">
        <v>4.9109999999999996</v>
      </c>
      <c r="U799" s="42">
        <v>4.6890000000000001</v>
      </c>
      <c r="V799" s="42">
        <v>4.6529999999999996</v>
      </c>
      <c r="W799" s="42">
        <v>4.58</v>
      </c>
      <c r="X799" s="42">
        <v>4.5869999999999997</v>
      </c>
      <c r="Y799" s="42">
        <v>4.5650000000000004</v>
      </c>
      <c r="Z799" s="22">
        <v>4.5449999999999999</v>
      </c>
      <c r="AA799" s="35"/>
      <c r="AB799" s="42">
        <v>4.7469999999999999</v>
      </c>
      <c r="AC799" s="42">
        <v>4.6909999999999998</v>
      </c>
      <c r="AD799" s="42">
        <v>4.6230000000000002</v>
      </c>
      <c r="AE799" s="42">
        <v>4.6280000000000001</v>
      </c>
      <c r="AF799" s="42">
        <v>4.5469999999999997</v>
      </c>
      <c r="AG799" s="42">
        <v>4.4539999999999997</v>
      </c>
      <c r="AH799" s="42">
        <f t="shared" ref="AH799:AH805" si="92">SUM(AF799:AG799)/2</f>
        <v>4.5004999999999997</v>
      </c>
      <c r="AI799" s="39"/>
      <c r="AJ799" s="39"/>
      <c r="AK799" s="39"/>
      <c r="AL799" s="39"/>
      <c r="AM799" s="39"/>
      <c r="AN799" s="39"/>
      <c r="AO799" s="39"/>
      <c r="AP799" s="3"/>
      <c r="AQ799" s="8"/>
    </row>
    <row r="800" spans="1:43">
      <c r="A800" s="1">
        <f t="shared" si="89"/>
        <v>798</v>
      </c>
      <c r="B800" s="19"/>
      <c r="C800" s="1">
        <v>8</v>
      </c>
      <c r="D800" s="4">
        <f t="shared" si="88"/>
        <v>69</v>
      </c>
      <c r="E800" s="4" t="s">
        <v>219</v>
      </c>
      <c r="F800" s="4">
        <v>1</v>
      </c>
      <c r="G800" s="4" t="s">
        <v>14</v>
      </c>
      <c r="H800" s="4" t="s">
        <v>170</v>
      </c>
      <c r="I800" s="4"/>
      <c r="J800" s="12">
        <v>92.5</v>
      </c>
      <c r="K800" s="70"/>
      <c r="L800" s="38">
        <v>4.7389999999999999</v>
      </c>
      <c r="M800" s="127" t="s">
        <v>110</v>
      </c>
      <c r="N800" s="1" t="s">
        <v>13</v>
      </c>
      <c r="O800" s="60"/>
      <c r="P800" s="9"/>
      <c r="Q800" s="3"/>
      <c r="R800" s="42">
        <v>4.7939999999999996</v>
      </c>
      <c r="S800" s="42">
        <v>4.6760000000000002</v>
      </c>
      <c r="T800" s="42">
        <v>5.1289999999999996</v>
      </c>
      <c r="U800" s="42">
        <v>4.9450000000000003</v>
      </c>
      <c r="V800" s="42">
        <v>4.8419999999999996</v>
      </c>
      <c r="W800" s="42">
        <v>4.7880000000000003</v>
      </c>
      <c r="X800" s="42">
        <v>4.7939999999999996</v>
      </c>
      <c r="Y800" s="42">
        <v>4.7720000000000002</v>
      </c>
      <c r="Z800" s="22">
        <v>4.7460000000000004</v>
      </c>
      <c r="AA800" s="35"/>
      <c r="AB800" s="42">
        <v>5.577</v>
      </c>
      <c r="AC800" s="42">
        <v>4.9210000000000003</v>
      </c>
      <c r="AD800" s="42">
        <v>4.8390000000000004</v>
      </c>
      <c r="AE800" s="42">
        <v>4.8550000000000004</v>
      </c>
      <c r="AF800" s="42">
        <v>4.742</v>
      </c>
      <c r="AG800" s="42">
        <v>4.6639999999999997</v>
      </c>
      <c r="AH800" s="42">
        <f t="shared" si="92"/>
        <v>4.7029999999999994</v>
      </c>
      <c r="AI800" s="39"/>
      <c r="AJ800" s="39"/>
      <c r="AK800" s="39"/>
      <c r="AL800" s="39"/>
      <c r="AM800" s="39"/>
      <c r="AN800" s="39"/>
      <c r="AO800" s="39"/>
      <c r="AP800" s="3"/>
      <c r="AQ800" s="8"/>
    </row>
    <row r="801" spans="1:43">
      <c r="A801" s="1">
        <f t="shared" si="89"/>
        <v>799</v>
      </c>
      <c r="B801" s="19"/>
      <c r="C801" s="1">
        <v>8</v>
      </c>
      <c r="D801" s="4">
        <f t="shared" si="88"/>
        <v>69</v>
      </c>
      <c r="E801" s="4" t="s">
        <v>150</v>
      </c>
      <c r="F801" s="4">
        <v>1</v>
      </c>
      <c r="G801" s="4" t="s">
        <v>14</v>
      </c>
      <c r="H801" s="4" t="s">
        <v>170</v>
      </c>
      <c r="I801" s="4"/>
      <c r="J801" s="12">
        <v>92</v>
      </c>
      <c r="K801" s="63">
        <v>0</v>
      </c>
      <c r="L801" s="38">
        <v>5.1069999999999993</v>
      </c>
      <c r="M801" s="127" t="s">
        <v>110</v>
      </c>
      <c r="N801" s="1" t="s">
        <v>13</v>
      </c>
      <c r="O801" s="60"/>
      <c r="P801" s="9"/>
      <c r="Q801" s="3"/>
      <c r="R801" s="42">
        <v>5.194</v>
      </c>
      <c r="S801" s="42">
        <v>4.9470000000000001</v>
      </c>
      <c r="T801" s="42">
        <v>5.4610000000000003</v>
      </c>
      <c r="U801" s="42">
        <v>5.2380000000000004</v>
      </c>
      <c r="V801" s="42">
        <v>5.1909999999999998</v>
      </c>
      <c r="W801" s="42">
        <v>5.1619999999999999</v>
      </c>
      <c r="X801" s="42">
        <v>5.1689999999999996</v>
      </c>
      <c r="Y801" s="42">
        <v>5.1660000000000004</v>
      </c>
      <c r="Z801" s="22">
        <v>5.133</v>
      </c>
      <c r="AA801" s="35"/>
      <c r="AB801" s="42">
        <v>5.2539999999999996</v>
      </c>
      <c r="AC801" s="42">
        <v>5.2080000000000002</v>
      </c>
      <c r="AD801" s="42">
        <v>5.12</v>
      </c>
      <c r="AE801" s="42">
        <v>5.1070000000000002</v>
      </c>
      <c r="AF801" s="42">
        <v>4.976</v>
      </c>
      <c r="AG801" s="42">
        <v>5.1639999999999997</v>
      </c>
      <c r="AH801" s="42">
        <f t="shared" si="92"/>
        <v>5.07</v>
      </c>
      <c r="AI801" s="39"/>
      <c r="AJ801" s="39"/>
      <c r="AK801" s="39"/>
      <c r="AL801" s="39"/>
      <c r="AM801" s="39"/>
      <c r="AN801" s="39"/>
      <c r="AO801" s="39"/>
      <c r="AP801" s="3"/>
      <c r="AQ801" s="8"/>
    </row>
    <row r="802" spans="1:43">
      <c r="A802" s="1">
        <f t="shared" si="89"/>
        <v>800</v>
      </c>
      <c r="B802" s="19"/>
      <c r="C802" s="1">
        <v>8</v>
      </c>
      <c r="D802" s="4">
        <f t="shared" si="88"/>
        <v>69</v>
      </c>
      <c r="E802" s="4" t="s">
        <v>219</v>
      </c>
      <c r="F802" s="4">
        <v>1</v>
      </c>
      <c r="G802" s="4" t="s">
        <v>14</v>
      </c>
      <c r="H802" s="4" t="s">
        <v>170</v>
      </c>
      <c r="I802" s="4"/>
      <c r="J802" s="12">
        <v>93.1</v>
      </c>
      <c r="K802" s="70"/>
      <c r="L802" s="38">
        <v>5.1329999999999991</v>
      </c>
      <c r="M802" s="127" t="s">
        <v>110</v>
      </c>
      <c r="N802" s="1" t="s">
        <v>13</v>
      </c>
      <c r="O802" s="60"/>
      <c r="P802" s="9"/>
      <c r="Q802" s="3"/>
      <c r="R802" s="42">
        <v>5.1180000000000003</v>
      </c>
      <c r="S802" s="42">
        <v>5.04</v>
      </c>
      <c r="T802" s="42">
        <v>5.4669999999999996</v>
      </c>
      <c r="U802" s="42">
        <v>5.2629999999999999</v>
      </c>
      <c r="V802" s="42">
        <v>5.2009999999999996</v>
      </c>
      <c r="W802" s="42">
        <v>5.1710000000000003</v>
      </c>
      <c r="X802" s="42">
        <v>5.1779999999999999</v>
      </c>
      <c r="Y802" s="42">
        <v>5.157</v>
      </c>
      <c r="Z802" s="22">
        <v>5.1449999999999996</v>
      </c>
      <c r="AA802" s="35"/>
      <c r="AB802" s="42">
        <v>5.8049999999999997</v>
      </c>
      <c r="AC802" s="42">
        <v>5.234</v>
      </c>
      <c r="AD802" s="42">
        <v>5.1689999999999996</v>
      </c>
      <c r="AE802" s="42">
        <v>5.1669999999999998</v>
      </c>
      <c r="AF802" s="42">
        <v>5.0919999999999996</v>
      </c>
      <c r="AG802" s="42">
        <v>5.0449999999999999</v>
      </c>
      <c r="AH802" s="42">
        <f t="shared" si="92"/>
        <v>5.0685000000000002</v>
      </c>
      <c r="AI802" s="39"/>
      <c r="AJ802" s="39"/>
      <c r="AK802" s="39"/>
      <c r="AL802" s="39"/>
      <c r="AM802" s="39"/>
      <c r="AN802" s="39"/>
      <c r="AO802" s="39"/>
      <c r="AP802" s="3"/>
      <c r="AQ802" s="8"/>
    </row>
    <row r="803" spans="1:43">
      <c r="A803" s="1">
        <f t="shared" si="89"/>
        <v>801</v>
      </c>
      <c r="B803" s="19"/>
      <c r="C803" s="1">
        <v>8</v>
      </c>
      <c r="D803" s="4">
        <f t="shared" si="88"/>
        <v>69</v>
      </c>
      <c r="E803" s="4" t="s">
        <v>177</v>
      </c>
      <c r="F803" s="4">
        <v>3</v>
      </c>
      <c r="G803" s="4" t="s">
        <v>11</v>
      </c>
      <c r="H803" s="4" t="s">
        <v>17</v>
      </c>
      <c r="I803" s="4"/>
      <c r="J803" s="12">
        <v>97.9</v>
      </c>
      <c r="K803" s="70"/>
      <c r="L803" s="38">
        <v>3.8260000000000001</v>
      </c>
      <c r="M803" s="127" t="s">
        <v>113</v>
      </c>
      <c r="N803" s="1" t="s">
        <v>13</v>
      </c>
      <c r="O803" s="60"/>
      <c r="P803" s="9"/>
      <c r="Q803" s="3"/>
      <c r="R803" s="42">
        <v>4.1639999999999997</v>
      </c>
      <c r="S803" s="42">
        <v>4.016</v>
      </c>
      <c r="T803" s="42">
        <v>4.1219999999999999</v>
      </c>
      <c r="U803" s="35"/>
      <c r="V803" s="42">
        <v>3.782</v>
      </c>
      <c r="W803" s="35"/>
      <c r="X803" s="35"/>
      <c r="Y803" s="35"/>
      <c r="Z803" s="22">
        <v>3.8410000000000002</v>
      </c>
      <c r="AA803" s="35"/>
      <c r="AB803" s="42">
        <v>4.0060000000000002</v>
      </c>
      <c r="AC803" s="42">
        <v>4.0170000000000003</v>
      </c>
      <c r="AD803" s="42">
        <v>4.0170000000000003</v>
      </c>
      <c r="AE803" s="42">
        <v>3.8650000000000002</v>
      </c>
      <c r="AF803" s="42">
        <v>4.0069999999999997</v>
      </c>
      <c r="AG803" s="42">
        <v>3.5619999999999998</v>
      </c>
      <c r="AH803" s="42">
        <f t="shared" si="92"/>
        <v>3.7844999999999995</v>
      </c>
      <c r="AI803" s="39"/>
      <c r="AJ803" s="39"/>
      <c r="AK803" s="39"/>
      <c r="AL803" s="39"/>
      <c r="AM803" s="39"/>
      <c r="AN803" s="39"/>
      <c r="AO803" s="39"/>
      <c r="AP803" s="3"/>
      <c r="AQ803" s="8"/>
    </row>
    <row r="804" spans="1:43">
      <c r="A804" s="1">
        <f t="shared" si="89"/>
        <v>802</v>
      </c>
      <c r="B804" s="19"/>
      <c r="C804" s="1">
        <v>8</v>
      </c>
      <c r="D804" s="4">
        <f t="shared" si="88"/>
        <v>69</v>
      </c>
      <c r="E804" s="4" t="s">
        <v>149</v>
      </c>
      <c r="F804" s="4">
        <v>3</v>
      </c>
      <c r="G804" s="4" t="s">
        <v>14</v>
      </c>
      <c r="H804" s="4" t="s">
        <v>170</v>
      </c>
      <c r="I804" s="4"/>
      <c r="J804" s="12">
        <v>97.4</v>
      </c>
      <c r="K804" s="70"/>
      <c r="L804" s="38">
        <v>4.5289999999999999</v>
      </c>
      <c r="M804" s="127" t="s">
        <v>113</v>
      </c>
      <c r="N804" s="1" t="s">
        <v>13</v>
      </c>
      <c r="O804" s="60"/>
      <c r="P804" s="9"/>
      <c r="Q804" s="3"/>
      <c r="R804" s="42">
        <v>4.5919999999999996</v>
      </c>
      <c r="S804" s="42">
        <v>4.4690000000000003</v>
      </c>
      <c r="T804" s="42">
        <v>5.1100000000000003</v>
      </c>
      <c r="U804" s="42">
        <v>4.5890000000000004</v>
      </c>
      <c r="V804" s="42">
        <v>4.5960000000000001</v>
      </c>
      <c r="W804" s="35"/>
      <c r="X804" s="35"/>
      <c r="Y804" s="35"/>
      <c r="Z804" s="22">
        <v>4.524</v>
      </c>
      <c r="AA804" s="35"/>
      <c r="AB804" s="42">
        <v>4.7389999999999999</v>
      </c>
      <c r="AC804" s="42">
        <v>4.6840000000000002</v>
      </c>
      <c r="AD804" s="42">
        <v>4.6130000000000004</v>
      </c>
      <c r="AE804" s="42">
        <v>4.6219999999999999</v>
      </c>
      <c r="AF804" s="42">
        <v>4.53</v>
      </c>
      <c r="AG804" s="42">
        <v>4.4279999999999999</v>
      </c>
      <c r="AH804" s="42">
        <f t="shared" si="92"/>
        <v>4.4790000000000001</v>
      </c>
      <c r="AI804" s="39"/>
      <c r="AJ804" s="39"/>
      <c r="AK804" s="39"/>
      <c r="AL804" s="39"/>
      <c r="AM804" s="39"/>
      <c r="AN804" s="39"/>
      <c r="AO804" s="39"/>
      <c r="AP804" s="3"/>
      <c r="AQ804" s="8"/>
    </row>
    <row r="805" spans="1:43">
      <c r="A805" s="1">
        <f t="shared" si="89"/>
        <v>803</v>
      </c>
      <c r="B805" s="19"/>
      <c r="C805" s="1">
        <v>8</v>
      </c>
      <c r="D805" s="4">
        <f t="shared" si="88"/>
        <v>69</v>
      </c>
      <c r="E805" s="4" t="s">
        <v>221</v>
      </c>
      <c r="F805" s="4">
        <v>3</v>
      </c>
      <c r="G805" s="4" t="s">
        <v>14</v>
      </c>
      <c r="H805" s="4" t="s">
        <v>170</v>
      </c>
      <c r="I805" s="4"/>
      <c r="J805" s="12">
        <v>97.3</v>
      </c>
      <c r="K805" s="70"/>
      <c r="L805" s="38">
        <v>4.7399999999999993</v>
      </c>
      <c r="M805" s="127" t="s">
        <v>113</v>
      </c>
      <c r="N805" s="1" t="s">
        <v>13</v>
      </c>
      <c r="O805" s="60"/>
      <c r="P805" s="9"/>
      <c r="Q805" s="3"/>
      <c r="R805" s="42">
        <v>4.7910000000000004</v>
      </c>
      <c r="S805" s="42">
        <v>4.6630000000000003</v>
      </c>
      <c r="T805" s="42">
        <v>4.88</v>
      </c>
      <c r="U805" s="42">
        <v>4.8259999999999996</v>
      </c>
      <c r="V805" s="42">
        <v>4.8230000000000004</v>
      </c>
      <c r="W805" s="33"/>
      <c r="X805" s="33"/>
      <c r="Y805" s="33"/>
      <c r="Z805" s="22">
        <v>4.7329999999999997</v>
      </c>
      <c r="AA805" s="35"/>
      <c r="AB805" s="42">
        <v>4.9729999999999999</v>
      </c>
      <c r="AC805" s="42">
        <v>4.915</v>
      </c>
      <c r="AD805" s="42">
        <v>4.8319999999999999</v>
      </c>
      <c r="AE805" s="42">
        <v>4.851</v>
      </c>
      <c r="AF805" s="42">
        <v>4.7300000000000004</v>
      </c>
      <c r="AG805" s="42">
        <v>4.6479999999999997</v>
      </c>
      <c r="AH805" s="42">
        <f t="shared" si="92"/>
        <v>4.6890000000000001</v>
      </c>
      <c r="AI805" s="39"/>
      <c r="AJ805" s="39"/>
      <c r="AK805" s="39"/>
      <c r="AL805" s="39"/>
      <c r="AM805" s="39"/>
      <c r="AN805" s="39"/>
      <c r="AO805" s="39"/>
      <c r="AP805" s="3"/>
      <c r="AQ805" s="8"/>
    </row>
    <row r="806" spans="1:43">
      <c r="A806" s="1">
        <f t="shared" si="89"/>
        <v>804</v>
      </c>
      <c r="B806" s="2" t="s">
        <v>324</v>
      </c>
      <c r="C806" s="1">
        <v>10</v>
      </c>
      <c r="D806" s="4">
        <f t="shared" si="88"/>
        <v>1016</v>
      </c>
      <c r="E806" s="4" t="s">
        <v>128</v>
      </c>
      <c r="F806" s="4">
        <v>1</v>
      </c>
      <c r="G806" s="4" t="s">
        <v>11</v>
      </c>
      <c r="H806" s="4" t="s">
        <v>12</v>
      </c>
      <c r="I806" s="4"/>
      <c r="J806" s="12">
        <v>89.1</v>
      </c>
      <c r="K806" s="63" t="s">
        <v>170</v>
      </c>
      <c r="L806" s="38">
        <v>3.8</v>
      </c>
      <c r="M806" s="127" t="s">
        <v>113</v>
      </c>
      <c r="N806" s="1" t="s">
        <v>13</v>
      </c>
      <c r="O806" s="60"/>
      <c r="P806" s="9"/>
      <c r="Q806" s="3"/>
      <c r="R806" s="6">
        <v>4.0250000000000004</v>
      </c>
      <c r="S806" s="6">
        <v>3.7320000000000002</v>
      </c>
      <c r="T806" s="22">
        <v>4.3310000000000004</v>
      </c>
      <c r="U806" s="22">
        <v>3.726</v>
      </c>
      <c r="V806" s="6">
        <v>4.016</v>
      </c>
      <c r="W806" s="22">
        <v>3.8889999999999998</v>
      </c>
      <c r="X806" s="6">
        <v>3.8879999999999999</v>
      </c>
      <c r="Y806" s="6">
        <v>3.8650000000000002</v>
      </c>
      <c r="Z806" s="22">
        <v>3.79</v>
      </c>
      <c r="AA806" s="41"/>
      <c r="AB806" s="22">
        <v>4.1580000000000004</v>
      </c>
      <c r="AC806" s="6">
        <v>4.1280000000000001</v>
      </c>
      <c r="AD806" s="6">
        <v>4.0010000000000003</v>
      </c>
      <c r="AE806" s="22">
        <v>3.9249999999999998</v>
      </c>
      <c r="AF806" s="22">
        <v>3.7650000000000001</v>
      </c>
      <c r="AG806" s="22">
        <v>3.83</v>
      </c>
      <c r="AH806" s="22">
        <f t="shared" ref="AH806:AH813" si="93">SUM(AF806:AG806)/2</f>
        <v>3.7975000000000003</v>
      </c>
      <c r="AI806" s="39"/>
      <c r="AJ806" s="39"/>
      <c r="AK806" s="39"/>
      <c r="AL806" s="39"/>
      <c r="AM806" s="39"/>
      <c r="AN806" s="39"/>
      <c r="AO806" s="39"/>
      <c r="AP806" s="3"/>
      <c r="AQ806" s="8"/>
    </row>
    <row r="807" spans="1:43">
      <c r="A807" s="1">
        <f t="shared" si="89"/>
        <v>805</v>
      </c>
      <c r="B807" s="19"/>
      <c r="C807" s="1">
        <v>10</v>
      </c>
      <c r="D807" s="4">
        <f t="shared" si="88"/>
        <v>1016</v>
      </c>
      <c r="E807" s="4" t="s">
        <v>118</v>
      </c>
      <c r="F807" s="4">
        <v>1</v>
      </c>
      <c r="G807" s="4" t="s">
        <v>11</v>
      </c>
      <c r="H807" s="4" t="s">
        <v>17</v>
      </c>
      <c r="I807" s="4"/>
      <c r="J807" s="13">
        <v>85.9</v>
      </c>
      <c r="K807" s="63" t="s">
        <v>170</v>
      </c>
      <c r="L807" s="38">
        <v>4.2490000000000006</v>
      </c>
      <c r="M807" s="127" t="s">
        <v>113</v>
      </c>
      <c r="N807" s="1" t="s">
        <v>13</v>
      </c>
      <c r="O807" s="60"/>
      <c r="P807" s="9"/>
      <c r="Q807" s="3"/>
      <c r="R807" s="6">
        <v>4.4489999999999998</v>
      </c>
      <c r="S807" s="6">
        <v>4.3869999999999996</v>
      </c>
      <c r="T807" s="22">
        <v>4.8719999999999999</v>
      </c>
      <c r="U807" s="22">
        <v>4.0620000000000003</v>
      </c>
      <c r="V807" s="6">
        <v>4.4279999999999999</v>
      </c>
      <c r="W807" s="22">
        <v>4.359</v>
      </c>
      <c r="X807" s="6">
        <v>4.3620000000000001</v>
      </c>
      <c r="Y807" s="6">
        <v>4.3079999999999998</v>
      </c>
      <c r="Z807" s="22">
        <v>4.2629999999999999</v>
      </c>
      <c r="AA807" s="41"/>
      <c r="AB807" s="22">
        <v>4.3109999999999999</v>
      </c>
      <c r="AC807" s="6">
        <v>4.3029999999999999</v>
      </c>
      <c r="AD807" s="6">
        <v>4.3310000000000004</v>
      </c>
      <c r="AE807" s="22">
        <v>4.0739999999999998</v>
      </c>
      <c r="AF807" s="22">
        <v>4.4020000000000001</v>
      </c>
      <c r="AG807" s="22">
        <v>4.1180000000000003</v>
      </c>
      <c r="AH807" s="22">
        <f t="shared" si="93"/>
        <v>4.26</v>
      </c>
      <c r="AI807" s="39"/>
      <c r="AJ807" s="39"/>
      <c r="AK807" s="39"/>
      <c r="AL807" s="39"/>
      <c r="AM807" s="39"/>
      <c r="AN807" s="39"/>
      <c r="AO807" s="39"/>
      <c r="AP807" s="3"/>
      <c r="AQ807" s="8"/>
    </row>
    <row r="808" spans="1:43">
      <c r="A808" s="1">
        <f t="shared" si="89"/>
        <v>806</v>
      </c>
      <c r="B808" s="19"/>
      <c r="C808" s="1">
        <v>10</v>
      </c>
      <c r="D808" s="4">
        <f t="shared" si="88"/>
        <v>1016</v>
      </c>
      <c r="E808" s="4" t="s">
        <v>137</v>
      </c>
      <c r="F808" s="4">
        <v>1</v>
      </c>
      <c r="G808" s="4" t="s">
        <v>11</v>
      </c>
      <c r="H808" s="4" t="s">
        <v>17</v>
      </c>
      <c r="I808" s="4" t="s">
        <v>208</v>
      </c>
      <c r="J808" s="13">
        <v>86.8</v>
      </c>
      <c r="K808" s="63" t="s">
        <v>170</v>
      </c>
      <c r="L808" s="38">
        <v>4.6470000000000002</v>
      </c>
      <c r="M808" s="127" t="s">
        <v>276</v>
      </c>
      <c r="N808" s="1" t="s">
        <v>13</v>
      </c>
      <c r="O808" s="60"/>
      <c r="P808" s="9"/>
      <c r="Q808" s="3"/>
      <c r="R808" s="6">
        <v>5.07</v>
      </c>
      <c r="S808" s="6">
        <v>4.5650000000000004</v>
      </c>
      <c r="T808" s="22">
        <v>5.2460000000000004</v>
      </c>
      <c r="U808" s="22">
        <v>4.7210000000000001</v>
      </c>
      <c r="V808" s="6">
        <v>4.9059999999999997</v>
      </c>
      <c r="W808" s="22">
        <v>4.7210000000000001</v>
      </c>
      <c r="X808" s="6">
        <v>4.7140000000000004</v>
      </c>
      <c r="Y808" s="6">
        <v>4.6900000000000004</v>
      </c>
      <c r="Z808" s="22">
        <v>4.5860000000000003</v>
      </c>
      <c r="AA808" s="41"/>
      <c r="AB808" s="22">
        <v>4.7679999999999998</v>
      </c>
      <c r="AC808" s="6">
        <v>4.7910000000000004</v>
      </c>
      <c r="AD808" s="6">
        <v>4.7190000000000003</v>
      </c>
      <c r="AE808" s="22">
        <v>4.5419999999999998</v>
      </c>
      <c r="AF808" s="22">
        <v>4.5650000000000004</v>
      </c>
      <c r="AG808" s="22">
        <v>4.5419999999999998</v>
      </c>
      <c r="AH808" s="22">
        <f t="shared" si="93"/>
        <v>4.5534999999999997</v>
      </c>
      <c r="AI808" s="39"/>
      <c r="AJ808" s="39"/>
      <c r="AK808" s="39"/>
      <c r="AL808" s="39"/>
      <c r="AM808" s="39"/>
      <c r="AN808" s="39"/>
      <c r="AO808" s="39"/>
      <c r="AP808" s="3"/>
      <c r="AQ808" s="8"/>
    </row>
    <row r="809" spans="1:43">
      <c r="A809" s="1">
        <f t="shared" si="89"/>
        <v>807</v>
      </c>
      <c r="B809" s="19"/>
      <c r="C809" s="1">
        <v>10</v>
      </c>
      <c r="D809" s="4">
        <f t="shared" si="88"/>
        <v>1016</v>
      </c>
      <c r="E809" s="4" t="s">
        <v>131</v>
      </c>
      <c r="F809" s="4">
        <v>1</v>
      </c>
      <c r="G809" s="4" t="s">
        <v>11</v>
      </c>
      <c r="H809" s="4" t="s">
        <v>12</v>
      </c>
      <c r="I809" s="4"/>
      <c r="J809" s="12">
        <v>87.3</v>
      </c>
      <c r="K809" s="70"/>
      <c r="L809" s="38">
        <v>5.1000000000000005</v>
      </c>
      <c r="M809" s="127" t="s">
        <v>113</v>
      </c>
      <c r="N809" s="1" t="s">
        <v>13</v>
      </c>
      <c r="O809" s="60"/>
      <c r="P809" s="9"/>
      <c r="Q809" s="3"/>
      <c r="R809" s="6">
        <v>5.4489999999999998</v>
      </c>
      <c r="S809" s="6">
        <v>4.9969999999999999</v>
      </c>
      <c r="T809" s="22">
        <v>5.6459999999999999</v>
      </c>
      <c r="U809" s="22">
        <v>5.1269999999999998</v>
      </c>
      <c r="V809" s="6">
        <v>5.383</v>
      </c>
      <c r="W809" s="22">
        <v>5.2060000000000004</v>
      </c>
      <c r="X809" s="6">
        <v>5.2009999999999996</v>
      </c>
      <c r="Y809" s="6">
        <v>5.1950000000000003</v>
      </c>
      <c r="Z809" s="22">
        <v>5.0869999999999997</v>
      </c>
      <c r="AA809" s="41"/>
      <c r="AB809" s="22">
        <v>5.4409999999999998</v>
      </c>
      <c r="AC809" s="6">
        <v>5.4189999999999996</v>
      </c>
      <c r="AD809" s="6">
        <v>5.2869999999999999</v>
      </c>
      <c r="AE809" s="22">
        <v>5.1959999999999997</v>
      </c>
      <c r="AF809" s="22">
        <v>5.0209999999999999</v>
      </c>
      <c r="AG809" s="22">
        <v>5.2370000000000001</v>
      </c>
      <c r="AH809" s="22">
        <f t="shared" si="93"/>
        <v>5.1289999999999996</v>
      </c>
      <c r="AI809" s="39"/>
      <c r="AJ809" s="39"/>
      <c r="AK809" s="39"/>
      <c r="AL809" s="39"/>
      <c r="AM809" s="39"/>
      <c r="AN809" s="39"/>
      <c r="AO809" s="39"/>
      <c r="AP809" s="3"/>
      <c r="AQ809" s="8"/>
    </row>
    <row r="810" spans="1:43">
      <c r="A810" s="1">
        <f t="shared" si="89"/>
        <v>808</v>
      </c>
      <c r="B810" s="19"/>
      <c r="C810" s="1">
        <v>10</v>
      </c>
      <c r="D810" s="4">
        <f t="shared" si="88"/>
        <v>1016</v>
      </c>
      <c r="E810" s="4" t="s">
        <v>131</v>
      </c>
      <c r="F810" s="4">
        <v>1</v>
      </c>
      <c r="G810" s="4" t="s">
        <v>11</v>
      </c>
      <c r="H810" s="4" t="s">
        <v>12</v>
      </c>
      <c r="I810" s="4"/>
      <c r="J810" s="12">
        <v>82.9</v>
      </c>
      <c r="K810" s="70"/>
      <c r="L810" s="45">
        <v>5.3890000000000002</v>
      </c>
      <c r="M810" s="127" t="s">
        <v>113</v>
      </c>
      <c r="N810" s="10" t="s">
        <v>111</v>
      </c>
      <c r="O810" s="60"/>
      <c r="P810" s="9"/>
      <c r="Q810" s="3"/>
      <c r="R810" s="6">
        <v>5.7229999999999999</v>
      </c>
      <c r="S810" s="6">
        <v>5.4690000000000003</v>
      </c>
      <c r="T810" s="22">
        <v>6.1070000000000002</v>
      </c>
      <c r="U810" s="22">
        <v>5.4530000000000003</v>
      </c>
      <c r="V810" s="6">
        <v>5.8109999999999999</v>
      </c>
      <c r="W810" s="6">
        <v>5.5810000000000004</v>
      </c>
      <c r="X810" s="6">
        <v>5.5750000000000002</v>
      </c>
      <c r="Y810" s="6">
        <v>5.5250000000000004</v>
      </c>
      <c r="Z810" s="22">
        <v>5.39</v>
      </c>
      <c r="AA810" s="41"/>
      <c r="AB810" s="22">
        <v>5.899</v>
      </c>
      <c r="AC810" s="6">
        <v>5.88</v>
      </c>
      <c r="AD810" s="6">
        <v>5.7290000000000001</v>
      </c>
      <c r="AE810" s="22">
        <v>5.6520000000000001</v>
      </c>
      <c r="AF810" s="22">
        <v>5.4859999999999998</v>
      </c>
      <c r="AG810" s="22">
        <v>5.5629999999999997</v>
      </c>
      <c r="AH810" s="22">
        <f t="shared" si="93"/>
        <v>5.5244999999999997</v>
      </c>
      <c r="AI810" s="39"/>
      <c r="AJ810" s="39"/>
      <c r="AK810" s="39"/>
      <c r="AL810" s="39"/>
      <c r="AM810" s="39"/>
      <c r="AN810" s="39"/>
      <c r="AO810" s="39"/>
      <c r="AP810" s="3"/>
      <c r="AQ810" s="8"/>
    </row>
    <row r="811" spans="1:43">
      <c r="A811" s="1">
        <f t="shared" si="89"/>
        <v>809</v>
      </c>
      <c r="B811" s="19"/>
      <c r="C811" s="1">
        <v>10</v>
      </c>
      <c r="D811" s="4">
        <f t="shared" si="88"/>
        <v>1016</v>
      </c>
      <c r="E811" s="4" t="s">
        <v>118</v>
      </c>
      <c r="F811" s="4">
        <v>1</v>
      </c>
      <c r="G811" s="4" t="s">
        <v>11</v>
      </c>
      <c r="H811" s="4" t="s">
        <v>17</v>
      </c>
      <c r="I811" s="4"/>
      <c r="J811" s="12">
        <v>86</v>
      </c>
      <c r="K811" s="63" t="s">
        <v>170</v>
      </c>
      <c r="L811" s="38">
        <v>5.6639999999999997</v>
      </c>
      <c r="M811" s="127" t="s">
        <v>113</v>
      </c>
      <c r="N811" s="1" t="s">
        <v>13</v>
      </c>
      <c r="O811" s="60"/>
      <c r="P811" s="9"/>
      <c r="Q811" s="3"/>
      <c r="R811" s="6">
        <v>5.84</v>
      </c>
      <c r="S811" s="6">
        <v>5.7389999999999999</v>
      </c>
      <c r="T811" s="22">
        <v>6.2779999999999996</v>
      </c>
      <c r="U811" s="41"/>
      <c r="V811" s="6">
        <v>5.9119999999999999</v>
      </c>
      <c r="W811" s="22">
        <v>5.774</v>
      </c>
      <c r="X811" s="6">
        <v>5.7690000000000001</v>
      </c>
      <c r="Y811" s="6">
        <v>5.7510000000000003</v>
      </c>
      <c r="Z811" s="22">
        <v>5.6740000000000004</v>
      </c>
      <c r="AA811" s="41"/>
      <c r="AB811" s="22">
        <v>5.7439999999999998</v>
      </c>
      <c r="AC811" s="6">
        <v>5.7389999999999999</v>
      </c>
      <c r="AD811" s="6">
        <v>5.7450000000000001</v>
      </c>
      <c r="AE811" s="22">
        <v>5.516</v>
      </c>
      <c r="AF811" s="22">
        <v>5.734</v>
      </c>
      <c r="AG811" s="22">
        <v>5.5170000000000003</v>
      </c>
      <c r="AH811" s="22">
        <f t="shared" si="93"/>
        <v>5.6255000000000006</v>
      </c>
      <c r="AI811" s="39"/>
      <c r="AJ811" s="39"/>
      <c r="AK811" s="39"/>
      <c r="AL811" s="39"/>
      <c r="AM811" s="39"/>
      <c r="AN811" s="39"/>
      <c r="AO811" s="39"/>
      <c r="AP811" s="3"/>
      <c r="AQ811" s="8"/>
    </row>
    <row r="812" spans="1:43">
      <c r="A812" s="1">
        <f t="shared" si="89"/>
        <v>810</v>
      </c>
      <c r="B812" s="19"/>
      <c r="C812" s="1">
        <v>10</v>
      </c>
      <c r="D812" s="4">
        <f t="shared" si="88"/>
        <v>1016</v>
      </c>
      <c r="E812" s="4" t="s">
        <v>128</v>
      </c>
      <c r="F812" s="4">
        <v>1</v>
      </c>
      <c r="G812" s="4" t="s">
        <v>11</v>
      </c>
      <c r="H812" s="4" t="s">
        <v>12</v>
      </c>
      <c r="I812" s="4" t="s">
        <v>208</v>
      </c>
      <c r="J812" s="12">
        <v>84.6</v>
      </c>
      <c r="K812" s="63" t="s">
        <v>170</v>
      </c>
      <c r="L812" s="45">
        <v>6.2249999999999996</v>
      </c>
      <c r="M812" s="127" t="s">
        <v>276</v>
      </c>
      <c r="N812" s="10" t="s">
        <v>111</v>
      </c>
      <c r="O812" s="60"/>
      <c r="P812" s="9"/>
      <c r="Q812" s="3"/>
      <c r="R812" s="41"/>
      <c r="S812" s="6">
        <v>6.02</v>
      </c>
      <c r="T812" s="22">
        <v>7.0010000000000003</v>
      </c>
      <c r="U812" s="41"/>
      <c r="V812" s="6">
        <v>6.726</v>
      </c>
      <c r="W812" s="6">
        <v>6.37</v>
      </c>
      <c r="X812" s="6">
        <v>6.36</v>
      </c>
      <c r="Y812" s="6">
        <v>6.3550000000000004</v>
      </c>
      <c r="Z812" s="22">
        <v>6.14</v>
      </c>
      <c r="AA812" s="41"/>
      <c r="AB812" s="22">
        <v>6.8419999999999996</v>
      </c>
      <c r="AC812" s="6">
        <v>6.78</v>
      </c>
      <c r="AD812" s="6">
        <v>6.524</v>
      </c>
      <c r="AE812" s="22">
        <v>6.5860000000000003</v>
      </c>
      <c r="AF812" s="22">
        <v>6.0970000000000004</v>
      </c>
      <c r="AG812" s="22">
        <v>6.6769999999999996</v>
      </c>
      <c r="AH812" s="22">
        <f t="shared" si="93"/>
        <v>6.3870000000000005</v>
      </c>
      <c r="AI812" s="39"/>
      <c r="AJ812" s="39"/>
      <c r="AK812" s="39"/>
      <c r="AL812" s="39"/>
      <c r="AM812" s="39"/>
      <c r="AN812" s="39"/>
      <c r="AO812" s="39"/>
      <c r="AP812" s="3"/>
      <c r="AQ812" s="8"/>
    </row>
    <row r="813" spans="1:43">
      <c r="A813" s="1">
        <f t="shared" si="89"/>
        <v>811</v>
      </c>
      <c r="B813" s="19"/>
      <c r="C813" s="1">
        <v>10</v>
      </c>
      <c r="D813" s="4">
        <f t="shared" si="88"/>
        <v>1016</v>
      </c>
      <c r="E813" s="4" t="s">
        <v>137</v>
      </c>
      <c r="F813" s="4">
        <v>1</v>
      </c>
      <c r="G813" s="4" t="s">
        <v>11</v>
      </c>
      <c r="H813" s="4" t="s">
        <v>17</v>
      </c>
      <c r="I813" s="4"/>
      <c r="J813" s="12">
        <v>88.7</v>
      </c>
      <c r="K813" s="63" t="s">
        <v>170</v>
      </c>
      <c r="L813" s="38">
        <v>6.2969999999999997</v>
      </c>
      <c r="M813" s="127" t="s">
        <v>113</v>
      </c>
      <c r="N813" s="1" t="s">
        <v>13</v>
      </c>
      <c r="O813" s="60"/>
      <c r="P813" s="9"/>
      <c r="Q813" s="3"/>
      <c r="R813" s="6">
        <v>6.8109999999999999</v>
      </c>
      <c r="S813" s="6">
        <v>6.3419999999999996</v>
      </c>
      <c r="T813" s="22">
        <v>6.7990000000000004</v>
      </c>
      <c r="U813" s="41"/>
      <c r="V813" s="6">
        <v>6.4870000000000001</v>
      </c>
      <c r="W813" s="22">
        <v>6.3719999999999999</v>
      </c>
      <c r="X813" s="6">
        <v>6.3630000000000004</v>
      </c>
      <c r="Y813" s="6">
        <v>6.3390000000000004</v>
      </c>
      <c r="Z813" s="22">
        <v>6.2770000000000001</v>
      </c>
      <c r="AA813" s="41"/>
      <c r="AB813" s="22">
        <v>6.34</v>
      </c>
      <c r="AC813" s="6">
        <v>6.3609999999999998</v>
      </c>
      <c r="AD813" s="6">
        <v>6.351</v>
      </c>
      <c r="AE813" s="22">
        <v>6.1390000000000002</v>
      </c>
      <c r="AF813" s="22">
        <v>6.3230000000000004</v>
      </c>
      <c r="AG813" s="22">
        <v>6.1360000000000001</v>
      </c>
      <c r="AH813" s="22">
        <f t="shared" si="93"/>
        <v>6.2294999999999998</v>
      </c>
      <c r="AI813" s="39"/>
      <c r="AJ813" s="39"/>
      <c r="AK813" s="39"/>
      <c r="AL813" s="39"/>
      <c r="AM813" s="39"/>
      <c r="AN813" s="39"/>
      <c r="AO813" s="39"/>
      <c r="AP813" s="3"/>
      <c r="AQ813" s="8"/>
    </row>
    <row r="814" spans="1:43">
      <c r="A814" s="1">
        <f t="shared" si="89"/>
        <v>812</v>
      </c>
      <c r="B814" s="19"/>
      <c r="C814" s="1">
        <v>10</v>
      </c>
      <c r="D814" s="4">
        <f t="shared" si="88"/>
        <v>1016</v>
      </c>
      <c r="E814" s="4" t="s">
        <v>142</v>
      </c>
      <c r="F814" s="4">
        <v>3</v>
      </c>
      <c r="G814" s="4" t="s">
        <v>11</v>
      </c>
      <c r="H814" s="4" t="s">
        <v>17</v>
      </c>
      <c r="I814" s="4"/>
      <c r="J814" s="12">
        <v>97.4</v>
      </c>
      <c r="K814" s="70"/>
      <c r="L814" s="45">
        <v>3.2549999999999999</v>
      </c>
      <c r="M814" s="127" t="s">
        <v>158</v>
      </c>
      <c r="N814" s="10" t="s">
        <v>111</v>
      </c>
      <c r="O814" s="60"/>
      <c r="P814" s="9"/>
      <c r="Q814" s="3"/>
      <c r="R814" s="22">
        <v>3.7080000000000002</v>
      </c>
      <c r="S814" s="22">
        <v>3.411</v>
      </c>
      <c r="T814" s="22">
        <v>3.6360000000000001</v>
      </c>
      <c r="U814" s="22">
        <v>2.871</v>
      </c>
      <c r="V814" s="22">
        <v>3.173</v>
      </c>
      <c r="W814" s="41"/>
      <c r="X814" s="41"/>
      <c r="Y814" s="41"/>
      <c r="Z814" s="41"/>
      <c r="AA814" s="41"/>
      <c r="AB814" s="1">
        <v>3.468</v>
      </c>
      <c r="AC814" s="1">
        <v>3.4740000000000002</v>
      </c>
      <c r="AD814" s="1">
        <v>3.4550000000000001</v>
      </c>
      <c r="AE814" s="22">
        <v>3.3090000000000002</v>
      </c>
      <c r="AF814" s="22">
        <v>3.4140000000000001</v>
      </c>
      <c r="AG814" s="22">
        <v>2.9950000000000001</v>
      </c>
      <c r="AH814" s="22">
        <f t="shared" ref="AH814:AH816" si="94">SUM(AF814:AG814)/2</f>
        <v>3.2045000000000003</v>
      </c>
      <c r="AI814" s="39"/>
      <c r="AJ814" s="39"/>
      <c r="AK814" s="39"/>
      <c r="AL814" s="39"/>
      <c r="AM814" s="39"/>
      <c r="AN814" s="39"/>
      <c r="AO814" s="39"/>
      <c r="AP814" s="3"/>
      <c r="AQ814" s="8"/>
    </row>
    <row r="815" spans="1:43">
      <c r="A815" s="1">
        <f t="shared" si="89"/>
        <v>813</v>
      </c>
      <c r="B815" s="19"/>
      <c r="C815" s="1">
        <v>10</v>
      </c>
      <c r="D815" s="4">
        <f t="shared" si="88"/>
        <v>1016</v>
      </c>
      <c r="E815" s="4" t="s">
        <v>129</v>
      </c>
      <c r="F815" s="4">
        <v>3</v>
      </c>
      <c r="G815" s="4" t="s">
        <v>11</v>
      </c>
      <c r="H815" s="4" t="s">
        <v>12</v>
      </c>
      <c r="I815" s="4"/>
      <c r="J815" s="12">
        <v>96.9</v>
      </c>
      <c r="K815" s="70"/>
      <c r="L815" s="45">
        <v>3.3519999999999999</v>
      </c>
      <c r="M815" s="127" t="s">
        <v>158</v>
      </c>
      <c r="N815" s="10" t="s">
        <v>111</v>
      </c>
      <c r="O815" s="60"/>
      <c r="P815" s="9"/>
      <c r="Q815" s="3"/>
      <c r="R815" s="22">
        <v>3.6120000000000001</v>
      </c>
      <c r="S815" s="22">
        <v>3.3119999999999998</v>
      </c>
      <c r="T815" s="22">
        <v>3.7839999999999998</v>
      </c>
      <c r="U815" s="22">
        <v>3.1960000000000002</v>
      </c>
      <c r="V815" s="22">
        <v>3.4940000000000002</v>
      </c>
      <c r="W815" s="41"/>
      <c r="X815" s="41"/>
      <c r="Y815" s="41"/>
      <c r="Z815" s="41"/>
      <c r="AA815" s="41"/>
      <c r="AB815" s="1">
        <v>3.7330000000000001</v>
      </c>
      <c r="AC815" s="1">
        <v>3.714</v>
      </c>
      <c r="AD815" s="1">
        <v>3.5819999999999999</v>
      </c>
      <c r="AE815" s="22">
        <v>3.524</v>
      </c>
      <c r="AF815" s="22">
        <v>3.331</v>
      </c>
      <c r="AG815" s="22">
        <v>3.32</v>
      </c>
      <c r="AH815" s="22">
        <f t="shared" si="94"/>
        <v>3.3254999999999999</v>
      </c>
      <c r="AI815" s="39"/>
      <c r="AJ815" s="39"/>
      <c r="AK815" s="39"/>
      <c r="AL815" s="39"/>
      <c r="AM815" s="39"/>
      <c r="AN815" s="39"/>
      <c r="AO815" s="39"/>
      <c r="AP815" s="3"/>
      <c r="AQ815" s="8"/>
    </row>
    <row r="816" spans="1:43">
      <c r="A816" s="1">
        <f t="shared" si="89"/>
        <v>814</v>
      </c>
      <c r="B816" s="19"/>
      <c r="C816" s="1">
        <v>10</v>
      </c>
      <c r="D816" s="4">
        <f t="shared" si="88"/>
        <v>1016</v>
      </c>
      <c r="E816" s="4" t="s">
        <v>143</v>
      </c>
      <c r="F816" s="4">
        <v>3</v>
      </c>
      <c r="G816" s="4" t="s">
        <v>11</v>
      </c>
      <c r="H816" s="4" t="s">
        <v>17</v>
      </c>
      <c r="I816" s="4"/>
      <c r="J816" s="12">
        <v>96.9</v>
      </c>
      <c r="K816" s="70"/>
      <c r="L816" s="45">
        <v>3.875</v>
      </c>
      <c r="M816" s="127" t="s">
        <v>158</v>
      </c>
      <c r="N816" s="10" t="s">
        <v>111</v>
      </c>
      <c r="O816" s="60"/>
      <c r="P816" s="9"/>
      <c r="Q816" s="3"/>
      <c r="R816" s="22">
        <v>4.1950000000000003</v>
      </c>
      <c r="S816" s="22">
        <v>4.03</v>
      </c>
      <c r="T816" s="22">
        <v>4.3449999999999998</v>
      </c>
      <c r="U816" s="22">
        <v>3.7559999999999998</v>
      </c>
      <c r="V816" s="22">
        <v>3.923</v>
      </c>
      <c r="W816" s="41"/>
      <c r="X816" s="41"/>
      <c r="Y816" s="41"/>
      <c r="Z816" s="41"/>
      <c r="AA816" s="41"/>
      <c r="AB816" s="1">
        <v>4.0430000000000001</v>
      </c>
      <c r="AC816" s="1">
        <v>4.0469999999999997</v>
      </c>
      <c r="AD816" s="1">
        <v>4.0419999999999998</v>
      </c>
      <c r="AE816" s="22">
        <v>3.8580000000000001</v>
      </c>
      <c r="AF816" s="22">
        <v>4.032</v>
      </c>
      <c r="AG816" s="22">
        <v>3.5470000000000002</v>
      </c>
      <c r="AH816" s="22">
        <f t="shared" si="94"/>
        <v>3.7895000000000003</v>
      </c>
      <c r="AI816" s="39"/>
      <c r="AJ816" s="39"/>
      <c r="AK816" s="39"/>
      <c r="AL816" s="39"/>
      <c r="AM816" s="39"/>
      <c r="AN816" s="39"/>
      <c r="AO816" s="39"/>
      <c r="AP816" s="3"/>
      <c r="AQ816" s="8"/>
    </row>
    <row r="817" spans="1:43">
      <c r="A817" s="1">
        <f t="shared" si="89"/>
        <v>815</v>
      </c>
      <c r="B817" s="31" t="s">
        <v>145</v>
      </c>
      <c r="C817" s="1">
        <v>3</v>
      </c>
      <c r="D817" s="4">
        <f t="shared" si="88"/>
        <v>35</v>
      </c>
      <c r="E817" s="4" t="s">
        <v>128</v>
      </c>
      <c r="F817" s="4">
        <v>1</v>
      </c>
      <c r="G817" s="4" t="s">
        <v>11</v>
      </c>
      <c r="H817" s="4" t="s">
        <v>215</v>
      </c>
      <c r="I817" s="4"/>
      <c r="J817" s="12">
        <v>92.1</v>
      </c>
      <c r="K817" s="64">
        <v>3.1E-2</v>
      </c>
      <c r="L817" s="38">
        <v>3.883</v>
      </c>
      <c r="M817" s="127" t="s">
        <v>216</v>
      </c>
      <c r="N817" s="4" t="s">
        <v>13</v>
      </c>
      <c r="O817" s="6">
        <v>3.8980000000000001</v>
      </c>
      <c r="P817" s="1" t="s">
        <v>7</v>
      </c>
      <c r="Q817" s="3" t="s">
        <v>205</v>
      </c>
      <c r="R817" s="42">
        <v>3.988</v>
      </c>
      <c r="S817" s="42">
        <v>3.9910000000000001</v>
      </c>
      <c r="T817" s="42">
        <v>3.6960000000000002</v>
      </c>
      <c r="U817" s="42">
        <v>3.8290000000000002</v>
      </c>
      <c r="V817" s="42">
        <v>3.964</v>
      </c>
      <c r="W817" s="22">
        <v>3.8959999999999999</v>
      </c>
      <c r="X817" s="22">
        <v>3.8929999999999998</v>
      </c>
      <c r="Y817" s="22">
        <v>3.91</v>
      </c>
      <c r="Z817" s="22">
        <v>3.8959999999999999</v>
      </c>
      <c r="AA817" s="22">
        <v>3.8839999999999999</v>
      </c>
      <c r="AB817" s="6">
        <v>4.01</v>
      </c>
      <c r="AC817" s="6">
        <v>4.0369999999999999</v>
      </c>
      <c r="AD817" s="6">
        <v>4.0220000000000002</v>
      </c>
      <c r="AE817" s="6">
        <v>3.8929999999999998</v>
      </c>
      <c r="AF817" s="6">
        <v>3.9510000000000001</v>
      </c>
      <c r="AG817" s="6">
        <v>3.76</v>
      </c>
      <c r="AH817" s="6">
        <f t="shared" ref="AH817:AH818" si="95">IF((AF817&lt;&gt;0)*AND(AG817&lt;&gt;0),AVERAGE(AF817:AG817),"")</f>
        <v>3.8555000000000001</v>
      </c>
      <c r="AI817" s="39"/>
      <c r="AJ817" s="39"/>
      <c r="AK817" s="39"/>
      <c r="AL817" s="39"/>
      <c r="AM817" s="39"/>
      <c r="AN817" s="39"/>
      <c r="AO817" s="39"/>
      <c r="AP817" s="3"/>
      <c r="AQ817" s="8"/>
    </row>
    <row r="818" spans="1:43">
      <c r="A818" s="1">
        <f t="shared" si="89"/>
        <v>816</v>
      </c>
      <c r="B818" s="31"/>
      <c r="C818" s="1">
        <v>3</v>
      </c>
      <c r="D818" s="4">
        <f t="shared" si="88"/>
        <v>35</v>
      </c>
      <c r="E818" s="4" t="s">
        <v>129</v>
      </c>
      <c r="F818" s="4">
        <v>3</v>
      </c>
      <c r="G818" s="4" t="s">
        <v>11</v>
      </c>
      <c r="H818" s="4" t="s">
        <v>215</v>
      </c>
      <c r="I818" s="4"/>
      <c r="J818" s="13">
        <v>98.7</v>
      </c>
      <c r="K818" s="68"/>
      <c r="L818" s="38">
        <v>2.476</v>
      </c>
      <c r="M818" s="127" t="s">
        <v>109</v>
      </c>
      <c r="N818" s="4" t="s">
        <v>13</v>
      </c>
      <c r="O818" s="6">
        <v>2.4910000000000001</v>
      </c>
      <c r="P818" s="1" t="s">
        <v>7</v>
      </c>
      <c r="Q818" s="3" t="s">
        <v>205</v>
      </c>
      <c r="R818" s="22">
        <v>2.4009999999999998</v>
      </c>
      <c r="S818" s="22">
        <v>2.39</v>
      </c>
      <c r="T818" s="42">
        <v>2.1829999999999998</v>
      </c>
      <c r="U818" s="42">
        <v>2.44</v>
      </c>
      <c r="V818" s="22">
        <v>2.4449999999999998</v>
      </c>
      <c r="W818" s="60"/>
      <c r="X818" s="60"/>
      <c r="Y818" s="60"/>
      <c r="Z818" s="22">
        <v>2.4769999999999999</v>
      </c>
      <c r="AA818" s="22">
        <v>2.4710000000000001</v>
      </c>
      <c r="AB818" s="6">
        <v>2.5059999999999998</v>
      </c>
      <c r="AC818" s="6">
        <v>2.5289999999999999</v>
      </c>
      <c r="AD818" s="6">
        <v>2.4820000000000002</v>
      </c>
      <c r="AE818" s="6">
        <v>2.4430000000000001</v>
      </c>
      <c r="AF818" s="6">
        <v>2.3460000000000001</v>
      </c>
      <c r="AG818" s="6">
        <v>2.3119999999999998</v>
      </c>
      <c r="AH818" s="6">
        <f t="shared" si="95"/>
        <v>2.3289999999999997</v>
      </c>
      <c r="AI818" s="39"/>
      <c r="AJ818" s="39"/>
      <c r="AK818" s="39"/>
      <c r="AL818" s="39"/>
      <c r="AM818" s="39"/>
      <c r="AN818" s="39"/>
      <c r="AO818" s="39"/>
      <c r="AP818" s="3"/>
      <c r="AQ818" s="8"/>
    </row>
    <row r="819" spans="1:43">
      <c r="A819" s="1">
        <f t="shared" si="89"/>
        <v>817</v>
      </c>
      <c r="B819" s="31" t="s">
        <v>174</v>
      </c>
      <c r="C819" s="1">
        <v>2</v>
      </c>
      <c r="D819" s="4">
        <f t="shared" si="88"/>
        <v>12</v>
      </c>
      <c r="E819" s="4" t="s">
        <v>131</v>
      </c>
      <c r="F819" s="4">
        <v>1</v>
      </c>
      <c r="G819" s="4" t="s">
        <v>11</v>
      </c>
      <c r="H819" s="4" t="s">
        <v>17</v>
      </c>
      <c r="I819" s="4"/>
      <c r="J819" s="5">
        <v>88</v>
      </c>
      <c r="K819" s="70"/>
      <c r="L819" s="38">
        <v>2.1179999999999999</v>
      </c>
      <c r="M819" s="127" t="s">
        <v>220</v>
      </c>
      <c r="N819" s="1" t="s">
        <v>13</v>
      </c>
      <c r="O819" s="22">
        <v>2.125</v>
      </c>
      <c r="P819" s="1" t="s">
        <v>7</v>
      </c>
      <c r="Q819" s="3" t="s">
        <v>205</v>
      </c>
      <c r="R819" s="22">
        <v>2.3849999999999998</v>
      </c>
      <c r="S819" s="42">
        <v>2.3660000000000001</v>
      </c>
      <c r="T819" s="42">
        <v>2.0859999999999999</v>
      </c>
      <c r="U819" s="42">
        <v>2.2120000000000002</v>
      </c>
      <c r="V819" s="42">
        <v>2.286</v>
      </c>
      <c r="W819" s="22">
        <v>2.1539999999999999</v>
      </c>
      <c r="X819" s="22">
        <v>2.1560000000000001</v>
      </c>
      <c r="Y819" s="22">
        <v>2.1669999999999998</v>
      </c>
      <c r="Z819" s="22">
        <v>2.1539999999999999</v>
      </c>
      <c r="AA819" s="22">
        <v>2.1280000000000001</v>
      </c>
      <c r="AB819" s="22">
        <v>2.351</v>
      </c>
      <c r="AC819" s="22">
        <v>2.3460000000000001</v>
      </c>
      <c r="AD819" s="22">
        <v>2.3519999999999999</v>
      </c>
      <c r="AE819" s="22">
        <v>2.2410000000000001</v>
      </c>
      <c r="AF819" s="22">
        <v>2.371</v>
      </c>
      <c r="AG819" s="22">
        <v>1.875</v>
      </c>
      <c r="AH819" s="6">
        <f t="shared" ref="AH819:AH921" si="96">IF((AF819&lt;&gt;0)*AND(AG819&lt;&gt;0),AVERAGE(AF819:AG819),"")</f>
        <v>2.1230000000000002</v>
      </c>
      <c r="AI819" s="39"/>
      <c r="AJ819" s="39"/>
      <c r="AK819" s="39"/>
      <c r="AL819" s="39"/>
      <c r="AM819" s="39"/>
      <c r="AN819" s="39"/>
      <c r="AO819" s="39"/>
      <c r="AP819" s="3"/>
      <c r="AQ819" s="8"/>
    </row>
    <row r="820" spans="1:43">
      <c r="A820" s="1">
        <f t="shared" si="89"/>
        <v>818</v>
      </c>
      <c r="B820" s="31"/>
      <c r="C820" s="1">
        <v>2</v>
      </c>
      <c r="D820" s="4">
        <f t="shared" si="88"/>
        <v>12</v>
      </c>
      <c r="E820" s="4" t="s">
        <v>137</v>
      </c>
      <c r="F820" s="4">
        <v>1</v>
      </c>
      <c r="G820" s="4" t="s">
        <v>11</v>
      </c>
      <c r="H820" s="4" t="s">
        <v>12</v>
      </c>
      <c r="I820" s="4"/>
      <c r="J820" s="5">
        <v>92.3</v>
      </c>
      <c r="K820" s="63">
        <v>3.3000000000000002E-2</v>
      </c>
      <c r="L820" s="38">
        <v>3.78</v>
      </c>
      <c r="M820" s="127" t="s">
        <v>220</v>
      </c>
      <c r="N820" s="1" t="s">
        <v>13</v>
      </c>
      <c r="O820" s="22">
        <v>3.7879999999999998</v>
      </c>
      <c r="P820" s="1" t="s">
        <v>7</v>
      </c>
      <c r="Q820" s="3" t="s">
        <v>205</v>
      </c>
      <c r="R820" s="22">
        <v>3.911</v>
      </c>
      <c r="S820" s="42">
        <v>3.8519999999999999</v>
      </c>
      <c r="T820" s="22">
        <v>3.6560000000000001</v>
      </c>
      <c r="U820" s="22">
        <v>3.819</v>
      </c>
      <c r="V820" s="42">
        <v>3.8769999999999998</v>
      </c>
      <c r="W820" s="22">
        <v>3.7869999999999999</v>
      </c>
      <c r="X820" s="22">
        <v>3.7890000000000001</v>
      </c>
      <c r="Y820" s="22">
        <v>3.7989999999999999</v>
      </c>
      <c r="Z820" s="22">
        <v>3.78</v>
      </c>
      <c r="AA820" s="22">
        <v>3.7789999999999999</v>
      </c>
      <c r="AB820" s="22">
        <v>3.976</v>
      </c>
      <c r="AC820" s="22">
        <v>3.9409999999999998</v>
      </c>
      <c r="AD820" s="22">
        <v>3.9119999999999999</v>
      </c>
      <c r="AE820" s="22">
        <v>3.867</v>
      </c>
      <c r="AF820" s="22">
        <v>3.8860000000000001</v>
      </c>
      <c r="AG820" s="22">
        <v>3.6459999999999999</v>
      </c>
      <c r="AH820" s="6">
        <f t="shared" si="96"/>
        <v>3.766</v>
      </c>
      <c r="AI820" s="39"/>
      <c r="AJ820" s="39"/>
      <c r="AK820" s="39"/>
      <c r="AL820" s="39"/>
      <c r="AM820" s="39"/>
      <c r="AN820" s="39"/>
      <c r="AO820" s="39"/>
      <c r="AP820" s="3"/>
      <c r="AQ820" s="8"/>
    </row>
    <row r="821" spans="1:43">
      <c r="A821" s="1">
        <f t="shared" si="89"/>
        <v>819</v>
      </c>
      <c r="B821" s="31" t="s">
        <v>193</v>
      </c>
      <c r="C821" s="1">
        <v>3</v>
      </c>
      <c r="D821" s="4">
        <f t="shared" si="88"/>
        <v>35</v>
      </c>
      <c r="E821" s="4" t="s">
        <v>137</v>
      </c>
      <c r="F821" s="4">
        <v>1</v>
      </c>
      <c r="G821" s="4" t="s">
        <v>11</v>
      </c>
      <c r="H821" s="4" t="s">
        <v>17</v>
      </c>
      <c r="I821" s="4"/>
      <c r="J821" s="5">
        <v>88.7</v>
      </c>
      <c r="K821" s="63">
        <v>0.34699999999999998</v>
      </c>
      <c r="L821" s="38">
        <v>7.1150000000000002</v>
      </c>
      <c r="M821" s="127" t="s">
        <v>117</v>
      </c>
      <c r="N821" s="4" t="s">
        <v>13</v>
      </c>
      <c r="O821" s="6">
        <v>7.1230000000000002</v>
      </c>
      <c r="P821" s="4" t="s">
        <v>7</v>
      </c>
      <c r="Q821" s="3" t="s">
        <v>205</v>
      </c>
      <c r="R821" s="22">
        <v>6.9909999999999997</v>
      </c>
      <c r="S821" s="6">
        <v>7.202</v>
      </c>
      <c r="T821" s="22">
        <v>7.117</v>
      </c>
      <c r="U821" s="22">
        <v>6.7779999999999996</v>
      </c>
      <c r="V821" s="22">
        <v>7.242</v>
      </c>
      <c r="W821" s="22">
        <v>7.133</v>
      </c>
      <c r="X821" s="22">
        <v>7.12</v>
      </c>
      <c r="Y821" s="22">
        <v>7.157</v>
      </c>
      <c r="Z821" s="22">
        <v>7.1260000000000003</v>
      </c>
      <c r="AA821" s="22">
        <v>7.11</v>
      </c>
      <c r="AB821" s="6">
        <v>7.0309999999999997</v>
      </c>
      <c r="AC821" s="6">
        <v>7.1980000000000004</v>
      </c>
      <c r="AD821" s="6">
        <v>7.2</v>
      </c>
      <c r="AE821" s="6">
        <v>6.8120000000000003</v>
      </c>
      <c r="AF821" s="6">
        <v>7.0019999999999998</v>
      </c>
      <c r="AG821" s="6">
        <v>7.165</v>
      </c>
      <c r="AH821" s="22">
        <f t="shared" ref="AH821:AH826" si="97">0.5*(AF821+AG821)</f>
        <v>7.0834999999999999</v>
      </c>
      <c r="AI821" s="4">
        <v>7.82</v>
      </c>
      <c r="AJ821" s="7">
        <v>7.17</v>
      </c>
      <c r="AK821" s="7">
        <v>6.76</v>
      </c>
      <c r="AL821" s="7">
        <v>7.28</v>
      </c>
      <c r="AM821" s="7">
        <v>7.21</v>
      </c>
      <c r="AN821" s="4">
        <v>7.34</v>
      </c>
      <c r="AO821" s="7">
        <v>7.13</v>
      </c>
      <c r="AP821" s="3"/>
      <c r="AQ821" s="8"/>
    </row>
    <row r="822" spans="1:43">
      <c r="A822" s="1">
        <f t="shared" si="89"/>
        <v>820</v>
      </c>
      <c r="B822" s="31"/>
      <c r="C822" s="1">
        <v>3</v>
      </c>
      <c r="D822" s="4">
        <f t="shared" si="88"/>
        <v>35</v>
      </c>
      <c r="E822" s="4" t="s">
        <v>142</v>
      </c>
      <c r="F822" s="4">
        <v>3</v>
      </c>
      <c r="G822" s="4" t="s">
        <v>11</v>
      </c>
      <c r="H822" s="4" t="s">
        <v>17</v>
      </c>
      <c r="I822" s="4"/>
      <c r="J822" s="5">
        <v>98.3</v>
      </c>
      <c r="K822" s="70"/>
      <c r="L822" s="38">
        <v>5.4770000000000003</v>
      </c>
      <c r="M822" s="127" t="s">
        <v>109</v>
      </c>
      <c r="N822" s="4" t="s">
        <v>13</v>
      </c>
      <c r="O822" s="6">
        <v>5.4889999999999999</v>
      </c>
      <c r="P822" s="4" t="s">
        <v>7</v>
      </c>
      <c r="Q822" s="3" t="s">
        <v>205</v>
      </c>
      <c r="R822" s="22">
        <v>5.6130000000000004</v>
      </c>
      <c r="S822" s="6">
        <v>5.5990000000000002</v>
      </c>
      <c r="T822" s="22">
        <v>5.4809999999999999</v>
      </c>
      <c r="U822" s="22">
        <v>5.399</v>
      </c>
      <c r="V822" s="22">
        <v>5.4509999999999996</v>
      </c>
      <c r="W822" s="46"/>
      <c r="X822" s="46"/>
      <c r="Y822" s="46"/>
      <c r="Z822" s="22">
        <v>5.4809999999999999</v>
      </c>
      <c r="AA822" s="22">
        <v>5.4690000000000003</v>
      </c>
      <c r="AB822" s="6">
        <v>5.6950000000000003</v>
      </c>
      <c r="AC822" s="6">
        <v>5.7270000000000003</v>
      </c>
      <c r="AD822" s="6">
        <v>5.6849999999999996</v>
      </c>
      <c r="AE822" s="6">
        <v>5.5410000000000004</v>
      </c>
      <c r="AF822" s="6">
        <v>5.5460000000000003</v>
      </c>
      <c r="AG822" s="6">
        <v>5.3330000000000002</v>
      </c>
      <c r="AH822" s="22">
        <f t="shared" si="97"/>
        <v>5.4395000000000007</v>
      </c>
      <c r="AI822" s="4">
        <v>5.86</v>
      </c>
      <c r="AJ822" s="7">
        <v>5.49</v>
      </c>
      <c r="AK822" s="7">
        <v>5.22</v>
      </c>
      <c r="AL822" s="7">
        <v>5.54</v>
      </c>
      <c r="AM822" s="7">
        <v>5.49</v>
      </c>
      <c r="AN822" s="4">
        <v>5.62</v>
      </c>
      <c r="AO822" s="7">
        <v>5.52</v>
      </c>
      <c r="AP822" s="3"/>
      <c r="AQ822" s="8"/>
    </row>
    <row r="823" spans="1:43">
      <c r="A823" s="1">
        <f t="shared" si="89"/>
        <v>821</v>
      </c>
      <c r="B823" s="31" t="s">
        <v>194</v>
      </c>
      <c r="C823" s="1">
        <v>5</v>
      </c>
      <c r="D823" s="4">
        <f t="shared" si="88"/>
        <v>35</v>
      </c>
      <c r="E823" s="4" t="s">
        <v>137</v>
      </c>
      <c r="F823" s="4">
        <v>1</v>
      </c>
      <c r="G823" s="4" t="s">
        <v>11</v>
      </c>
      <c r="H823" s="4" t="s">
        <v>17</v>
      </c>
      <c r="I823" s="4"/>
      <c r="J823" s="5">
        <v>87.2</v>
      </c>
      <c r="K823" s="63">
        <v>0.755</v>
      </c>
      <c r="L823" s="38">
        <v>4.7949999999999999</v>
      </c>
      <c r="M823" s="128" t="s">
        <v>203</v>
      </c>
      <c r="N823" s="4" t="s">
        <v>13</v>
      </c>
      <c r="O823" s="6">
        <v>4.798</v>
      </c>
      <c r="P823" s="4" t="s">
        <v>7</v>
      </c>
      <c r="Q823" s="3" t="s">
        <v>205</v>
      </c>
      <c r="R823" s="22">
        <v>4.7590000000000003</v>
      </c>
      <c r="S823" s="6">
        <v>4.9210000000000003</v>
      </c>
      <c r="T823" s="6">
        <v>4.9260000000000002</v>
      </c>
      <c r="U823" s="22">
        <v>4.4180000000000001</v>
      </c>
      <c r="V823" s="22">
        <v>4.944</v>
      </c>
      <c r="W823" s="22">
        <v>4.8360000000000003</v>
      </c>
      <c r="X823" s="22">
        <v>4.8230000000000004</v>
      </c>
      <c r="Y823" s="22">
        <v>4.8540000000000001</v>
      </c>
      <c r="Z823" s="6">
        <v>4.82</v>
      </c>
      <c r="AA823" s="6">
        <v>4.806</v>
      </c>
      <c r="AB823" s="6">
        <v>4.7149999999999999</v>
      </c>
      <c r="AC823" s="6">
        <v>4.8710000000000004</v>
      </c>
      <c r="AD823" s="6">
        <v>4.8879999999999999</v>
      </c>
      <c r="AE823" s="6">
        <v>4.492</v>
      </c>
      <c r="AF823" s="6">
        <v>4.7089999999999996</v>
      </c>
      <c r="AG823" s="6">
        <v>4.76</v>
      </c>
      <c r="AH823" s="22">
        <f t="shared" si="97"/>
        <v>4.7344999999999997</v>
      </c>
      <c r="AI823" s="11"/>
      <c r="AJ823" s="11"/>
      <c r="AK823" s="11"/>
      <c r="AL823" s="11"/>
      <c r="AM823" s="11"/>
      <c r="AN823" s="11"/>
      <c r="AO823" s="11"/>
      <c r="AP823" s="3"/>
      <c r="AQ823" s="8"/>
    </row>
    <row r="824" spans="1:43">
      <c r="A824" s="1">
        <f t="shared" si="89"/>
        <v>822</v>
      </c>
      <c r="B824" s="31"/>
      <c r="C824" s="1">
        <v>5</v>
      </c>
      <c r="D824" s="4">
        <f t="shared" si="88"/>
        <v>35</v>
      </c>
      <c r="E824" s="4" t="s">
        <v>142</v>
      </c>
      <c r="F824" s="4">
        <v>3</v>
      </c>
      <c r="G824" s="4" t="s">
        <v>11</v>
      </c>
      <c r="H824" s="4" t="s">
        <v>17</v>
      </c>
      <c r="I824" s="4"/>
      <c r="J824" s="5">
        <v>98</v>
      </c>
      <c r="K824" s="70"/>
      <c r="L824" s="38">
        <v>3.4279999999999999</v>
      </c>
      <c r="M824" s="128" t="s">
        <v>113</v>
      </c>
      <c r="N824" s="4" t="s">
        <v>13</v>
      </c>
      <c r="O824" s="6">
        <v>3.4329999999999998</v>
      </c>
      <c r="P824" s="4" t="s">
        <v>7</v>
      </c>
      <c r="Q824" s="3" t="s">
        <v>205</v>
      </c>
      <c r="R824" s="22">
        <v>3.6179999999999999</v>
      </c>
      <c r="S824" s="6">
        <v>3.5670000000000002</v>
      </c>
      <c r="T824" s="6">
        <v>3.52</v>
      </c>
      <c r="U824" s="22">
        <v>3.3359999999999999</v>
      </c>
      <c r="V824" s="22">
        <v>3.4020000000000001</v>
      </c>
      <c r="W824" s="46"/>
      <c r="X824" s="46"/>
      <c r="Y824" s="46"/>
      <c r="Z824" s="6">
        <v>3.4390000000000001</v>
      </c>
      <c r="AA824" s="46"/>
      <c r="AB824" s="6">
        <v>3.6640000000000001</v>
      </c>
      <c r="AC824" s="6">
        <v>3.698</v>
      </c>
      <c r="AD824" s="6">
        <v>3.6549999999999998</v>
      </c>
      <c r="AE824" s="6">
        <v>3.5019999999999998</v>
      </c>
      <c r="AF824" s="6">
        <v>3.5070000000000001</v>
      </c>
      <c r="AG824" s="6">
        <v>3.226</v>
      </c>
      <c r="AH824" s="22">
        <f t="shared" si="97"/>
        <v>3.3665000000000003</v>
      </c>
      <c r="AI824" s="11"/>
      <c r="AJ824" s="11"/>
      <c r="AK824" s="11"/>
      <c r="AL824" s="11"/>
      <c r="AM824" s="11"/>
      <c r="AN824" s="11"/>
      <c r="AO824" s="11"/>
      <c r="AP824" s="3"/>
      <c r="AQ824" s="8"/>
    </row>
    <row r="825" spans="1:43">
      <c r="A825" s="1">
        <f t="shared" si="89"/>
        <v>823</v>
      </c>
      <c r="B825" s="31" t="s">
        <v>195</v>
      </c>
      <c r="C825" s="1">
        <v>7</v>
      </c>
      <c r="D825" s="4">
        <f t="shared" si="88"/>
        <v>69</v>
      </c>
      <c r="E825" s="4" t="s">
        <v>137</v>
      </c>
      <c r="F825" s="4">
        <v>1</v>
      </c>
      <c r="G825" s="4" t="s">
        <v>11</v>
      </c>
      <c r="H825" s="4" t="s">
        <v>17</v>
      </c>
      <c r="I825" s="4"/>
      <c r="J825" s="5">
        <v>85.8</v>
      </c>
      <c r="K825" s="63">
        <v>1.1819999999999999</v>
      </c>
      <c r="L825" s="38">
        <v>3.617</v>
      </c>
      <c r="M825" s="127" t="s">
        <v>213</v>
      </c>
      <c r="N825" s="4" t="s">
        <v>13</v>
      </c>
      <c r="O825" s="46"/>
      <c r="P825" s="11"/>
      <c r="Q825" s="3" t="s">
        <v>205</v>
      </c>
      <c r="R825" s="22">
        <v>3.6019999999999999</v>
      </c>
      <c r="S825" s="6">
        <v>3.766</v>
      </c>
      <c r="T825" s="22">
        <v>3.8570000000000002</v>
      </c>
      <c r="U825" s="46"/>
      <c r="V825" s="22">
        <v>3.786</v>
      </c>
      <c r="W825" s="6">
        <v>3.6840000000000002</v>
      </c>
      <c r="X825" s="6">
        <v>3.6760000000000002</v>
      </c>
      <c r="Y825" s="6">
        <v>3.694</v>
      </c>
      <c r="Z825" s="6">
        <v>3.6589999999999998</v>
      </c>
      <c r="AA825" s="46"/>
      <c r="AB825" s="6">
        <v>3.5590000000000002</v>
      </c>
      <c r="AC825" s="6">
        <v>3.7109999999999999</v>
      </c>
      <c r="AD825" s="6">
        <v>3.73</v>
      </c>
      <c r="AE825" s="6">
        <v>3.3340000000000001</v>
      </c>
      <c r="AF825" s="6">
        <v>3.54</v>
      </c>
      <c r="AG825" s="6">
        <v>3.5390000000000001</v>
      </c>
      <c r="AH825" s="22">
        <f t="shared" si="97"/>
        <v>3.5395000000000003</v>
      </c>
      <c r="AI825" s="11"/>
      <c r="AJ825" s="11"/>
      <c r="AK825" s="11"/>
      <c r="AL825" s="11"/>
      <c r="AM825" s="11"/>
      <c r="AN825" s="11"/>
      <c r="AO825" s="11"/>
      <c r="AP825" s="3"/>
      <c r="AQ825" s="8"/>
    </row>
    <row r="826" spans="1:43">
      <c r="A826" s="1">
        <f t="shared" si="89"/>
        <v>824</v>
      </c>
      <c r="B826" s="31"/>
      <c r="C826" s="1">
        <v>7</v>
      </c>
      <c r="D826" s="4">
        <f t="shared" si="88"/>
        <v>69</v>
      </c>
      <c r="E826" s="4" t="s">
        <v>142</v>
      </c>
      <c r="F826" s="4">
        <v>3</v>
      </c>
      <c r="G826" s="4" t="s">
        <v>11</v>
      </c>
      <c r="H826" s="4" t="s">
        <v>17</v>
      </c>
      <c r="I826" s="4"/>
      <c r="J826" s="5">
        <v>97.7</v>
      </c>
      <c r="K826" s="70"/>
      <c r="L826" s="38">
        <v>2.4670000000000001</v>
      </c>
      <c r="M826" s="128" t="s">
        <v>113</v>
      </c>
      <c r="N826" s="4" t="s">
        <v>13</v>
      </c>
      <c r="O826" s="46"/>
      <c r="P826" s="11"/>
      <c r="Q826" s="3" t="s">
        <v>205</v>
      </c>
      <c r="R826" s="22">
        <v>2.6829999999999998</v>
      </c>
      <c r="S826" s="6">
        <v>2.6030000000000002</v>
      </c>
      <c r="T826" s="22">
        <v>2.65</v>
      </c>
      <c r="U826" s="22">
        <v>2.3650000000000002</v>
      </c>
      <c r="V826" s="22">
        <v>2.4489999999999998</v>
      </c>
      <c r="W826" s="46"/>
      <c r="X826" s="46"/>
      <c r="Y826" s="46"/>
      <c r="Z826" s="6">
        <v>2.4820000000000002</v>
      </c>
      <c r="AA826" s="46"/>
      <c r="AB826" s="6">
        <v>2.7269999999999999</v>
      </c>
      <c r="AC826" s="6">
        <v>2.7559999999999998</v>
      </c>
      <c r="AD826" s="6">
        <v>2.7050000000000001</v>
      </c>
      <c r="AE826" s="6">
        <v>2.556</v>
      </c>
      <c r="AF826" s="6">
        <v>2.5449999999999999</v>
      </c>
      <c r="AG826" s="6">
        <v>2.25</v>
      </c>
      <c r="AH826" s="22">
        <f t="shared" si="97"/>
        <v>2.3975</v>
      </c>
      <c r="AI826" s="11"/>
      <c r="AJ826" s="11"/>
      <c r="AK826" s="11"/>
      <c r="AL826" s="11"/>
      <c r="AM826" s="11"/>
      <c r="AN826" s="11"/>
      <c r="AO826" s="11"/>
      <c r="AP826" s="3"/>
      <c r="AQ826" s="8"/>
    </row>
    <row r="827" spans="1:43">
      <c r="A827" s="1">
        <f t="shared" si="89"/>
        <v>825</v>
      </c>
      <c r="B827" s="31" t="s">
        <v>266</v>
      </c>
      <c r="C827" s="1">
        <v>10</v>
      </c>
      <c r="D827" s="4">
        <f t="shared" si="88"/>
        <v>1016</v>
      </c>
      <c r="E827" s="4" t="s">
        <v>40</v>
      </c>
      <c r="F827" s="4">
        <v>1</v>
      </c>
      <c r="G827" s="4" t="s">
        <v>11</v>
      </c>
      <c r="H827" s="4" t="s">
        <v>267</v>
      </c>
      <c r="I827" s="4"/>
      <c r="J827" s="5">
        <v>90.1</v>
      </c>
      <c r="K827" s="63" t="s">
        <v>170</v>
      </c>
      <c r="L827" s="38">
        <v>2.8</v>
      </c>
      <c r="M827" s="128" t="s">
        <v>113</v>
      </c>
      <c r="N827" s="4" t="s">
        <v>13</v>
      </c>
      <c r="O827" s="46"/>
      <c r="P827" s="11"/>
      <c r="Q827" s="3"/>
      <c r="R827" s="22">
        <v>2.8450000000000002</v>
      </c>
      <c r="S827" s="22">
        <v>2.7</v>
      </c>
      <c r="T827" s="22">
        <v>3.1280000000000001</v>
      </c>
      <c r="U827" s="22">
        <v>2.8</v>
      </c>
      <c r="V827" s="40">
        <v>3.0190000000000001</v>
      </c>
      <c r="W827" s="22">
        <v>2.863</v>
      </c>
      <c r="X827" s="22">
        <v>2.863</v>
      </c>
      <c r="Y827" s="22">
        <v>2.8650000000000002</v>
      </c>
      <c r="Z827" s="22">
        <v>2.7869999999999999</v>
      </c>
      <c r="AA827" s="35"/>
      <c r="AB827" s="22">
        <v>3.2669999999999999</v>
      </c>
      <c r="AC827" s="22">
        <v>3.2280000000000002</v>
      </c>
      <c r="AD827" s="22">
        <v>3.0550000000000002</v>
      </c>
      <c r="AE827" s="22">
        <v>3.0870000000000002</v>
      </c>
      <c r="AF827" s="40">
        <v>2.7650000000000001</v>
      </c>
      <c r="AG827" s="22">
        <v>2.7839999999999998</v>
      </c>
      <c r="AH827" s="22">
        <f t="shared" ref="AH827:AH840" si="98">SUM(AF827:AG827)/2</f>
        <v>2.7744999999999997</v>
      </c>
      <c r="AI827" s="11"/>
      <c r="AJ827" s="11"/>
      <c r="AK827" s="11"/>
      <c r="AL827" s="11"/>
      <c r="AM827" s="11"/>
      <c r="AN827" s="11"/>
      <c r="AO827" s="11"/>
      <c r="AP827" s="3"/>
      <c r="AQ827" s="8"/>
    </row>
    <row r="828" spans="1:43">
      <c r="A828" s="1">
        <f t="shared" si="89"/>
        <v>826</v>
      </c>
      <c r="B828" s="31"/>
      <c r="C828" s="1">
        <v>10</v>
      </c>
      <c r="D828" s="4">
        <f t="shared" si="88"/>
        <v>1016</v>
      </c>
      <c r="E828" s="4" t="s">
        <v>20</v>
      </c>
      <c r="F828" s="4">
        <v>1</v>
      </c>
      <c r="G828" s="4" t="s">
        <v>11</v>
      </c>
      <c r="H828" s="4" t="s">
        <v>17</v>
      </c>
      <c r="I828" s="4"/>
      <c r="J828" s="5">
        <v>87.9</v>
      </c>
      <c r="K828" s="63" t="s">
        <v>170</v>
      </c>
      <c r="L828" s="45">
        <v>3.7730000000000006</v>
      </c>
      <c r="M828" s="128" t="s">
        <v>113</v>
      </c>
      <c r="N828" s="10" t="s">
        <v>111</v>
      </c>
      <c r="O828" s="46"/>
      <c r="P828" s="11"/>
      <c r="Q828" s="3"/>
      <c r="R828" s="22">
        <v>3.8580000000000001</v>
      </c>
      <c r="S828" s="22">
        <v>3.5680000000000001</v>
      </c>
      <c r="T828" s="22">
        <v>4.1970000000000001</v>
      </c>
      <c r="U828" s="22">
        <v>3.91</v>
      </c>
      <c r="V828" s="40">
        <v>4.0880000000000001</v>
      </c>
      <c r="W828" s="22">
        <v>3.8559999999999999</v>
      </c>
      <c r="X828" s="22">
        <v>3.851</v>
      </c>
      <c r="Y828" s="22">
        <v>3.855</v>
      </c>
      <c r="Z828" s="22">
        <v>3.742</v>
      </c>
      <c r="AA828" s="35"/>
      <c r="AB828" s="22">
        <v>4.2160000000000002</v>
      </c>
      <c r="AC828" s="22">
        <v>4.1950000000000003</v>
      </c>
      <c r="AD828" s="22">
        <v>3.988</v>
      </c>
      <c r="AE828" s="22">
        <v>4.0170000000000003</v>
      </c>
      <c r="AF828" s="40">
        <v>3.6230000000000002</v>
      </c>
      <c r="AG828" s="22">
        <v>3.8940000000000001</v>
      </c>
      <c r="AH828" s="22">
        <f t="shared" si="98"/>
        <v>3.7585000000000002</v>
      </c>
      <c r="AI828" s="11"/>
      <c r="AJ828" s="11"/>
      <c r="AK828" s="11"/>
      <c r="AL828" s="11"/>
      <c r="AM828" s="11"/>
      <c r="AN828" s="11"/>
      <c r="AO828" s="11"/>
      <c r="AP828" s="3"/>
      <c r="AQ828" s="8"/>
    </row>
    <row r="829" spans="1:43">
      <c r="A829" s="1">
        <f t="shared" si="89"/>
        <v>827</v>
      </c>
      <c r="B829" s="31"/>
      <c r="C829" s="1">
        <v>10</v>
      </c>
      <c r="D829" s="4">
        <f t="shared" si="88"/>
        <v>1016</v>
      </c>
      <c r="E829" s="4" t="s">
        <v>42</v>
      </c>
      <c r="F829" s="4">
        <v>1</v>
      </c>
      <c r="G829" s="4" t="s">
        <v>11</v>
      </c>
      <c r="H829" s="4" t="s">
        <v>267</v>
      </c>
      <c r="I829" s="4"/>
      <c r="J829" s="5">
        <v>90.5</v>
      </c>
      <c r="K829" s="70"/>
      <c r="L829" s="38">
        <v>3.9869999999999992</v>
      </c>
      <c r="M829" s="128" t="s">
        <v>113</v>
      </c>
      <c r="N829" s="4" t="s">
        <v>13</v>
      </c>
      <c r="O829" s="46"/>
      <c r="P829" s="11"/>
      <c r="Q829" s="3"/>
      <c r="R829" s="22">
        <v>4.16</v>
      </c>
      <c r="S829" s="22">
        <v>3.887</v>
      </c>
      <c r="T829" s="22">
        <v>4.3289999999999997</v>
      </c>
      <c r="U829" s="22">
        <v>4.0999999999999996</v>
      </c>
      <c r="V829" s="40">
        <v>4.194</v>
      </c>
      <c r="W829" s="22">
        <v>4.0259999999999998</v>
      </c>
      <c r="X829" s="22">
        <v>4.0570000000000004</v>
      </c>
      <c r="Y829" s="22">
        <v>4.0540000000000003</v>
      </c>
      <c r="Z829" s="22">
        <v>3.9790000000000001</v>
      </c>
      <c r="AA829" s="35"/>
      <c r="AB829" s="22">
        <v>4.4470000000000001</v>
      </c>
      <c r="AC829" s="22">
        <v>4.399</v>
      </c>
      <c r="AD829" s="22">
        <v>4.234</v>
      </c>
      <c r="AE829" s="22">
        <v>4.2809999999999997</v>
      </c>
      <c r="AF829" s="40">
        <v>3.97</v>
      </c>
      <c r="AG829" s="22">
        <v>3.9940000000000002</v>
      </c>
      <c r="AH829" s="22">
        <f t="shared" si="98"/>
        <v>3.9820000000000002</v>
      </c>
      <c r="AI829" s="11"/>
      <c r="AJ829" s="11"/>
      <c r="AK829" s="11"/>
      <c r="AL829" s="11"/>
      <c r="AM829" s="11"/>
      <c r="AN829" s="11"/>
      <c r="AO829" s="11"/>
      <c r="AP829" s="3"/>
      <c r="AQ829" s="8"/>
    </row>
    <row r="830" spans="1:43">
      <c r="A830" s="1">
        <f t="shared" si="89"/>
        <v>828</v>
      </c>
      <c r="B830" s="31"/>
      <c r="C830" s="1">
        <v>10</v>
      </c>
      <c r="D830" s="4">
        <f t="shared" si="88"/>
        <v>1016</v>
      </c>
      <c r="E830" s="4" t="s">
        <v>41</v>
      </c>
      <c r="F830" s="4">
        <v>1</v>
      </c>
      <c r="G830" s="4" t="s">
        <v>207</v>
      </c>
      <c r="H830" s="4" t="s">
        <v>170</v>
      </c>
      <c r="I830" s="4"/>
      <c r="J830" s="5">
        <v>89.3</v>
      </c>
      <c r="K830" s="70"/>
      <c r="L830" s="38">
        <v>4.0469999999999988</v>
      </c>
      <c r="M830" s="128" t="s">
        <v>113</v>
      </c>
      <c r="N830" s="4" t="s">
        <v>13</v>
      </c>
      <c r="O830" s="46"/>
      <c r="P830" s="11"/>
      <c r="Q830" s="3"/>
      <c r="R830" s="22">
        <v>4.1559999999999997</v>
      </c>
      <c r="S830" s="22">
        <v>3.9809999999999999</v>
      </c>
      <c r="T830" s="22">
        <v>4.3479999999999999</v>
      </c>
      <c r="U830" s="22">
        <v>4.0330000000000004</v>
      </c>
      <c r="V830" s="40">
        <v>4.2380000000000004</v>
      </c>
      <c r="W830" s="22">
        <v>4.1340000000000003</v>
      </c>
      <c r="X830" s="22">
        <v>4.125</v>
      </c>
      <c r="Y830" s="22">
        <v>4.1130000000000004</v>
      </c>
      <c r="Z830" s="22">
        <v>4.048</v>
      </c>
      <c r="AA830" s="35"/>
      <c r="AB830" s="22">
        <v>4.4550000000000001</v>
      </c>
      <c r="AC830" s="22">
        <v>4.4109999999999996</v>
      </c>
      <c r="AD830" s="22">
        <v>4.2729999999999997</v>
      </c>
      <c r="AE830" s="22">
        <v>4.2960000000000003</v>
      </c>
      <c r="AF830" s="40">
        <v>4.0540000000000003</v>
      </c>
      <c r="AG830" s="22">
        <v>3.996</v>
      </c>
      <c r="AH830" s="22">
        <f t="shared" ref="AH830" si="99">SUM(AF830:AG830)/2</f>
        <v>4.0250000000000004</v>
      </c>
      <c r="AI830" s="11"/>
      <c r="AJ830" s="11"/>
      <c r="AK830" s="11"/>
      <c r="AL830" s="11"/>
      <c r="AM830" s="11"/>
      <c r="AN830" s="11"/>
      <c r="AO830" s="11"/>
      <c r="AP830" s="3"/>
      <c r="AQ830" s="8"/>
    </row>
    <row r="831" spans="1:43">
      <c r="A831" s="1">
        <f t="shared" si="89"/>
        <v>829</v>
      </c>
      <c r="B831" s="31"/>
      <c r="C831" s="1">
        <v>10</v>
      </c>
      <c r="D831" s="4">
        <f t="shared" si="88"/>
        <v>1016</v>
      </c>
      <c r="E831" s="4" t="s">
        <v>40</v>
      </c>
      <c r="F831" s="4">
        <v>1</v>
      </c>
      <c r="G831" s="4" t="s">
        <v>14</v>
      </c>
      <c r="H831" s="4" t="s">
        <v>170</v>
      </c>
      <c r="I831" s="4"/>
      <c r="J831" s="5">
        <v>92.8</v>
      </c>
      <c r="K831" s="63" t="s">
        <v>170</v>
      </c>
      <c r="L831" s="38">
        <v>4.1140000000000008</v>
      </c>
      <c r="M831" s="128" t="s">
        <v>113</v>
      </c>
      <c r="N831" s="4" t="s">
        <v>13</v>
      </c>
      <c r="O831" s="46"/>
      <c r="P831" s="11"/>
      <c r="Q831" s="3"/>
      <c r="R831" s="22">
        <v>4.05</v>
      </c>
      <c r="S831" s="22">
        <v>3.9049999999999998</v>
      </c>
      <c r="T831" s="22">
        <v>4.3899999999999997</v>
      </c>
      <c r="U831" s="22">
        <v>4.2220000000000004</v>
      </c>
      <c r="V831" s="40">
        <v>4.2240000000000002</v>
      </c>
      <c r="W831" s="22">
        <v>4.1479999999999997</v>
      </c>
      <c r="X831" s="22">
        <v>4.1550000000000002</v>
      </c>
      <c r="Y831" s="22">
        <v>4.1529999999999996</v>
      </c>
      <c r="Z831" s="22">
        <v>4.1130000000000004</v>
      </c>
      <c r="AA831" s="35"/>
      <c r="AB831" s="22">
        <v>4.4690000000000003</v>
      </c>
      <c r="AC831" s="22">
        <v>4.3860000000000001</v>
      </c>
      <c r="AD831" s="22">
        <v>4.226</v>
      </c>
      <c r="AE831" s="22">
        <v>4.3470000000000004</v>
      </c>
      <c r="AF831" s="40">
        <v>4.008</v>
      </c>
      <c r="AG831" s="22">
        <v>4.0990000000000002</v>
      </c>
      <c r="AH831" s="22">
        <f t="shared" si="98"/>
        <v>4.0534999999999997</v>
      </c>
      <c r="AI831" s="11"/>
      <c r="AJ831" s="11"/>
      <c r="AK831" s="11"/>
      <c r="AL831" s="11"/>
      <c r="AM831" s="11"/>
      <c r="AN831" s="11"/>
      <c r="AO831" s="11"/>
      <c r="AP831" s="3"/>
      <c r="AQ831" s="8"/>
    </row>
    <row r="832" spans="1:43">
      <c r="A832" s="1">
        <f t="shared" si="89"/>
        <v>830</v>
      </c>
      <c r="B832" s="31"/>
      <c r="C832" s="1">
        <v>10</v>
      </c>
      <c r="D832" s="4">
        <f t="shared" si="88"/>
        <v>1016</v>
      </c>
      <c r="E832" s="4" t="s">
        <v>124</v>
      </c>
      <c r="F832" s="4">
        <v>1</v>
      </c>
      <c r="G832" s="4" t="s">
        <v>11</v>
      </c>
      <c r="H832" s="4" t="s">
        <v>17</v>
      </c>
      <c r="I832" s="4"/>
      <c r="J832" s="5">
        <v>86.2</v>
      </c>
      <c r="K832" s="70"/>
      <c r="L832" s="38">
        <v>4.2430000000000003</v>
      </c>
      <c r="M832" s="128" t="s">
        <v>113</v>
      </c>
      <c r="N832" s="4" t="s">
        <v>13</v>
      </c>
      <c r="O832" s="46"/>
      <c r="P832" s="11"/>
      <c r="Q832" s="3"/>
      <c r="R832" s="22">
        <v>4.5030000000000001</v>
      </c>
      <c r="S832" s="22">
        <v>4.0759999999999996</v>
      </c>
      <c r="T832" s="22">
        <v>4.6680000000000001</v>
      </c>
      <c r="U832" s="35"/>
      <c r="V832" s="40">
        <v>4.5839999999999996</v>
      </c>
      <c r="W832" s="22">
        <v>4.351</v>
      </c>
      <c r="X832" s="22">
        <v>4.3419999999999996</v>
      </c>
      <c r="Y832" s="22">
        <v>4.3390000000000004</v>
      </c>
      <c r="Z832" s="22">
        <v>4.218</v>
      </c>
      <c r="AA832" s="35"/>
      <c r="AB832" s="22">
        <v>4.6589999999999998</v>
      </c>
      <c r="AC832" s="22">
        <v>4.6580000000000004</v>
      </c>
      <c r="AD832" s="22">
        <v>4.4690000000000003</v>
      </c>
      <c r="AE832" s="22">
        <v>4.4560000000000004</v>
      </c>
      <c r="AF832" s="40">
        <v>4.1059999999999999</v>
      </c>
      <c r="AG832" s="22">
        <v>4.3600000000000003</v>
      </c>
      <c r="AH832" s="22">
        <f t="shared" si="98"/>
        <v>4.2330000000000005</v>
      </c>
      <c r="AI832" s="11"/>
      <c r="AJ832" s="11"/>
      <c r="AK832" s="11"/>
      <c r="AL832" s="11"/>
      <c r="AM832" s="11"/>
      <c r="AN832" s="11"/>
      <c r="AO832" s="11"/>
      <c r="AP832" s="3"/>
      <c r="AQ832" s="8"/>
    </row>
    <row r="833" spans="1:43">
      <c r="A833" s="1">
        <f t="shared" si="89"/>
        <v>831</v>
      </c>
      <c r="B833" s="31"/>
      <c r="C833" s="1">
        <v>10</v>
      </c>
      <c r="D833" s="4">
        <f t="shared" si="88"/>
        <v>1016</v>
      </c>
      <c r="E833" s="4" t="s">
        <v>21</v>
      </c>
      <c r="F833" s="4">
        <v>1</v>
      </c>
      <c r="G833" s="4" t="s">
        <v>11</v>
      </c>
      <c r="H833" s="4" t="s">
        <v>17</v>
      </c>
      <c r="I833" s="4"/>
      <c r="J833" s="5">
        <v>90.6</v>
      </c>
      <c r="K833" s="63" t="s">
        <v>170</v>
      </c>
      <c r="L833" s="38">
        <v>4.5250000000000004</v>
      </c>
      <c r="M833" s="128" t="s">
        <v>113</v>
      </c>
      <c r="N833" s="4" t="s">
        <v>13</v>
      </c>
      <c r="O833" s="46"/>
      <c r="P833" s="11"/>
      <c r="Q833" s="3"/>
      <c r="R833" s="22">
        <v>4.468</v>
      </c>
      <c r="S833" s="22">
        <v>4.3380000000000001</v>
      </c>
      <c r="T833" s="22">
        <v>4.7729999999999997</v>
      </c>
      <c r="U833" s="22">
        <v>4.4800000000000004</v>
      </c>
      <c r="V833" s="40">
        <v>4.681</v>
      </c>
      <c r="W833" s="22">
        <v>4.5410000000000004</v>
      </c>
      <c r="X833" s="22">
        <v>4.5369999999999999</v>
      </c>
      <c r="Y833" s="22">
        <v>4.5709999999999997</v>
      </c>
      <c r="Z833" s="22">
        <v>4.5140000000000002</v>
      </c>
      <c r="AA833" s="35"/>
      <c r="AB833" s="22">
        <v>4.649</v>
      </c>
      <c r="AC833" s="22">
        <v>4.6950000000000003</v>
      </c>
      <c r="AD833" s="22">
        <v>4.5750000000000002</v>
      </c>
      <c r="AE833" s="22">
        <v>4.4589999999999996</v>
      </c>
      <c r="AF833" s="40">
        <v>4.2699999999999996</v>
      </c>
      <c r="AG833" s="22">
        <v>4.5350000000000001</v>
      </c>
      <c r="AH833" s="22">
        <f t="shared" si="98"/>
        <v>4.4024999999999999</v>
      </c>
      <c r="AI833" s="11"/>
      <c r="AJ833" s="11"/>
      <c r="AK833" s="11"/>
      <c r="AL833" s="11"/>
      <c r="AM833" s="11"/>
      <c r="AN833" s="11"/>
      <c r="AO833" s="11"/>
      <c r="AP833" s="3"/>
      <c r="AQ833" s="8"/>
    </row>
    <row r="834" spans="1:43">
      <c r="A834" s="1">
        <f t="shared" si="89"/>
        <v>832</v>
      </c>
      <c r="B834" s="31"/>
      <c r="C834" s="1">
        <v>10</v>
      </c>
      <c r="D834" s="4">
        <f t="shared" si="88"/>
        <v>1016</v>
      </c>
      <c r="E834" s="4" t="s">
        <v>41</v>
      </c>
      <c r="F834" s="4">
        <v>1</v>
      </c>
      <c r="G834" s="4" t="s">
        <v>14</v>
      </c>
      <c r="H834" s="4" t="s">
        <v>170</v>
      </c>
      <c r="I834" s="4"/>
      <c r="J834" s="5">
        <v>92</v>
      </c>
      <c r="K834" s="70"/>
      <c r="L834" s="38">
        <v>4.5519999999999996</v>
      </c>
      <c r="M834" s="128" t="s">
        <v>113</v>
      </c>
      <c r="N834" s="4" t="s">
        <v>13</v>
      </c>
      <c r="O834" s="46"/>
      <c r="P834" s="11"/>
      <c r="Q834" s="3"/>
      <c r="R834" s="22">
        <v>4.54</v>
      </c>
      <c r="S834" s="22">
        <v>4.3540000000000001</v>
      </c>
      <c r="T834" s="22">
        <v>4.8280000000000003</v>
      </c>
      <c r="U834" s="22">
        <v>4.601</v>
      </c>
      <c r="V834" s="40">
        <v>4.6829999999999998</v>
      </c>
      <c r="W834" s="22">
        <v>4.5860000000000003</v>
      </c>
      <c r="X834" s="22">
        <v>4.5979999999999999</v>
      </c>
      <c r="Y834" s="22">
        <v>4.5999999999999996</v>
      </c>
      <c r="Z834" s="22">
        <v>4.5510000000000002</v>
      </c>
      <c r="AA834" s="35"/>
      <c r="AB834" s="22">
        <v>4.8979999999999997</v>
      </c>
      <c r="AC834" s="22">
        <v>4.835</v>
      </c>
      <c r="AD834" s="22">
        <v>4.6760000000000002</v>
      </c>
      <c r="AE834" s="22">
        <v>4.7640000000000002</v>
      </c>
      <c r="AF834" s="40">
        <v>4.4340000000000002</v>
      </c>
      <c r="AG834" s="22">
        <v>4.5419999999999998</v>
      </c>
      <c r="AH834" s="22">
        <f t="shared" si="98"/>
        <v>4.4879999999999995</v>
      </c>
      <c r="AI834" s="11"/>
      <c r="AJ834" s="11"/>
      <c r="AK834" s="11"/>
      <c r="AL834" s="11"/>
      <c r="AM834" s="11"/>
      <c r="AN834" s="11"/>
      <c r="AO834" s="11"/>
      <c r="AP834" s="3"/>
      <c r="AQ834" s="8"/>
    </row>
    <row r="835" spans="1:43">
      <c r="A835" s="1">
        <f t="shared" si="89"/>
        <v>833</v>
      </c>
      <c r="B835" s="31"/>
      <c r="C835" s="1">
        <v>10</v>
      </c>
      <c r="D835" s="4">
        <f t="shared" si="88"/>
        <v>1016</v>
      </c>
      <c r="E835" s="4" t="s">
        <v>43</v>
      </c>
      <c r="F835" s="4">
        <v>3</v>
      </c>
      <c r="G835" s="4" t="s">
        <v>11</v>
      </c>
      <c r="H835" s="4" t="s">
        <v>267</v>
      </c>
      <c r="I835" s="4"/>
      <c r="J835" s="5">
        <v>96.7</v>
      </c>
      <c r="K835" s="70"/>
      <c r="L835" s="45">
        <v>2.6520000000000001</v>
      </c>
      <c r="M835" s="128" t="s">
        <v>158</v>
      </c>
      <c r="N835" s="10" t="s">
        <v>111</v>
      </c>
      <c r="O835" s="46"/>
      <c r="P835" s="11"/>
      <c r="Q835" s="3"/>
      <c r="R835" s="22">
        <v>2.7839999999999998</v>
      </c>
      <c r="S835" s="22">
        <v>2.5459999999999998</v>
      </c>
      <c r="T835" s="22">
        <v>2.9409999999999998</v>
      </c>
      <c r="U835" s="22">
        <v>2.629</v>
      </c>
      <c r="V835" s="40">
        <v>2.84</v>
      </c>
      <c r="W835" s="35"/>
      <c r="X835" s="35"/>
      <c r="Y835" s="35"/>
      <c r="Z835" s="35"/>
      <c r="AA835" s="35"/>
      <c r="AB835" s="22">
        <v>3.1259999999999999</v>
      </c>
      <c r="AC835" s="22">
        <v>3.093</v>
      </c>
      <c r="AD835" s="22">
        <v>2.9129999999999998</v>
      </c>
      <c r="AE835" s="22">
        <v>2.9580000000000002</v>
      </c>
      <c r="AF835" s="40">
        <v>2.6030000000000002</v>
      </c>
      <c r="AG835" s="22">
        <v>2.629</v>
      </c>
      <c r="AH835" s="22">
        <f t="shared" si="98"/>
        <v>2.6160000000000001</v>
      </c>
      <c r="AI835" s="11"/>
      <c r="AJ835" s="11"/>
      <c r="AK835" s="11"/>
      <c r="AL835" s="11"/>
      <c r="AM835" s="11"/>
      <c r="AN835" s="11"/>
      <c r="AO835" s="11"/>
      <c r="AP835" s="3"/>
      <c r="AQ835" s="8"/>
    </row>
    <row r="836" spans="1:43">
      <c r="A836" s="1">
        <f t="shared" si="89"/>
        <v>834</v>
      </c>
      <c r="B836" s="31"/>
      <c r="C836" s="1">
        <v>10</v>
      </c>
      <c r="D836" s="4">
        <f t="shared" ref="D836:D899" si="100">_xlfn.SWITCH(C836,1,12,2,12,3,35,4,35,5,35,6,69,7,69,8,69,9,69,1016)</f>
        <v>1016</v>
      </c>
      <c r="E836" s="4" t="s">
        <v>24</v>
      </c>
      <c r="F836" s="4">
        <v>3</v>
      </c>
      <c r="G836" s="4" t="s">
        <v>11</v>
      </c>
      <c r="H836" s="4" t="s">
        <v>17</v>
      </c>
      <c r="I836" s="4"/>
      <c r="J836" s="5">
        <v>97.7</v>
      </c>
      <c r="K836" s="70"/>
      <c r="L836" s="45">
        <v>2.9929999999999999</v>
      </c>
      <c r="M836" s="128" t="s">
        <v>158</v>
      </c>
      <c r="N836" s="10" t="s">
        <v>111</v>
      </c>
      <c r="O836" s="46"/>
      <c r="P836" s="11"/>
      <c r="Q836" s="3"/>
      <c r="R836" s="22">
        <v>3.2389999999999999</v>
      </c>
      <c r="S836" s="22">
        <v>2.9750000000000001</v>
      </c>
      <c r="T836" s="22">
        <v>3.1880000000000002</v>
      </c>
      <c r="U836" s="35"/>
      <c r="V836" s="40">
        <v>2.9609999999999999</v>
      </c>
      <c r="W836" s="35"/>
      <c r="X836" s="35"/>
      <c r="Y836" s="35"/>
      <c r="Z836" s="35"/>
      <c r="AA836" s="35"/>
      <c r="AB836" s="22">
        <v>3.1539999999999999</v>
      </c>
      <c r="AC836" s="22">
        <v>3.1659999999999999</v>
      </c>
      <c r="AD836" s="22">
        <v>3.105</v>
      </c>
      <c r="AE836" s="22">
        <v>3.0030000000000001</v>
      </c>
      <c r="AF836" s="40">
        <v>2.948</v>
      </c>
      <c r="AG836" s="22">
        <v>2.82</v>
      </c>
      <c r="AH836" s="22">
        <f t="shared" si="98"/>
        <v>2.8839999999999999</v>
      </c>
      <c r="AI836" s="11"/>
      <c r="AJ836" s="11"/>
      <c r="AK836" s="11"/>
      <c r="AL836" s="11"/>
      <c r="AM836" s="11"/>
      <c r="AN836" s="11"/>
      <c r="AO836" s="11"/>
      <c r="AP836" s="3"/>
      <c r="AQ836" s="8"/>
    </row>
    <row r="837" spans="1:43">
      <c r="A837" s="1">
        <f t="shared" si="89"/>
        <v>835</v>
      </c>
      <c r="B837" s="31"/>
      <c r="C837" s="1">
        <v>10</v>
      </c>
      <c r="D837" s="4">
        <f t="shared" si="100"/>
        <v>1016</v>
      </c>
      <c r="E837" s="4" t="s">
        <v>25</v>
      </c>
      <c r="F837" s="4">
        <v>3</v>
      </c>
      <c r="G837" s="4" t="s">
        <v>11</v>
      </c>
      <c r="H837" s="4" t="s">
        <v>17</v>
      </c>
      <c r="I837" s="4"/>
      <c r="J837" s="5">
        <v>97.1</v>
      </c>
      <c r="K837" s="70"/>
      <c r="L837" s="45">
        <v>3.1230000000000002</v>
      </c>
      <c r="M837" s="128" t="s">
        <v>158</v>
      </c>
      <c r="N837" s="10" t="s">
        <v>111</v>
      </c>
      <c r="O837" s="46"/>
      <c r="P837" s="11"/>
      <c r="Q837" s="3"/>
      <c r="R837" s="22">
        <v>3.585</v>
      </c>
      <c r="S837" s="22">
        <v>3.048</v>
      </c>
      <c r="T837" s="22">
        <v>3.3420000000000001</v>
      </c>
      <c r="U837" s="22">
        <v>3.0030000000000001</v>
      </c>
      <c r="V837" s="40">
        <v>3.2109999999999999</v>
      </c>
      <c r="W837" s="33"/>
      <c r="X837" s="33"/>
      <c r="Y837" s="33"/>
      <c r="Z837" s="33"/>
      <c r="AA837" s="35"/>
      <c r="AB837" s="22">
        <v>3.4180000000000001</v>
      </c>
      <c r="AC837" s="22">
        <v>3.411</v>
      </c>
      <c r="AD837" s="22">
        <v>3.3039999999999998</v>
      </c>
      <c r="AE837" s="22">
        <v>3.2690000000000001</v>
      </c>
      <c r="AF837" s="40">
        <v>3.073</v>
      </c>
      <c r="AG837" s="22">
        <v>3.05</v>
      </c>
      <c r="AH837" s="22">
        <f t="shared" si="98"/>
        <v>3.0614999999999997</v>
      </c>
      <c r="AI837" s="11"/>
      <c r="AJ837" s="11"/>
      <c r="AK837" s="11"/>
      <c r="AL837" s="11"/>
      <c r="AM837" s="11"/>
      <c r="AN837" s="11"/>
      <c r="AO837" s="11"/>
      <c r="AP837" s="3"/>
      <c r="AQ837" s="8"/>
    </row>
    <row r="838" spans="1:43">
      <c r="A838" s="1">
        <f t="shared" si="89"/>
        <v>836</v>
      </c>
      <c r="B838" s="31"/>
      <c r="C838" s="1">
        <v>10</v>
      </c>
      <c r="D838" s="4">
        <f t="shared" si="100"/>
        <v>1016</v>
      </c>
      <c r="E838" s="4" t="s">
        <v>125</v>
      </c>
      <c r="F838" s="4">
        <v>3</v>
      </c>
      <c r="G838" s="4" t="s">
        <v>11</v>
      </c>
      <c r="H838" s="4" t="s">
        <v>17</v>
      </c>
      <c r="I838" s="4"/>
      <c r="J838" s="5">
        <v>97.4</v>
      </c>
      <c r="K838" s="70"/>
      <c r="L838" s="45">
        <v>3.4</v>
      </c>
      <c r="M838" s="128" t="s">
        <v>158</v>
      </c>
      <c r="N838" s="10" t="s">
        <v>111</v>
      </c>
      <c r="O838" s="46"/>
      <c r="P838" s="11"/>
      <c r="Q838" s="3"/>
      <c r="R838" s="22">
        <v>3.7909999999999999</v>
      </c>
      <c r="S838" s="22">
        <v>3.3740000000000001</v>
      </c>
      <c r="T838" s="22">
        <v>3.5640000000000001</v>
      </c>
      <c r="U838" s="22">
        <v>3.242</v>
      </c>
      <c r="V838" s="40">
        <v>3.4380000000000002</v>
      </c>
      <c r="W838" s="35"/>
      <c r="X838" s="35"/>
      <c r="Y838" s="35"/>
      <c r="Z838" s="35"/>
      <c r="AA838" s="35"/>
      <c r="AB838" s="22">
        <v>3.629</v>
      </c>
      <c r="AC838" s="22">
        <v>3.633</v>
      </c>
      <c r="AD838" s="22">
        <v>3.5579999999999998</v>
      </c>
      <c r="AE838" s="22">
        <v>3.4870000000000001</v>
      </c>
      <c r="AF838" s="40">
        <v>3.3719999999999999</v>
      </c>
      <c r="AG838" s="22">
        <v>3.2749999999999999</v>
      </c>
      <c r="AH838" s="22">
        <f t="shared" si="98"/>
        <v>3.3235000000000001</v>
      </c>
      <c r="AI838" s="11"/>
      <c r="AJ838" s="11"/>
      <c r="AK838" s="11"/>
      <c r="AL838" s="11"/>
      <c r="AM838" s="11"/>
      <c r="AN838" s="11"/>
      <c r="AO838" s="11"/>
      <c r="AP838" s="3"/>
      <c r="AQ838" s="8"/>
    </row>
    <row r="839" spans="1:43">
      <c r="A839" s="1">
        <f t="shared" si="89"/>
        <v>837</v>
      </c>
      <c r="B839" s="31"/>
      <c r="C839" s="1">
        <v>10</v>
      </c>
      <c r="D839" s="4">
        <f t="shared" si="100"/>
        <v>1016</v>
      </c>
      <c r="E839" s="4" t="s">
        <v>50</v>
      </c>
      <c r="F839" s="4">
        <v>3</v>
      </c>
      <c r="G839" s="4" t="s">
        <v>11</v>
      </c>
      <c r="H839" s="4" t="s">
        <v>267</v>
      </c>
      <c r="I839" s="4"/>
      <c r="J839" s="5">
        <v>96.8</v>
      </c>
      <c r="K839" s="70"/>
      <c r="L839" s="45">
        <v>3.8029999999999999</v>
      </c>
      <c r="M839" s="128" t="s">
        <v>158</v>
      </c>
      <c r="N839" s="10" t="s">
        <v>111</v>
      </c>
      <c r="O839" s="46"/>
      <c r="P839" s="11"/>
      <c r="Q839" s="3"/>
      <c r="R839" s="22">
        <v>4.0289999999999999</v>
      </c>
      <c r="S839" s="22">
        <v>3.7090000000000001</v>
      </c>
      <c r="T839" s="22">
        <v>4.0869999999999997</v>
      </c>
      <c r="U839" s="42">
        <v>3.863</v>
      </c>
      <c r="V839" s="40">
        <v>3.972</v>
      </c>
      <c r="W839" s="35"/>
      <c r="X839" s="35"/>
      <c r="Y839" s="35"/>
      <c r="Z839" s="35"/>
      <c r="AA839" s="35"/>
      <c r="AB839" s="22">
        <v>4.2469999999999999</v>
      </c>
      <c r="AC839" s="22">
        <v>4.2110000000000003</v>
      </c>
      <c r="AD839" s="22">
        <v>4.0490000000000004</v>
      </c>
      <c r="AE839" s="22">
        <v>4.0910000000000002</v>
      </c>
      <c r="AF839" s="40">
        <v>3.7770000000000001</v>
      </c>
      <c r="AG839" s="22">
        <v>3.7879999999999998</v>
      </c>
      <c r="AH839" s="22">
        <f t="shared" si="98"/>
        <v>3.7824999999999998</v>
      </c>
      <c r="AI839" s="11"/>
      <c r="AJ839" s="11"/>
      <c r="AK839" s="11"/>
      <c r="AL839" s="11"/>
      <c r="AM839" s="11"/>
      <c r="AN839" s="11"/>
      <c r="AO839" s="11"/>
      <c r="AP839" s="3"/>
      <c r="AQ839" s="8"/>
    </row>
    <row r="840" spans="1:43">
      <c r="A840" s="1">
        <f t="shared" si="89"/>
        <v>838</v>
      </c>
      <c r="B840" s="31"/>
      <c r="C840" s="1">
        <v>10</v>
      </c>
      <c r="D840" s="4">
        <f t="shared" si="100"/>
        <v>1016</v>
      </c>
      <c r="E840" s="4" t="s">
        <v>44</v>
      </c>
      <c r="F840" s="4">
        <v>3</v>
      </c>
      <c r="G840" s="4" t="s">
        <v>207</v>
      </c>
      <c r="H840" s="4" t="s">
        <v>170</v>
      </c>
      <c r="I840" s="4"/>
      <c r="J840" s="5">
        <v>96.8</v>
      </c>
      <c r="K840" s="70"/>
      <c r="L840" s="45">
        <v>3.9159999999999999</v>
      </c>
      <c r="M840" s="128" t="s">
        <v>158</v>
      </c>
      <c r="N840" s="10" t="s">
        <v>111</v>
      </c>
      <c r="O840" s="46"/>
      <c r="P840" s="11"/>
      <c r="Q840" s="3"/>
      <c r="R840" s="22">
        <v>4.0739999999999998</v>
      </c>
      <c r="S840" s="22">
        <v>3.85</v>
      </c>
      <c r="T840" s="22">
        <v>4.141</v>
      </c>
      <c r="U840" s="42">
        <v>3.8519999999999999</v>
      </c>
      <c r="V840" s="42">
        <v>4.056</v>
      </c>
      <c r="W840" s="33"/>
      <c r="X840" s="33"/>
      <c r="Y840" s="33"/>
      <c r="Z840" s="33"/>
      <c r="AA840" s="35"/>
      <c r="AB840" s="22">
        <v>4.306</v>
      </c>
      <c r="AC840" s="22">
        <v>4.2789999999999999</v>
      </c>
      <c r="AD840" s="22">
        <v>4.1399999999999997</v>
      </c>
      <c r="AE840" s="22">
        <v>4.1550000000000002</v>
      </c>
      <c r="AF840" s="42">
        <v>3.9</v>
      </c>
      <c r="AG840" s="22">
        <v>3.851</v>
      </c>
      <c r="AH840" s="22">
        <f t="shared" si="98"/>
        <v>3.8754999999999997</v>
      </c>
      <c r="AI840" s="11"/>
      <c r="AJ840" s="11"/>
      <c r="AK840" s="11"/>
      <c r="AL840" s="11"/>
      <c r="AM840" s="11"/>
      <c r="AN840" s="11"/>
      <c r="AO840" s="11"/>
      <c r="AP840" s="3"/>
      <c r="AQ840" s="8"/>
    </row>
    <row r="841" spans="1:43">
      <c r="A841" s="1">
        <f t="shared" si="89"/>
        <v>839</v>
      </c>
      <c r="B841" s="2" t="s">
        <v>49</v>
      </c>
      <c r="C841" s="1">
        <v>6</v>
      </c>
      <c r="D841" s="4">
        <f t="shared" si="100"/>
        <v>69</v>
      </c>
      <c r="E841" s="4" t="s">
        <v>40</v>
      </c>
      <c r="F841" s="4">
        <v>1</v>
      </c>
      <c r="G841" s="4" t="s">
        <v>11</v>
      </c>
      <c r="H841" s="4" t="s">
        <v>12</v>
      </c>
      <c r="I841" s="4"/>
      <c r="J841" s="5">
        <v>89.8</v>
      </c>
      <c r="K841" s="63">
        <v>6.0000000000000001E-3</v>
      </c>
      <c r="L841" s="37">
        <v>2.4620000000000002</v>
      </c>
      <c r="M841" s="128" t="s">
        <v>203</v>
      </c>
      <c r="N841" s="1" t="s">
        <v>13</v>
      </c>
      <c r="O841" s="22">
        <v>2.46</v>
      </c>
      <c r="P841" s="1" t="s">
        <v>7</v>
      </c>
      <c r="Q841" s="3" t="s">
        <v>205</v>
      </c>
      <c r="R841" s="22">
        <v>2.669</v>
      </c>
      <c r="S841" s="22">
        <v>2.3780000000000001</v>
      </c>
      <c r="T841" s="22">
        <v>3.012</v>
      </c>
      <c r="U841" s="22">
        <v>2.375</v>
      </c>
      <c r="V841" s="22">
        <v>2.6349999999999998</v>
      </c>
      <c r="W841" s="22">
        <v>2.5369999999999999</v>
      </c>
      <c r="X841" s="22">
        <v>2.5409999999999999</v>
      </c>
      <c r="Y841" s="22">
        <v>2.5179999999999998</v>
      </c>
      <c r="Z841" s="22">
        <v>2.4550000000000001</v>
      </c>
      <c r="AA841" s="22">
        <v>2.4700000000000002</v>
      </c>
      <c r="AB841" s="22">
        <v>2.7549999999999999</v>
      </c>
      <c r="AC841" s="22">
        <v>2.7120000000000002</v>
      </c>
      <c r="AD841" s="6">
        <v>2.6019999999999999</v>
      </c>
      <c r="AE841" s="22">
        <v>2.504</v>
      </c>
      <c r="AF841" s="22">
        <v>2.423</v>
      </c>
      <c r="AG841" s="22">
        <v>2.4159999999999999</v>
      </c>
      <c r="AH841" s="6">
        <f t="shared" ref="AH841:AH861" si="101">IF((AF841&lt;&gt;0)*AND(AG841&lt;&gt;0),AVERAGE(AF841:AG841),"")</f>
        <v>2.4195000000000002</v>
      </c>
      <c r="AI841" s="7">
        <v>2.99</v>
      </c>
      <c r="AJ841" s="7">
        <v>2.31</v>
      </c>
      <c r="AK841" s="7">
        <v>1.91</v>
      </c>
      <c r="AL841" s="7">
        <v>2.54</v>
      </c>
      <c r="AM841" s="7">
        <v>2.5299999999999998</v>
      </c>
      <c r="AN841" s="7">
        <v>2.4</v>
      </c>
      <c r="AO841" s="7">
        <v>2.35</v>
      </c>
      <c r="AP841" s="3"/>
      <c r="AQ841" s="8"/>
    </row>
    <row r="842" spans="1:43">
      <c r="A842" s="1">
        <f t="shared" si="89"/>
        <v>840</v>
      </c>
      <c r="B842" s="19"/>
      <c r="C842" s="1">
        <v>6</v>
      </c>
      <c r="D842" s="4">
        <f t="shared" si="100"/>
        <v>69</v>
      </c>
      <c r="E842" s="4" t="s">
        <v>150</v>
      </c>
      <c r="F842" s="4">
        <v>1</v>
      </c>
      <c r="G842" s="4" t="s">
        <v>11</v>
      </c>
      <c r="H842" s="4" t="s">
        <v>12</v>
      </c>
      <c r="I842" s="4"/>
      <c r="J842" s="5">
        <v>87.9</v>
      </c>
      <c r="K842" s="70"/>
      <c r="L842" s="37">
        <v>3.68</v>
      </c>
      <c r="M842" s="128" t="s">
        <v>203</v>
      </c>
      <c r="N842" s="1" t="s">
        <v>13</v>
      </c>
      <c r="O842" s="22">
        <v>3.6869999999999998</v>
      </c>
      <c r="P842" s="1" t="s">
        <v>7</v>
      </c>
      <c r="Q842" s="3" t="s">
        <v>205</v>
      </c>
      <c r="R842" s="22">
        <v>3.9260000000000002</v>
      </c>
      <c r="S842" s="22">
        <v>3.53</v>
      </c>
      <c r="T842" s="22">
        <v>4.2210000000000001</v>
      </c>
      <c r="U842" s="22">
        <v>3.698</v>
      </c>
      <c r="V842" s="22">
        <v>3.9590000000000001</v>
      </c>
      <c r="W842" s="22">
        <v>3.7639999999999998</v>
      </c>
      <c r="X842" s="22">
        <v>3.7669999999999999</v>
      </c>
      <c r="Y842" s="22">
        <v>3.78</v>
      </c>
      <c r="Z842" s="22">
        <v>3.6739999999999999</v>
      </c>
      <c r="AA842" s="22">
        <v>3.6920000000000002</v>
      </c>
      <c r="AB842" s="22">
        <v>4.0579999999999998</v>
      </c>
      <c r="AC842" s="22">
        <v>4.01</v>
      </c>
      <c r="AD842" s="6">
        <v>3.8490000000000002</v>
      </c>
      <c r="AE842" s="22">
        <v>3.8</v>
      </c>
      <c r="AF842" s="22">
        <v>3.5779999999999998</v>
      </c>
      <c r="AG842" s="22">
        <v>3.871</v>
      </c>
      <c r="AH842" s="6">
        <f t="shared" si="101"/>
        <v>3.7244999999999999</v>
      </c>
      <c r="AI842" s="7">
        <v>4.37</v>
      </c>
      <c r="AJ842" s="7">
        <v>3.49</v>
      </c>
      <c r="AK842" s="7">
        <v>3</v>
      </c>
      <c r="AL842" s="7">
        <v>3.77</v>
      </c>
      <c r="AM842" s="7">
        <v>3.78</v>
      </c>
      <c r="AN842" s="7">
        <v>3.63</v>
      </c>
      <c r="AO842" s="7">
        <v>3.58</v>
      </c>
      <c r="AP842" s="3"/>
      <c r="AQ842" s="8"/>
    </row>
    <row r="843" spans="1:43">
      <c r="A843" s="1">
        <f t="shared" si="89"/>
        <v>841</v>
      </c>
      <c r="B843" s="19"/>
      <c r="C843" s="1">
        <v>6</v>
      </c>
      <c r="D843" s="4">
        <f t="shared" si="100"/>
        <v>69</v>
      </c>
      <c r="E843" s="4" t="s">
        <v>120</v>
      </c>
      <c r="F843" s="4">
        <v>1</v>
      </c>
      <c r="G843" s="4" t="s">
        <v>11</v>
      </c>
      <c r="H843" s="4" t="s">
        <v>121</v>
      </c>
      <c r="I843" s="4" t="s">
        <v>321</v>
      </c>
      <c r="J843" s="5">
        <v>0.7</v>
      </c>
      <c r="K843" s="70"/>
      <c r="L843" s="45">
        <v>4.9509999999999996</v>
      </c>
      <c r="M843" s="127" t="s">
        <v>564</v>
      </c>
      <c r="N843" s="10" t="s">
        <v>111</v>
      </c>
      <c r="O843" s="46"/>
      <c r="P843" s="11"/>
      <c r="Q843" s="3" t="s">
        <v>205</v>
      </c>
      <c r="R843" s="47"/>
      <c r="S843" s="46"/>
      <c r="T843" s="46"/>
      <c r="U843" s="46"/>
      <c r="V843" s="46"/>
      <c r="W843" s="46"/>
      <c r="X843" s="46"/>
      <c r="Y843" s="22">
        <v>6.7690000000000001</v>
      </c>
      <c r="Z843" s="22">
        <v>6.2089999999999996</v>
      </c>
      <c r="AA843" s="22">
        <v>5.9580000000000002</v>
      </c>
      <c r="AB843" s="46"/>
      <c r="AC843" s="46"/>
      <c r="AD843" s="46"/>
      <c r="AE843" s="46"/>
      <c r="AF843" s="46"/>
      <c r="AG843" s="22">
        <v>4.5389999999999997</v>
      </c>
      <c r="AH843" s="46"/>
      <c r="AI843" s="6">
        <v>5.4189999999999996</v>
      </c>
      <c r="AJ843" s="6">
        <v>4.5659999999999998</v>
      </c>
      <c r="AK843" s="6">
        <v>4.3179999999999996</v>
      </c>
      <c r="AL843" s="6">
        <v>4.9169999999999998</v>
      </c>
      <c r="AM843" s="6">
        <v>4.9509999999999996</v>
      </c>
      <c r="AN843" s="6">
        <v>4.6879999999999997</v>
      </c>
      <c r="AO843" s="6">
        <v>4.6079999999999997</v>
      </c>
      <c r="AP843" s="3"/>
      <c r="AQ843" s="8"/>
    </row>
    <row r="844" spans="1:43">
      <c r="A844" s="1">
        <f t="shared" si="89"/>
        <v>842</v>
      </c>
      <c r="B844" s="19"/>
      <c r="C844" s="1">
        <v>6</v>
      </c>
      <c r="D844" s="4">
        <f t="shared" si="100"/>
        <v>69</v>
      </c>
      <c r="E844" s="4" t="s">
        <v>240</v>
      </c>
      <c r="F844" s="4">
        <v>1</v>
      </c>
      <c r="G844" s="4" t="s">
        <v>11</v>
      </c>
      <c r="H844" s="4" t="s">
        <v>12</v>
      </c>
      <c r="I844" s="4"/>
      <c r="J844" s="5">
        <v>83.1</v>
      </c>
      <c r="K844" s="70"/>
      <c r="L844" s="37">
        <v>4.8620000000000001</v>
      </c>
      <c r="M844" s="128" t="s">
        <v>203</v>
      </c>
      <c r="N844" s="1" t="s">
        <v>13</v>
      </c>
      <c r="O844" s="22">
        <v>4.8540000000000001</v>
      </c>
      <c r="P844" s="1" t="s">
        <v>7</v>
      </c>
      <c r="Q844" s="3" t="s">
        <v>205</v>
      </c>
      <c r="R844" s="22">
        <v>5.58</v>
      </c>
      <c r="S844" s="22">
        <v>5.016</v>
      </c>
      <c r="T844" s="22">
        <v>5.5620000000000003</v>
      </c>
      <c r="U844" s="22">
        <v>4.9089999999999998</v>
      </c>
      <c r="V844" s="22">
        <v>5.2640000000000002</v>
      </c>
      <c r="W844" s="22">
        <v>5.1109999999999998</v>
      </c>
      <c r="X844" s="22">
        <v>5.093</v>
      </c>
      <c r="Y844" s="22">
        <v>5.0339999999999998</v>
      </c>
      <c r="Z844" s="22">
        <v>4.91</v>
      </c>
      <c r="AA844" s="22">
        <v>4.9349999999999996</v>
      </c>
      <c r="AB844" s="22">
        <v>5.3109999999999999</v>
      </c>
      <c r="AC844" s="22">
        <v>5.2850000000000001</v>
      </c>
      <c r="AD844" s="6">
        <v>5.1980000000000004</v>
      </c>
      <c r="AE844" s="22">
        <v>5.0510000000000002</v>
      </c>
      <c r="AF844" s="22">
        <v>5.0430000000000001</v>
      </c>
      <c r="AG844" s="22">
        <v>4.9710000000000001</v>
      </c>
      <c r="AH844" s="6">
        <f t="shared" si="101"/>
        <v>5.0069999999999997</v>
      </c>
      <c r="AI844" s="7">
        <v>5.41</v>
      </c>
      <c r="AJ844" s="7">
        <v>4.83</v>
      </c>
      <c r="AK844" s="7">
        <v>4.33</v>
      </c>
      <c r="AL844" s="7">
        <v>5.0199999999999996</v>
      </c>
      <c r="AM844" s="7">
        <v>5</v>
      </c>
      <c r="AN844" s="7">
        <v>5.0199999999999996</v>
      </c>
      <c r="AO844" s="7">
        <v>4.95</v>
      </c>
      <c r="AP844" s="3"/>
      <c r="AQ844" s="8"/>
    </row>
    <row r="845" spans="1:43">
      <c r="A845" s="1">
        <f t="shared" si="89"/>
        <v>843</v>
      </c>
      <c r="B845" s="19"/>
      <c r="C845" s="1">
        <v>6</v>
      </c>
      <c r="D845" s="4">
        <f t="shared" si="100"/>
        <v>69</v>
      </c>
      <c r="E845" s="4" t="s">
        <v>161</v>
      </c>
      <c r="F845" s="4">
        <v>1</v>
      </c>
      <c r="G845" s="4" t="s">
        <v>11</v>
      </c>
      <c r="H845" s="4" t="s">
        <v>17</v>
      </c>
      <c r="I845" s="4"/>
      <c r="J845" s="5">
        <v>85.4</v>
      </c>
      <c r="K845" s="63">
        <v>5.5E-2</v>
      </c>
      <c r="L845" s="37">
        <v>5.1749999999999998</v>
      </c>
      <c r="M845" s="128" t="s">
        <v>203</v>
      </c>
      <c r="N845" s="1" t="s">
        <v>13</v>
      </c>
      <c r="O845" s="22">
        <v>5.17</v>
      </c>
      <c r="P845" s="1" t="s">
        <v>7</v>
      </c>
      <c r="Q845" s="3" t="s">
        <v>205</v>
      </c>
      <c r="R845" s="22">
        <v>5.3959999999999999</v>
      </c>
      <c r="S845" s="22">
        <v>5.3070000000000004</v>
      </c>
      <c r="T845" s="22">
        <v>5.8280000000000003</v>
      </c>
      <c r="U845" s="22">
        <v>4.9210000000000003</v>
      </c>
      <c r="V845" s="22">
        <v>5.3689999999999998</v>
      </c>
      <c r="W845" s="22">
        <v>5.3019999999999996</v>
      </c>
      <c r="X845" s="22">
        <v>5.3120000000000003</v>
      </c>
      <c r="Y845" s="6">
        <v>5.2619999999999996</v>
      </c>
      <c r="Z845" s="22">
        <v>5.2270000000000003</v>
      </c>
      <c r="AA845" s="22">
        <v>5.2110000000000003</v>
      </c>
      <c r="AB845" s="22">
        <v>5.0599999999999996</v>
      </c>
      <c r="AC845" s="22">
        <v>5.0540000000000003</v>
      </c>
      <c r="AD845" s="6">
        <v>5.1390000000000002</v>
      </c>
      <c r="AE845" s="22">
        <v>4.7869999999999999</v>
      </c>
      <c r="AF845" s="22">
        <v>5.3129999999999997</v>
      </c>
      <c r="AG845" s="22">
        <v>5.0750000000000002</v>
      </c>
      <c r="AH845" s="6">
        <f t="shared" si="101"/>
        <v>5.194</v>
      </c>
      <c r="AI845" s="7">
        <v>5.04</v>
      </c>
      <c r="AJ845" s="7">
        <v>5.31</v>
      </c>
      <c r="AK845" s="7">
        <v>4.84</v>
      </c>
      <c r="AL845" s="7">
        <v>5.26</v>
      </c>
      <c r="AM845" s="7">
        <v>5.23</v>
      </c>
      <c r="AN845" s="7">
        <v>5.6</v>
      </c>
      <c r="AO845" s="7">
        <v>5.56</v>
      </c>
      <c r="AP845" s="3"/>
      <c r="AQ845" s="8"/>
    </row>
    <row r="846" spans="1:43">
      <c r="A846" s="1">
        <f t="shared" si="89"/>
        <v>844</v>
      </c>
      <c r="B846" s="19"/>
      <c r="C846" s="1">
        <v>6</v>
      </c>
      <c r="D846" s="4">
        <f t="shared" si="100"/>
        <v>69</v>
      </c>
      <c r="E846" s="4" t="s">
        <v>232</v>
      </c>
      <c r="F846" s="4">
        <v>1</v>
      </c>
      <c r="G846" s="4" t="s">
        <v>11</v>
      </c>
      <c r="H846" s="4" t="s">
        <v>12</v>
      </c>
      <c r="I846" s="4"/>
      <c r="J846" s="5">
        <v>81.7</v>
      </c>
      <c r="K846" s="70"/>
      <c r="L846" s="37">
        <v>5.391</v>
      </c>
      <c r="M846" s="128" t="s">
        <v>203</v>
      </c>
      <c r="N846" s="1" t="s">
        <v>13</v>
      </c>
      <c r="O846" s="22">
        <v>5.3869999999999996</v>
      </c>
      <c r="P846" s="1" t="s">
        <v>7</v>
      </c>
      <c r="Q846" s="3" t="s">
        <v>205</v>
      </c>
      <c r="R846" s="22">
        <v>6.09</v>
      </c>
      <c r="S846" s="22">
        <v>5.641</v>
      </c>
      <c r="T846" s="22">
        <v>6.1829999999999998</v>
      </c>
      <c r="U846" s="22">
        <v>5.5</v>
      </c>
      <c r="V846" s="22">
        <v>5.8360000000000003</v>
      </c>
      <c r="W846" s="22">
        <v>5.6529999999999996</v>
      </c>
      <c r="X846" s="22">
        <v>5.6429999999999998</v>
      </c>
      <c r="Y846" s="6">
        <v>5.5670000000000002</v>
      </c>
      <c r="Z846" s="22">
        <v>5.4640000000000004</v>
      </c>
      <c r="AA846" s="22">
        <v>5.45</v>
      </c>
      <c r="AB846" s="22">
        <v>5.9729999999999999</v>
      </c>
      <c r="AC846" s="22">
        <v>5.9390000000000001</v>
      </c>
      <c r="AD846" s="6">
        <v>5.843</v>
      </c>
      <c r="AE846" s="22">
        <v>5.7210000000000001</v>
      </c>
      <c r="AF846" s="22">
        <v>5.6769999999999996</v>
      </c>
      <c r="AG846" s="22">
        <v>5.1340000000000003</v>
      </c>
      <c r="AH846" s="6">
        <f t="shared" si="101"/>
        <v>5.4055</v>
      </c>
      <c r="AI846" s="7">
        <v>5.43</v>
      </c>
      <c r="AJ846" s="7">
        <v>5.38</v>
      </c>
      <c r="AK846" s="7">
        <v>4.9000000000000004</v>
      </c>
      <c r="AL846" s="7">
        <v>5.42</v>
      </c>
      <c r="AM846" s="7">
        <v>5.38</v>
      </c>
      <c r="AN846" s="7">
        <v>5.68</v>
      </c>
      <c r="AO846" s="7">
        <v>5.63</v>
      </c>
      <c r="AP846" s="3"/>
      <c r="AQ846" s="8"/>
    </row>
    <row r="847" spans="1:43">
      <c r="A847" s="1">
        <f t="shared" si="89"/>
        <v>845</v>
      </c>
      <c r="B847" s="19"/>
      <c r="C847" s="1">
        <v>6</v>
      </c>
      <c r="D847" s="4">
        <f t="shared" si="100"/>
        <v>69</v>
      </c>
      <c r="E847" s="4" t="s">
        <v>150</v>
      </c>
      <c r="F847" s="4">
        <v>1</v>
      </c>
      <c r="G847" s="4" t="s">
        <v>11</v>
      </c>
      <c r="H847" s="4" t="s">
        <v>12</v>
      </c>
      <c r="I847" s="4"/>
      <c r="J847" s="5">
        <v>87.7</v>
      </c>
      <c r="K847" s="70"/>
      <c r="L847" s="37">
        <v>5.5110000000000001</v>
      </c>
      <c r="M847" s="128" t="s">
        <v>203</v>
      </c>
      <c r="N847" s="1" t="s">
        <v>13</v>
      </c>
      <c r="O847" s="22">
        <v>5.5039999999999996</v>
      </c>
      <c r="P847" s="1" t="s">
        <v>7</v>
      </c>
      <c r="Q847" s="3" t="s">
        <v>205</v>
      </c>
      <c r="R847" s="22">
        <v>5.6349999999999998</v>
      </c>
      <c r="S847" s="22">
        <v>5.5549999999999997</v>
      </c>
      <c r="T847" s="22">
        <v>6.1139999999999999</v>
      </c>
      <c r="U847" s="22">
        <v>5.4980000000000002</v>
      </c>
      <c r="V847" s="22">
        <v>5.7729999999999997</v>
      </c>
      <c r="W847" s="22">
        <v>5.6340000000000003</v>
      </c>
      <c r="X847" s="22">
        <v>5.6340000000000003</v>
      </c>
      <c r="Y847" s="22">
        <v>5.6050000000000004</v>
      </c>
      <c r="Z847" s="22">
        <v>5.524</v>
      </c>
      <c r="AA847" s="34">
        <v>5.5339999999999998</v>
      </c>
      <c r="AB847" s="22">
        <v>5.9390000000000001</v>
      </c>
      <c r="AC847" s="22">
        <v>5.9059999999999997</v>
      </c>
      <c r="AD847" s="6">
        <v>5.7910000000000004</v>
      </c>
      <c r="AE847" s="22">
        <v>5.6909999999999998</v>
      </c>
      <c r="AF847" s="22">
        <v>5.5910000000000002</v>
      </c>
      <c r="AG847" s="22">
        <v>5.4859999999999998</v>
      </c>
      <c r="AH847" s="6">
        <f t="shared" si="101"/>
        <v>5.5385</v>
      </c>
      <c r="AI847" s="7">
        <v>6.37</v>
      </c>
      <c r="AJ847" s="7">
        <v>5.51</v>
      </c>
      <c r="AK847" s="7">
        <v>4.92</v>
      </c>
      <c r="AL847" s="7">
        <v>5.8</v>
      </c>
      <c r="AM847" s="7">
        <v>5.8</v>
      </c>
      <c r="AN847" s="7">
        <v>5.7</v>
      </c>
      <c r="AO847" s="7">
        <v>5.62</v>
      </c>
      <c r="AP847" s="3"/>
      <c r="AQ847" s="8"/>
    </row>
    <row r="848" spans="1:43">
      <c r="A848" s="1">
        <f t="shared" si="89"/>
        <v>846</v>
      </c>
      <c r="B848" s="19"/>
      <c r="C848" s="1">
        <v>6</v>
      </c>
      <c r="D848" s="4">
        <f t="shared" si="100"/>
        <v>69</v>
      </c>
      <c r="E848" s="4" t="s">
        <v>160</v>
      </c>
      <c r="F848" s="4">
        <v>1</v>
      </c>
      <c r="G848" s="4" t="s">
        <v>11</v>
      </c>
      <c r="H848" s="4" t="s">
        <v>121</v>
      </c>
      <c r="I848" s="4" t="s">
        <v>321</v>
      </c>
      <c r="J848" s="5">
        <v>0.7</v>
      </c>
      <c r="K848" s="70"/>
      <c r="L848" s="45">
        <v>6.2149999999999999</v>
      </c>
      <c r="M848" s="127" t="s">
        <v>564</v>
      </c>
      <c r="N848" s="10" t="s">
        <v>111</v>
      </c>
      <c r="O848" s="46"/>
      <c r="P848" s="11"/>
      <c r="Q848" s="3" t="s">
        <v>205</v>
      </c>
      <c r="R848" s="47"/>
      <c r="S848" s="46"/>
      <c r="T848" s="46"/>
      <c r="U848" s="46"/>
      <c r="V848" s="46"/>
      <c r="W848" s="46"/>
      <c r="X848" s="46"/>
      <c r="Y848" s="22">
        <v>8.2840000000000007</v>
      </c>
      <c r="Z848" s="22">
        <v>7.617</v>
      </c>
      <c r="AA848" s="22">
        <v>7.4340000000000002</v>
      </c>
      <c r="AB848" s="46"/>
      <c r="AC848" s="46"/>
      <c r="AD848" s="46"/>
      <c r="AE848" s="46"/>
      <c r="AF848" s="46"/>
      <c r="AG848" s="22">
        <v>6.5410000000000004</v>
      </c>
      <c r="AH848" s="46"/>
      <c r="AI848" s="6">
        <v>5.59</v>
      </c>
      <c r="AJ848" s="6">
        <v>5.8529999999999998</v>
      </c>
      <c r="AK848" s="6">
        <v>5.218</v>
      </c>
      <c r="AL848" s="6">
        <v>6.2009999999999996</v>
      </c>
      <c r="AM848" s="6">
        <v>6.2149999999999999</v>
      </c>
      <c r="AN848" s="6">
        <v>6.2</v>
      </c>
      <c r="AO848" s="6">
        <v>6.149</v>
      </c>
      <c r="AP848" s="3"/>
      <c r="AQ848" s="8"/>
    </row>
    <row r="849" spans="1:43">
      <c r="A849" s="1">
        <f t="shared" si="89"/>
        <v>847</v>
      </c>
      <c r="B849" s="19"/>
      <c r="C849" s="1">
        <v>6</v>
      </c>
      <c r="D849" s="4">
        <f t="shared" si="100"/>
        <v>69</v>
      </c>
      <c r="E849" s="4" t="s">
        <v>232</v>
      </c>
      <c r="F849" s="4">
        <v>1</v>
      </c>
      <c r="G849" s="4" t="s">
        <v>11</v>
      </c>
      <c r="H849" s="4" t="s">
        <v>12</v>
      </c>
      <c r="I849" s="4"/>
      <c r="J849" s="5">
        <v>80.2</v>
      </c>
      <c r="K849" s="70"/>
      <c r="L849" s="37">
        <v>6.0510000000000002</v>
      </c>
      <c r="M849" s="128" t="s">
        <v>203</v>
      </c>
      <c r="N849" s="1" t="s">
        <v>13</v>
      </c>
      <c r="O849" s="22">
        <v>6.0510000000000002</v>
      </c>
      <c r="P849" s="1" t="s">
        <v>7</v>
      </c>
      <c r="Q849" s="3" t="s">
        <v>205</v>
      </c>
      <c r="R849" s="22">
        <v>6.08</v>
      </c>
      <c r="S849" s="22">
        <v>6.18</v>
      </c>
      <c r="T849" s="22">
        <v>6.8719999999999999</v>
      </c>
      <c r="U849" s="22">
        <v>6.3650000000000002</v>
      </c>
      <c r="V849" s="22">
        <v>6.6609999999999996</v>
      </c>
      <c r="W849" s="22">
        <v>6.3410000000000002</v>
      </c>
      <c r="X849" s="22">
        <v>6.3369999999999997</v>
      </c>
      <c r="Y849" s="6">
        <v>6.3159999999999998</v>
      </c>
      <c r="Z849" s="22">
        <v>6.1319999999999997</v>
      </c>
      <c r="AA849" s="48">
        <v>6.1440000000000001</v>
      </c>
      <c r="AB849" s="22">
        <v>6.6879999999999997</v>
      </c>
      <c r="AC849" s="22">
        <v>6.6559999999999997</v>
      </c>
      <c r="AD849" s="6">
        <v>6.4960000000000004</v>
      </c>
      <c r="AE849" s="22">
        <v>6.4160000000000004</v>
      </c>
      <c r="AF849" s="22">
        <v>6.2069999999999999</v>
      </c>
      <c r="AG849" s="22">
        <v>6.4980000000000002</v>
      </c>
      <c r="AH849" s="6">
        <f t="shared" si="101"/>
        <v>6.3525</v>
      </c>
      <c r="AI849" s="7">
        <v>6.79</v>
      </c>
      <c r="AJ849" s="7">
        <v>5.96</v>
      </c>
      <c r="AK849" s="7">
        <v>5.18</v>
      </c>
      <c r="AL849" s="7">
        <v>6.27</v>
      </c>
      <c r="AM849" s="7">
        <v>6.28</v>
      </c>
      <c r="AN849" s="7">
        <v>6.21</v>
      </c>
      <c r="AO849" s="7">
        <v>6.13</v>
      </c>
      <c r="AP849" s="3"/>
      <c r="AQ849" s="8"/>
    </row>
    <row r="850" spans="1:43">
      <c r="A850" s="1">
        <f t="shared" si="89"/>
        <v>848</v>
      </c>
      <c r="B850" s="19"/>
      <c r="C850" s="1">
        <v>6</v>
      </c>
      <c r="D850" s="4">
        <f t="shared" si="100"/>
        <v>69</v>
      </c>
      <c r="E850" s="4" t="s">
        <v>160</v>
      </c>
      <c r="F850" s="4">
        <v>1</v>
      </c>
      <c r="G850" s="4" t="s">
        <v>14</v>
      </c>
      <c r="H850" s="4" t="s">
        <v>15</v>
      </c>
      <c r="I850" s="4"/>
      <c r="J850" s="5">
        <v>91</v>
      </c>
      <c r="K850" s="70"/>
      <c r="L850" s="37">
        <v>6.48</v>
      </c>
      <c r="M850" s="128" t="s">
        <v>203</v>
      </c>
      <c r="N850" s="1" t="s">
        <v>13</v>
      </c>
      <c r="O850" s="22">
        <v>6.524</v>
      </c>
      <c r="P850" s="1" t="s">
        <v>7</v>
      </c>
      <c r="Q850" s="3"/>
      <c r="R850" s="22">
        <v>5.96</v>
      </c>
      <c r="S850" s="22">
        <v>5.9770000000000003</v>
      </c>
      <c r="T850" s="22">
        <v>6.9139999999999997</v>
      </c>
      <c r="U850" s="22">
        <v>6.6</v>
      </c>
      <c r="V850" s="22">
        <v>6.6369999999999996</v>
      </c>
      <c r="W850" s="22">
        <v>6.51</v>
      </c>
      <c r="X850" s="22">
        <v>6.5190000000000001</v>
      </c>
      <c r="Y850" s="22">
        <v>6.5590000000000002</v>
      </c>
      <c r="Z850" s="22">
        <v>6.4660000000000002</v>
      </c>
      <c r="AA850" s="42">
        <v>6.4550000000000001</v>
      </c>
      <c r="AB850" s="22">
        <v>6.8289999999999997</v>
      </c>
      <c r="AC850" s="22">
        <v>6.7</v>
      </c>
      <c r="AD850" s="6">
        <v>6.4580000000000002</v>
      </c>
      <c r="AE850" s="22">
        <v>6.64</v>
      </c>
      <c r="AF850" s="22">
        <v>6.1029999999999998</v>
      </c>
      <c r="AG850" s="22">
        <v>6.7450000000000001</v>
      </c>
      <c r="AH850" s="6">
        <f t="shared" si="101"/>
        <v>6.4239999999999995</v>
      </c>
      <c r="AI850" s="11"/>
      <c r="AJ850" s="11"/>
      <c r="AK850" s="11"/>
      <c r="AL850" s="11"/>
      <c r="AM850" s="11"/>
      <c r="AN850" s="11"/>
      <c r="AO850" s="11"/>
      <c r="AP850" s="3"/>
      <c r="AQ850" s="8"/>
    </row>
    <row r="851" spans="1:43">
      <c r="A851" s="1">
        <f t="shared" si="89"/>
        <v>849</v>
      </c>
      <c r="B851" s="19"/>
      <c r="C851" s="1">
        <v>6</v>
      </c>
      <c r="D851" s="4">
        <f t="shared" si="100"/>
        <v>69</v>
      </c>
      <c r="E851" s="4" t="s">
        <v>165</v>
      </c>
      <c r="F851" s="4">
        <v>1</v>
      </c>
      <c r="G851" s="4" t="s">
        <v>11</v>
      </c>
      <c r="H851" s="4" t="s">
        <v>17</v>
      </c>
      <c r="I851" s="4"/>
      <c r="J851" s="5">
        <v>87.2</v>
      </c>
      <c r="K851" s="63">
        <v>0.01</v>
      </c>
      <c r="L851" s="37">
        <v>6.6740000000000004</v>
      </c>
      <c r="M851" s="128" t="s">
        <v>203</v>
      </c>
      <c r="N851" s="1" t="s">
        <v>13</v>
      </c>
      <c r="O851" s="22">
        <v>6.6760000000000002</v>
      </c>
      <c r="P851" s="1" t="s">
        <v>7</v>
      </c>
      <c r="Q851" s="3"/>
      <c r="R851" s="22">
        <v>6.7830000000000004</v>
      </c>
      <c r="S851" s="22">
        <v>6.6840000000000002</v>
      </c>
      <c r="T851" s="22">
        <v>7.2450000000000001</v>
      </c>
      <c r="U851" s="22">
        <v>6.7569999999999997</v>
      </c>
      <c r="V851" s="22">
        <v>7.0110000000000001</v>
      </c>
      <c r="W851" s="22">
        <v>6.79</v>
      </c>
      <c r="X851" s="22">
        <v>6.7919999999999998</v>
      </c>
      <c r="Y851" s="22">
        <v>6.8019999999999996</v>
      </c>
      <c r="Z851" s="22">
        <v>6.6849999999999996</v>
      </c>
      <c r="AA851" s="42">
        <v>6.702</v>
      </c>
      <c r="AB851" s="22">
        <v>7.1390000000000002</v>
      </c>
      <c r="AC851" s="22">
        <v>7.1059999999999999</v>
      </c>
      <c r="AD851" s="6">
        <v>6.9649999999999999</v>
      </c>
      <c r="AE851" s="22">
        <v>6.89</v>
      </c>
      <c r="AF851" s="22">
        <v>6.7160000000000002</v>
      </c>
      <c r="AG851" s="22">
        <v>6.8680000000000003</v>
      </c>
      <c r="AH851" s="6">
        <f t="shared" si="101"/>
        <v>6.7919999999999998</v>
      </c>
      <c r="AI851" s="11"/>
      <c r="AJ851" s="11"/>
      <c r="AK851" s="11"/>
      <c r="AL851" s="11"/>
      <c r="AM851" s="11"/>
      <c r="AN851" s="11"/>
      <c r="AO851" s="11"/>
      <c r="AP851" s="3"/>
      <c r="AQ851" s="8"/>
    </row>
    <row r="852" spans="1:43">
      <c r="A852" s="1">
        <f t="shared" si="89"/>
        <v>850</v>
      </c>
      <c r="B852" s="19"/>
      <c r="C852" s="1">
        <v>6</v>
      </c>
      <c r="D852" s="4">
        <f t="shared" si="100"/>
        <v>69</v>
      </c>
      <c r="E852" s="4" t="s">
        <v>240</v>
      </c>
      <c r="F852" s="4">
        <v>1</v>
      </c>
      <c r="G852" s="4" t="s">
        <v>11</v>
      </c>
      <c r="H852" s="4" t="s">
        <v>12</v>
      </c>
      <c r="I852" s="4"/>
      <c r="J852" s="5">
        <v>85.1</v>
      </c>
      <c r="K852" s="70"/>
      <c r="L852" s="37">
        <v>6.8929999999999998</v>
      </c>
      <c r="M852" s="128" t="s">
        <v>203</v>
      </c>
      <c r="N852" s="1" t="s">
        <v>13</v>
      </c>
      <c r="O852" s="22">
        <v>6.8949999999999996</v>
      </c>
      <c r="P852" s="1" t="s">
        <v>7</v>
      </c>
      <c r="Q852" s="3" t="s">
        <v>205</v>
      </c>
      <c r="R852" s="22">
        <v>6.39</v>
      </c>
      <c r="S852" s="22">
        <v>6.9450000000000003</v>
      </c>
      <c r="T852" s="22">
        <v>7.55</v>
      </c>
      <c r="U852" s="22">
        <v>6.97</v>
      </c>
      <c r="V852" s="22">
        <v>7.3150000000000004</v>
      </c>
      <c r="W852" s="22">
        <v>7.0369999999999999</v>
      </c>
      <c r="X852" s="22">
        <v>7.0430000000000001</v>
      </c>
      <c r="Y852" s="22">
        <v>7.05</v>
      </c>
      <c r="Z852" s="22">
        <v>6.9169999999999998</v>
      </c>
      <c r="AA852" s="42">
        <v>6.9329999999999998</v>
      </c>
      <c r="AB852" s="22">
        <v>7.3860000000000001</v>
      </c>
      <c r="AC852" s="22">
        <v>7.3479999999999999</v>
      </c>
      <c r="AD852" s="6">
        <v>7.218</v>
      </c>
      <c r="AE852" s="22">
        <v>7.13</v>
      </c>
      <c r="AF852" s="22">
        <v>6.9740000000000002</v>
      </c>
      <c r="AG852" s="22">
        <v>7.2160000000000002</v>
      </c>
      <c r="AH852" s="6">
        <f t="shared" si="101"/>
        <v>7.0950000000000006</v>
      </c>
      <c r="AI852" s="7">
        <v>7.18</v>
      </c>
      <c r="AJ852" s="7">
        <v>6.59</v>
      </c>
      <c r="AK852" s="7">
        <v>5.89</v>
      </c>
      <c r="AL852" s="7">
        <v>6.79</v>
      </c>
      <c r="AM852" s="7">
        <v>6.72</v>
      </c>
      <c r="AN852" s="7">
        <v>6.83</v>
      </c>
      <c r="AO852" s="7">
        <v>6.76</v>
      </c>
      <c r="AP852" s="3"/>
      <c r="AQ852" s="8"/>
    </row>
    <row r="853" spans="1:43">
      <c r="A853" s="1">
        <f t="shared" si="89"/>
        <v>851</v>
      </c>
      <c r="B853" s="19"/>
      <c r="C853" s="1">
        <v>6</v>
      </c>
      <c r="D853" s="4">
        <f t="shared" si="100"/>
        <v>69</v>
      </c>
      <c r="E853" s="4" t="s">
        <v>165</v>
      </c>
      <c r="F853" s="4">
        <v>3</v>
      </c>
      <c r="G853" s="4" t="s">
        <v>11</v>
      </c>
      <c r="H853" s="4" t="s">
        <v>12</v>
      </c>
      <c r="I853" s="4"/>
      <c r="J853" s="5">
        <v>97.1</v>
      </c>
      <c r="K853" s="70"/>
      <c r="L853" s="37">
        <v>1.86</v>
      </c>
      <c r="M853" s="127" t="s">
        <v>110</v>
      </c>
      <c r="N853" s="1" t="s">
        <v>13</v>
      </c>
      <c r="O853" s="22">
        <v>1.8670000000000002</v>
      </c>
      <c r="P853" s="1" t="s">
        <v>7</v>
      </c>
      <c r="Q853" s="3" t="s">
        <v>205</v>
      </c>
      <c r="R853" s="22">
        <v>2.1240000000000001</v>
      </c>
      <c r="S853" s="22">
        <v>1.8140000000000001</v>
      </c>
      <c r="T853" s="22">
        <v>2.3130000000000002</v>
      </c>
      <c r="U853" s="22">
        <v>1.7749999999999999</v>
      </c>
      <c r="V853" s="22">
        <v>1.9610000000000001</v>
      </c>
      <c r="W853" s="46"/>
      <c r="X853" s="46"/>
      <c r="Y853" s="46"/>
      <c r="Z853" s="22">
        <v>1.8520000000000001</v>
      </c>
      <c r="AA853" s="46"/>
      <c r="AB853" s="22">
        <v>2.206</v>
      </c>
      <c r="AC853" s="22">
        <v>2.1720000000000002</v>
      </c>
      <c r="AD853" s="6">
        <v>2.0529999999999999</v>
      </c>
      <c r="AE853" s="22">
        <v>1.9830000000000001</v>
      </c>
      <c r="AF853" s="22">
        <v>1.85</v>
      </c>
      <c r="AG853" s="22">
        <v>1.7370000000000001</v>
      </c>
      <c r="AH853" s="6">
        <f t="shared" si="101"/>
        <v>1.7935000000000001</v>
      </c>
      <c r="AI853" s="7">
        <v>2.38</v>
      </c>
      <c r="AJ853" s="7">
        <v>1.7</v>
      </c>
      <c r="AK853" s="7">
        <v>1.31</v>
      </c>
      <c r="AL853" s="7">
        <v>1.94</v>
      </c>
      <c r="AM853" s="7">
        <v>1.93</v>
      </c>
      <c r="AN853" s="7">
        <v>1.78</v>
      </c>
      <c r="AO853" s="7">
        <v>1.73</v>
      </c>
      <c r="AP853" s="3"/>
      <c r="AQ853" s="8"/>
    </row>
    <row r="854" spans="1:43">
      <c r="A854" s="1">
        <f t="shared" si="89"/>
        <v>852</v>
      </c>
      <c r="B854" s="19"/>
      <c r="C854" s="1">
        <v>6</v>
      </c>
      <c r="D854" s="4">
        <f t="shared" si="100"/>
        <v>69</v>
      </c>
      <c r="E854" s="4" t="s">
        <v>149</v>
      </c>
      <c r="F854" s="4">
        <v>3</v>
      </c>
      <c r="G854" s="4" t="s">
        <v>11</v>
      </c>
      <c r="H854" s="4" t="s">
        <v>12</v>
      </c>
      <c r="I854" s="4"/>
      <c r="J854" s="5">
        <v>96.3</v>
      </c>
      <c r="K854" s="70"/>
      <c r="L854" s="37">
        <v>3.4430000000000005</v>
      </c>
      <c r="M854" s="127" t="s">
        <v>110</v>
      </c>
      <c r="N854" s="1" t="s">
        <v>13</v>
      </c>
      <c r="O854" s="22">
        <v>3.4540000000000011</v>
      </c>
      <c r="P854" s="1" t="s">
        <v>7</v>
      </c>
      <c r="Q854" s="3" t="s">
        <v>205</v>
      </c>
      <c r="R854" s="22">
        <v>3.9969999999999999</v>
      </c>
      <c r="S854" s="22">
        <v>3.3119999999999998</v>
      </c>
      <c r="T854" s="22">
        <v>3.9159999999999999</v>
      </c>
      <c r="U854" s="22">
        <v>3.548</v>
      </c>
      <c r="V854" s="22">
        <v>3.6629999999999998</v>
      </c>
      <c r="W854" s="46"/>
      <c r="X854" s="46"/>
      <c r="Y854" s="46"/>
      <c r="Z854" s="22">
        <v>3.4350000000000001</v>
      </c>
      <c r="AA854" s="46"/>
      <c r="AB854" s="22">
        <v>3.851</v>
      </c>
      <c r="AC854" s="22">
        <v>3.81</v>
      </c>
      <c r="AD854" s="6">
        <v>3.6440000000000001</v>
      </c>
      <c r="AE854" s="22">
        <v>3.6160000000000001</v>
      </c>
      <c r="AF854" s="22">
        <v>3.3540000000000001</v>
      </c>
      <c r="AG854" s="22">
        <v>3.54</v>
      </c>
      <c r="AH854" s="6">
        <f t="shared" si="101"/>
        <v>3.4470000000000001</v>
      </c>
      <c r="AI854" s="7">
        <v>4.0599999999999996</v>
      </c>
      <c r="AJ854" s="7">
        <v>3.26</v>
      </c>
      <c r="AK854" s="7">
        <v>2.78</v>
      </c>
      <c r="AL854" s="7">
        <v>3.52</v>
      </c>
      <c r="AM854" s="7">
        <v>3.52</v>
      </c>
      <c r="AN854" s="7">
        <v>3.41</v>
      </c>
      <c r="AO854" s="7">
        <v>3.36</v>
      </c>
      <c r="AP854" s="3"/>
      <c r="AQ854" s="8"/>
    </row>
    <row r="855" spans="1:43">
      <c r="A855" s="1">
        <f t="shared" ref="A855:A918" si="102">A854+1</f>
        <v>853</v>
      </c>
      <c r="B855" s="19"/>
      <c r="C855" s="1">
        <v>6</v>
      </c>
      <c r="D855" s="4">
        <f t="shared" si="100"/>
        <v>69</v>
      </c>
      <c r="E855" s="4" t="s">
        <v>241</v>
      </c>
      <c r="F855" s="4">
        <v>3</v>
      </c>
      <c r="G855" s="4" t="s">
        <v>11</v>
      </c>
      <c r="H855" s="4" t="s">
        <v>12</v>
      </c>
      <c r="I855" s="4"/>
      <c r="J855" s="5">
        <v>97</v>
      </c>
      <c r="K855" s="70"/>
      <c r="L855" s="37">
        <v>4.2030000000000003</v>
      </c>
      <c r="M855" s="127" t="s">
        <v>110</v>
      </c>
      <c r="N855" s="1" t="s">
        <v>13</v>
      </c>
      <c r="O855" s="22">
        <v>4.2050000000000001</v>
      </c>
      <c r="P855" s="1" t="s">
        <v>7</v>
      </c>
      <c r="Q855" s="3" t="s">
        <v>205</v>
      </c>
      <c r="R855" s="22">
        <v>4.5640000000000001</v>
      </c>
      <c r="S855" s="22">
        <v>4.2699999999999996</v>
      </c>
      <c r="T855" s="22">
        <v>4.5410000000000004</v>
      </c>
      <c r="U855" s="22">
        <v>4.1680000000000001</v>
      </c>
      <c r="V855" s="22">
        <v>4.3070000000000004</v>
      </c>
      <c r="W855" s="46"/>
      <c r="X855" s="46"/>
      <c r="Y855" s="46"/>
      <c r="Z855" s="22">
        <v>4.2050000000000001</v>
      </c>
      <c r="AA855" s="46"/>
      <c r="AB855" s="22">
        <v>4.5220000000000002</v>
      </c>
      <c r="AC855" s="22">
        <v>4.5190000000000001</v>
      </c>
      <c r="AD855" s="6">
        <v>4.4379999999999997</v>
      </c>
      <c r="AE855" s="22">
        <v>4.3179999999999996</v>
      </c>
      <c r="AF855" s="22">
        <v>4.2679999999999998</v>
      </c>
      <c r="AG855" s="22">
        <v>4.0579999999999998</v>
      </c>
      <c r="AH855" s="6">
        <f t="shared" si="101"/>
        <v>4.1630000000000003</v>
      </c>
      <c r="AI855" s="7">
        <v>4.66</v>
      </c>
      <c r="AJ855" s="7">
        <v>4.0999999999999996</v>
      </c>
      <c r="AK855" s="7">
        <v>3.62</v>
      </c>
      <c r="AL855" s="7">
        <v>4.32</v>
      </c>
      <c r="AM855" s="7">
        <v>4.3</v>
      </c>
      <c r="AN855" s="7">
        <v>4.29</v>
      </c>
      <c r="AO855" s="7">
        <v>4.24</v>
      </c>
      <c r="AP855" s="3"/>
      <c r="AQ855" s="8"/>
    </row>
    <row r="856" spans="1:43">
      <c r="A856" s="1">
        <f t="shared" si="102"/>
        <v>854</v>
      </c>
      <c r="B856" s="19"/>
      <c r="C856" s="1">
        <v>6</v>
      </c>
      <c r="D856" s="4">
        <f t="shared" si="100"/>
        <v>69</v>
      </c>
      <c r="E856" s="4" t="s">
        <v>162</v>
      </c>
      <c r="F856" s="4">
        <v>3</v>
      </c>
      <c r="G856" s="4" t="s">
        <v>11</v>
      </c>
      <c r="H856" s="4" t="s">
        <v>17</v>
      </c>
      <c r="I856" s="4"/>
      <c r="J856" s="5">
        <v>98.5</v>
      </c>
      <c r="K856" s="70"/>
      <c r="L856" s="50">
        <v>4.4800000000000004</v>
      </c>
      <c r="M856" s="127" t="s">
        <v>110</v>
      </c>
      <c r="N856" s="10" t="s">
        <v>111</v>
      </c>
      <c r="O856" s="22">
        <v>4.4890000000000008</v>
      </c>
      <c r="P856" s="1" t="s">
        <v>7</v>
      </c>
      <c r="Q856" s="3" t="s">
        <v>205</v>
      </c>
      <c r="R856" s="22">
        <v>4.96</v>
      </c>
      <c r="S856" s="22">
        <v>4.8120000000000003</v>
      </c>
      <c r="T856" s="22">
        <v>4.8470000000000004</v>
      </c>
      <c r="U856" s="22">
        <v>4.0030000000000001</v>
      </c>
      <c r="V856" s="22">
        <v>4.2649999999999997</v>
      </c>
      <c r="W856" s="46"/>
      <c r="X856" s="46"/>
      <c r="Y856" s="46"/>
      <c r="Z856" s="22">
        <v>4.5350000000000001</v>
      </c>
      <c r="AA856" s="46"/>
      <c r="AB856" s="22">
        <v>4.6539999999999999</v>
      </c>
      <c r="AC856" s="22">
        <v>4.6520000000000001</v>
      </c>
      <c r="AD856" s="6">
        <v>4.7069999999999999</v>
      </c>
      <c r="AE856" s="22">
        <v>4.5209999999999999</v>
      </c>
      <c r="AF856" s="22">
        <v>4.7990000000000004</v>
      </c>
      <c r="AG856" s="22">
        <v>4.1420000000000003</v>
      </c>
      <c r="AH856" s="6">
        <f t="shared" si="101"/>
        <v>4.4705000000000004</v>
      </c>
      <c r="AI856" s="7">
        <v>3.9</v>
      </c>
      <c r="AJ856" s="7">
        <v>4.55</v>
      </c>
      <c r="AK856" s="7">
        <v>4.29</v>
      </c>
      <c r="AL856" s="7">
        <v>4.3899999999999997</v>
      </c>
      <c r="AM856" s="7">
        <v>4.34</v>
      </c>
      <c r="AN856" s="7">
        <v>4.7</v>
      </c>
      <c r="AO856" s="7">
        <v>4.7</v>
      </c>
      <c r="AP856" s="3"/>
      <c r="AQ856" s="8"/>
    </row>
    <row r="857" spans="1:43">
      <c r="A857" s="1">
        <f t="shared" si="102"/>
        <v>855</v>
      </c>
      <c r="B857" s="19"/>
      <c r="C857" s="1">
        <v>6</v>
      </c>
      <c r="D857" s="4">
        <f t="shared" si="100"/>
        <v>69</v>
      </c>
      <c r="E857" s="4" t="s">
        <v>164</v>
      </c>
      <c r="F857" s="4">
        <v>3</v>
      </c>
      <c r="G857" s="4" t="s">
        <v>11</v>
      </c>
      <c r="H857" s="4" t="s">
        <v>17</v>
      </c>
      <c r="I857" s="4"/>
      <c r="J857" s="5">
        <v>97.5</v>
      </c>
      <c r="K857" s="70"/>
      <c r="L857" s="37">
        <v>4.5200000000000005</v>
      </c>
      <c r="M857" s="127" t="s">
        <v>110</v>
      </c>
      <c r="N857" s="1" t="s">
        <v>13</v>
      </c>
      <c r="O857" s="22">
        <v>4.5129999999999999</v>
      </c>
      <c r="P857" s="1" t="s">
        <v>7</v>
      </c>
      <c r="Q857" s="3" t="s">
        <v>205</v>
      </c>
      <c r="R857" s="22">
        <v>4.8719999999999999</v>
      </c>
      <c r="S857" s="22">
        <v>4.7699999999999996</v>
      </c>
      <c r="T857" s="22">
        <v>4.9580000000000002</v>
      </c>
      <c r="U857" s="22">
        <v>4.4489999999999998</v>
      </c>
      <c r="V857" s="22">
        <v>4.5259999999999998</v>
      </c>
      <c r="W857" s="46"/>
      <c r="X857" s="46"/>
      <c r="Y857" s="46"/>
      <c r="Z857" s="22">
        <v>4.5220000000000002</v>
      </c>
      <c r="AA857" s="46"/>
      <c r="AB857" s="22">
        <v>4.6470000000000002</v>
      </c>
      <c r="AC857" s="22">
        <v>4.6529999999999996</v>
      </c>
      <c r="AD857" s="6">
        <v>4.694</v>
      </c>
      <c r="AE857" s="22">
        <v>4.46</v>
      </c>
      <c r="AF857" s="22">
        <v>4.7619999999999996</v>
      </c>
      <c r="AG857" s="22">
        <v>4.0570000000000004</v>
      </c>
      <c r="AH857" s="6">
        <f t="shared" si="101"/>
        <v>4.4094999999999995</v>
      </c>
      <c r="AI857" s="7">
        <v>4.68</v>
      </c>
      <c r="AJ857" s="7">
        <v>4.55</v>
      </c>
      <c r="AK857" s="7">
        <v>4.2</v>
      </c>
      <c r="AL857" s="7">
        <v>4.5999999999999996</v>
      </c>
      <c r="AM857" s="7">
        <v>4.55</v>
      </c>
      <c r="AN857" s="7">
        <v>4.6100000000000003</v>
      </c>
      <c r="AO857" s="7">
        <v>4.58</v>
      </c>
      <c r="AP857" s="3"/>
      <c r="AQ857" s="8"/>
    </row>
    <row r="858" spans="1:43">
      <c r="A858" s="1">
        <f t="shared" si="102"/>
        <v>856</v>
      </c>
      <c r="B858" s="19"/>
      <c r="C858" s="1">
        <v>6</v>
      </c>
      <c r="D858" s="4">
        <f t="shared" si="100"/>
        <v>69</v>
      </c>
      <c r="E858" s="4" t="s">
        <v>167</v>
      </c>
      <c r="F858" s="4">
        <v>3</v>
      </c>
      <c r="G858" s="4" t="s">
        <v>11</v>
      </c>
      <c r="H858" s="4" t="s">
        <v>12</v>
      </c>
      <c r="I858" s="4"/>
      <c r="J858" s="5">
        <v>96.4</v>
      </c>
      <c r="K858" s="70"/>
      <c r="L858" s="37">
        <v>5.0450000000000017</v>
      </c>
      <c r="M858" s="127" t="s">
        <v>110</v>
      </c>
      <c r="N858" s="1" t="s">
        <v>13</v>
      </c>
      <c r="O858" s="22">
        <v>5.0480000000000009</v>
      </c>
      <c r="P858" s="1" t="s">
        <v>7</v>
      </c>
      <c r="Q858" s="3" t="s">
        <v>205</v>
      </c>
      <c r="R858" s="22">
        <v>5.4729999999999999</v>
      </c>
      <c r="S858" s="22">
        <v>5.1470000000000002</v>
      </c>
      <c r="T858" s="22">
        <v>5.508</v>
      </c>
      <c r="U858" s="22">
        <v>4.9820000000000002</v>
      </c>
      <c r="V858" s="22">
        <v>5.2309999999999999</v>
      </c>
      <c r="W858" s="46"/>
      <c r="X858" s="46"/>
      <c r="Y858" s="46"/>
      <c r="Z858" s="22">
        <v>5.0490000000000004</v>
      </c>
      <c r="AA858" s="46"/>
      <c r="AB858" s="22">
        <v>5.4850000000000003</v>
      </c>
      <c r="AC858" s="22">
        <v>5.4720000000000004</v>
      </c>
      <c r="AD858" s="6">
        <v>5.3650000000000002</v>
      </c>
      <c r="AE858" s="22">
        <v>5.2809999999999997</v>
      </c>
      <c r="AF858" s="22">
        <v>5.1550000000000002</v>
      </c>
      <c r="AG858" s="22">
        <v>4.8639999999999999</v>
      </c>
      <c r="AH858" s="6">
        <f t="shared" si="101"/>
        <v>5.0095000000000001</v>
      </c>
      <c r="AI858" s="7">
        <v>5.17</v>
      </c>
      <c r="AJ858" s="7">
        <v>5.0199999999999996</v>
      </c>
      <c r="AK858" s="7">
        <v>4.53</v>
      </c>
      <c r="AL858" s="7">
        <v>5.0999999999999996</v>
      </c>
      <c r="AM858" s="7">
        <v>5.07</v>
      </c>
      <c r="AN858" s="7">
        <v>5.3</v>
      </c>
      <c r="AO858" s="7">
        <v>5.27</v>
      </c>
      <c r="AP858" s="3"/>
      <c r="AQ858" s="8"/>
    </row>
    <row r="859" spans="1:43">
      <c r="A859" s="1">
        <f t="shared" si="102"/>
        <v>857</v>
      </c>
      <c r="B859" s="19"/>
      <c r="C859" s="1">
        <v>6</v>
      </c>
      <c r="D859" s="4">
        <f t="shared" si="100"/>
        <v>69</v>
      </c>
      <c r="E859" s="4" t="s">
        <v>149</v>
      </c>
      <c r="F859" s="4">
        <v>3</v>
      </c>
      <c r="G859" s="4" t="s">
        <v>11</v>
      </c>
      <c r="H859" s="4" t="s">
        <v>12</v>
      </c>
      <c r="I859" s="4"/>
      <c r="J859" s="5">
        <v>96.6</v>
      </c>
      <c r="K859" s="70"/>
      <c r="L859" s="37">
        <v>5.117</v>
      </c>
      <c r="M859" s="127" t="s">
        <v>110</v>
      </c>
      <c r="N859" s="1" t="s">
        <v>13</v>
      </c>
      <c r="O859" s="22">
        <v>5.1179999999999994</v>
      </c>
      <c r="P859" s="1" t="s">
        <v>7</v>
      </c>
      <c r="Q859" s="3" t="s">
        <v>205</v>
      </c>
      <c r="R859" s="34">
        <v>4.9569999999999999</v>
      </c>
      <c r="S859" s="22">
        <v>5.1260000000000003</v>
      </c>
      <c r="T859" s="22">
        <v>5.617</v>
      </c>
      <c r="U859" s="22">
        <v>5.0199999999999996</v>
      </c>
      <c r="V859" s="22">
        <v>5.2850000000000001</v>
      </c>
      <c r="W859" s="46"/>
      <c r="X859" s="46"/>
      <c r="Y859" s="46"/>
      <c r="Z859" s="22">
        <v>5.1100000000000003</v>
      </c>
      <c r="AA859" s="46"/>
      <c r="AB859" s="22">
        <v>5.56</v>
      </c>
      <c r="AC859" s="22">
        <v>5.532</v>
      </c>
      <c r="AD859" s="6">
        <v>5.3970000000000002</v>
      </c>
      <c r="AE859" s="22">
        <v>5.3310000000000004</v>
      </c>
      <c r="AF859" s="22">
        <v>5.157</v>
      </c>
      <c r="AG859" s="22">
        <v>5.0709999999999997</v>
      </c>
      <c r="AH859" s="6">
        <f t="shared" si="101"/>
        <v>5.1139999999999999</v>
      </c>
      <c r="AI859" s="7">
        <v>6.12</v>
      </c>
      <c r="AJ859" s="7">
        <v>5.07</v>
      </c>
      <c r="AK859" s="7">
        <v>4.4400000000000004</v>
      </c>
      <c r="AL859" s="7">
        <v>5.41</v>
      </c>
      <c r="AM859" s="7">
        <v>5.41</v>
      </c>
      <c r="AN859" s="7">
        <v>5.22</v>
      </c>
      <c r="AO859" s="7">
        <v>5.13</v>
      </c>
      <c r="AP859" s="3"/>
      <c r="AQ859" s="8"/>
    </row>
    <row r="860" spans="1:43">
      <c r="A860" s="1">
        <f t="shared" si="102"/>
        <v>858</v>
      </c>
      <c r="B860" s="19"/>
      <c r="C860" s="1">
        <v>6</v>
      </c>
      <c r="D860" s="4">
        <f t="shared" si="100"/>
        <v>69</v>
      </c>
      <c r="E860" s="4" t="s">
        <v>233</v>
      </c>
      <c r="F860" s="4">
        <v>3</v>
      </c>
      <c r="G860" s="4" t="s">
        <v>11</v>
      </c>
      <c r="H860" s="4" t="s">
        <v>121</v>
      </c>
      <c r="I860" s="4" t="s">
        <v>321</v>
      </c>
      <c r="J860" s="5">
        <v>5.7</v>
      </c>
      <c r="K860" s="70"/>
      <c r="L860" s="45">
        <v>5.8479999999999999</v>
      </c>
      <c r="M860" s="127" t="s">
        <v>564</v>
      </c>
      <c r="N860" s="10" t="s">
        <v>111</v>
      </c>
      <c r="O860" s="46"/>
      <c r="P860" s="11"/>
      <c r="Q860" s="3" t="s">
        <v>205</v>
      </c>
      <c r="R860" s="47"/>
      <c r="S860" s="46"/>
      <c r="T860" s="46"/>
      <c r="U860" s="46"/>
      <c r="V860" s="46"/>
      <c r="W860" s="46"/>
      <c r="X860" s="46"/>
      <c r="Y860" s="46"/>
      <c r="Z860" s="22">
        <v>7.3470000000000004</v>
      </c>
      <c r="AA860" s="46"/>
      <c r="AB860" s="46"/>
      <c r="AC860" s="46"/>
      <c r="AD860" s="46"/>
      <c r="AE860" s="46"/>
      <c r="AF860" s="46"/>
      <c r="AG860" s="22">
        <v>6.335</v>
      </c>
      <c r="AH860" s="46"/>
      <c r="AI860" s="6">
        <v>6.5620000000000003</v>
      </c>
      <c r="AJ860" s="6">
        <v>5.3879999999999999</v>
      </c>
      <c r="AK860" s="6">
        <v>4.8609999999999998</v>
      </c>
      <c r="AL860" s="6">
        <v>5.8289999999999997</v>
      </c>
      <c r="AM860" s="6">
        <v>5.8479999999999999</v>
      </c>
      <c r="AN860" s="6">
        <v>5.57</v>
      </c>
      <c r="AO860" s="6">
        <v>5.5060000000000002</v>
      </c>
      <c r="AP860" s="3"/>
      <c r="AQ860" s="8"/>
    </row>
    <row r="861" spans="1:43">
      <c r="A861" s="1">
        <f t="shared" si="102"/>
        <v>859</v>
      </c>
      <c r="B861" s="19"/>
      <c r="C861" s="1">
        <v>6</v>
      </c>
      <c r="D861" s="4">
        <f t="shared" si="100"/>
        <v>69</v>
      </c>
      <c r="E861" s="4" t="s">
        <v>166</v>
      </c>
      <c r="F861" s="4">
        <v>3</v>
      </c>
      <c r="G861" s="4" t="s">
        <v>11</v>
      </c>
      <c r="H861" s="4" t="s">
        <v>17</v>
      </c>
      <c r="I861" s="4"/>
      <c r="J861" s="5">
        <v>96.6</v>
      </c>
      <c r="K861" s="70"/>
      <c r="L861" s="37">
        <v>5.4130000000000011</v>
      </c>
      <c r="M861" s="127" t="s">
        <v>110</v>
      </c>
      <c r="N861" s="1" t="s">
        <v>13</v>
      </c>
      <c r="O861" s="22">
        <v>5.4150000000000018</v>
      </c>
      <c r="P861" s="1" t="s">
        <v>7</v>
      </c>
      <c r="Q861" s="3" t="s">
        <v>205</v>
      </c>
      <c r="R861" s="22">
        <v>5.7380000000000004</v>
      </c>
      <c r="S861" s="22">
        <v>5.6980000000000004</v>
      </c>
      <c r="T861" s="22">
        <v>5.9340000000000002</v>
      </c>
      <c r="U861" s="22">
        <v>5.3860000000000001</v>
      </c>
      <c r="V861" s="22">
        <v>5.516</v>
      </c>
      <c r="W861" s="46"/>
      <c r="X861" s="46"/>
      <c r="Y861" s="46"/>
      <c r="Z861" s="22">
        <v>5.4240000000000004</v>
      </c>
      <c r="AA861" s="46"/>
      <c r="AB861" s="22">
        <v>5.593</v>
      </c>
      <c r="AC861" s="22">
        <v>5.6180000000000003</v>
      </c>
      <c r="AD861" s="6">
        <v>5.6449999999999996</v>
      </c>
      <c r="AE861" s="22">
        <v>5.3920000000000003</v>
      </c>
      <c r="AF861" s="22">
        <v>5.6749999999999998</v>
      </c>
      <c r="AG861" s="22">
        <v>5.0659999999999998</v>
      </c>
      <c r="AH861" s="6">
        <f t="shared" si="101"/>
        <v>5.3704999999999998</v>
      </c>
      <c r="AI861" s="7">
        <v>5.32</v>
      </c>
      <c r="AJ861" s="7">
        <v>5.46</v>
      </c>
      <c r="AK861" s="7">
        <v>5.08</v>
      </c>
      <c r="AL861" s="7">
        <v>5.44</v>
      </c>
      <c r="AM861" s="7">
        <v>5.39</v>
      </c>
      <c r="AN861" s="7">
        <v>5.59</v>
      </c>
      <c r="AO861" s="7">
        <v>5.56</v>
      </c>
      <c r="AP861" s="3"/>
      <c r="AQ861" s="8"/>
    </row>
    <row r="862" spans="1:43">
      <c r="A862" s="1">
        <f t="shared" si="102"/>
        <v>860</v>
      </c>
      <c r="B862" s="2" t="s">
        <v>336</v>
      </c>
      <c r="C862" s="1">
        <v>8</v>
      </c>
      <c r="D862" s="4">
        <f t="shared" si="100"/>
        <v>69</v>
      </c>
      <c r="E862" s="4" t="s">
        <v>223</v>
      </c>
      <c r="F862" s="4">
        <v>1</v>
      </c>
      <c r="G862" s="4" t="s">
        <v>11</v>
      </c>
      <c r="H862" s="4" t="s">
        <v>17</v>
      </c>
      <c r="I862" s="4"/>
      <c r="J862" s="13">
        <v>87.5</v>
      </c>
      <c r="K862" s="63">
        <v>0.14299999999999999</v>
      </c>
      <c r="L862" s="37">
        <v>4.9649999999999999</v>
      </c>
      <c r="M862" s="127" t="s">
        <v>110</v>
      </c>
      <c r="N862" s="1" t="s">
        <v>13</v>
      </c>
      <c r="O862" s="46"/>
      <c r="P862" s="11"/>
      <c r="Q862" s="3"/>
      <c r="R862" s="42">
        <v>4.9980000000000002</v>
      </c>
      <c r="S862" s="42">
        <v>4.9809999999999999</v>
      </c>
      <c r="T862" s="42">
        <v>5.3479999999999999</v>
      </c>
      <c r="U862" s="46"/>
      <c r="V862" s="22">
        <v>5.165</v>
      </c>
      <c r="W862" s="22">
        <v>5.0369999999999999</v>
      </c>
      <c r="X862" s="22">
        <v>5.0339999999999998</v>
      </c>
      <c r="Y862" s="22">
        <v>5.032</v>
      </c>
      <c r="Z862" s="22">
        <v>4.9640000000000004</v>
      </c>
      <c r="AA862" s="35"/>
      <c r="AB862" s="22">
        <v>5.1120000000000001</v>
      </c>
      <c r="AC862" s="22">
        <v>5.1379999999999999</v>
      </c>
      <c r="AD862" s="22">
        <v>5.0860000000000003</v>
      </c>
      <c r="AE862" s="22">
        <v>4.899</v>
      </c>
      <c r="AF862" s="22">
        <v>4.9480000000000004</v>
      </c>
      <c r="AG862" s="22">
        <v>4.9720000000000004</v>
      </c>
      <c r="AH862" s="22">
        <f t="shared" ref="AH862" si="103">SUM(AF862:AG862)/2</f>
        <v>4.9600000000000009</v>
      </c>
      <c r="AI862" s="11"/>
      <c r="AJ862" s="11"/>
      <c r="AK862" s="11"/>
      <c r="AL862" s="11"/>
      <c r="AM862" s="11"/>
      <c r="AN862" s="11"/>
      <c r="AO862" s="11"/>
      <c r="AP862" s="3"/>
      <c r="AQ862" s="8"/>
    </row>
    <row r="863" spans="1:43">
      <c r="A863" s="1">
        <f t="shared" si="102"/>
        <v>861</v>
      </c>
      <c r="B863" s="19"/>
      <c r="C863" s="1">
        <v>8</v>
      </c>
      <c r="D863" s="4">
        <f t="shared" si="100"/>
        <v>69</v>
      </c>
      <c r="E863" s="4" t="s">
        <v>223</v>
      </c>
      <c r="F863" s="4">
        <v>1</v>
      </c>
      <c r="G863" s="4" t="s">
        <v>11</v>
      </c>
      <c r="H863" s="4" t="s">
        <v>17</v>
      </c>
      <c r="I863" s="4"/>
      <c r="J863" s="13">
        <v>90.6</v>
      </c>
      <c r="K863" s="63">
        <v>0.185</v>
      </c>
      <c r="L863" s="37">
        <v>5.2430000000000003</v>
      </c>
      <c r="M863" s="127" t="s">
        <v>110</v>
      </c>
      <c r="N863" s="1" t="s">
        <v>13</v>
      </c>
      <c r="O863" s="46"/>
      <c r="P863" s="11"/>
      <c r="Q863" s="3"/>
      <c r="R863" s="42">
        <v>5.4809999999999999</v>
      </c>
      <c r="S863" s="42">
        <v>5.2850000000000001</v>
      </c>
      <c r="T863" s="42">
        <v>5.7009999999999996</v>
      </c>
      <c r="U863" s="46"/>
      <c r="V863" s="42">
        <v>5.3949999999999996</v>
      </c>
      <c r="W863" s="42">
        <v>5.2839999999999998</v>
      </c>
      <c r="X863" s="42">
        <v>5.2789999999999999</v>
      </c>
      <c r="Y863" s="42">
        <v>5.2610000000000001</v>
      </c>
      <c r="Z863" s="22">
        <v>5.2240000000000002</v>
      </c>
      <c r="AA863" s="35"/>
      <c r="AB863" s="42">
        <v>5.34</v>
      </c>
      <c r="AC863" s="42">
        <v>5.3460000000000001</v>
      </c>
      <c r="AD863" s="42">
        <v>5.327</v>
      </c>
      <c r="AE863" s="42">
        <v>5.1509999999999998</v>
      </c>
      <c r="AF863" s="42">
        <v>5.2759999999999998</v>
      </c>
      <c r="AG863" s="42">
        <v>5.0679999999999996</v>
      </c>
      <c r="AH863" s="22">
        <f t="shared" ref="AH863" si="104">SUM(AF863:AG863)/2</f>
        <v>5.1719999999999997</v>
      </c>
      <c r="AI863" s="11"/>
      <c r="AJ863" s="11"/>
      <c r="AK863" s="11"/>
      <c r="AL863" s="11"/>
      <c r="AM863" s="11"/>
      <c r="AN863" s="11"/>
      <c r="AO863" s="11"/>
      <c r="AP863" s="3"/>
      <c r="AQ863" s="8"/>
    </row>
    <row r="864" spans="1:43">
      <c r="A864" s="1">
        <f t="shared" si="102"/>
        <v>862</v>
      </c>
      <c r="B864" s="19"/>
      <c r="C864" s="1">
        <v>8</v>
      </c>
      <c r="D864" s="4">
        <f t="shared" si="100"/>
        <v>69</v>
      </c>
      <c r="E864" s="4" t="s">
        <v>219</v>
      </c>
      <c r="F864" s="4">
        <v>1</v>
      </c>
      <c r="G864" s="4" t="s">
        <v>14</v>
      </c>
      <c r="H864" s="4" t="s">
        <v>170</v>
      </c>
      <c r="I864" s="4"/>
      <c r="J864" s="13">
        <v>90.3</v>
      </c>
      <c r="K864" s="70"/>
      <c r="L864" s="37">
        <v>5.4109999999999996</v>
      </c>
      <c r="M864" s="127" t="s">
        <v>110</v>
      </c>
      <c r="N864" s="1" t="s">
        <v>13</v>
      </c>
      <c r="O864" s="46"/>
      <c r="P864" s="11"/>
      <c r="Q864" s="3"/>
      <c r="R864" s="42">
        <v>5.66</v>
      </c>
      <c r="S864" s="42">
        <v>5.3860000000000001</v>
      </c>
      <c r="T864" s="42">
        <v>5.7190000000000003</v>
      </c>
      <c r="U864" s="42">
        <v>5.4820000000000002</v>
      </c>
      <c r="V864" s="22">
        <v>5.6</v>
      </c>
      <c r="W864" s="42">
        <v>5.5170000000000003</v>
      </c>
      <c r="X864" s="42">
        <v>5.4939999999999998</v>
      </c>
      <c r="Y864" s="22">
        <v>5.476</v>
      </c>
      <c r="Z864" s="22">
        <v>5.4119999999999999</v>
      </c>
      <c r="AA864" s="35"/>
      <c r="AB864" s="22">
        <v>5.7610000000000001</v>
      </c>
      <c r="AC864" s="22">
        <v>5.73</v>
      </c>
      <c r="AD864" s="22">
        <v>5.6280000000000001</v>
      </c>
      <c r="AE864" s="22">
        <v>5.61</v>
      </c>
      <c r="AF864" s="22">
        <v>5.4660000000000002</v>
      </c>
      <c r="AG864" s="22">
        <v>5.375</v>
      </c>
      <c r="AH864" s="22">
        <f t="shared" ref="AH864:AH868" si="105">SUM(AF864:AG864)/2</f>
        <v>5.4205000000000005</v>
      </c>
      <c r="AI864" s="11"/>
      <c r="AJ864" s="11"/>
      <c r="AK864" s="11"/>
      <c r="AL864" s="11"/>
      <c r="AM864" s="11"/>
      <c r="AN864" s="11"/>
      <c r="AO864" s="11"/>
      <c r="AP864" s="3"/>
      <c r="AQ864" s="8"/>
    </row>
    <row r="865" spans="1:43">
      <c r="A865" s="1">
        <f t="shared" si="102"/>
        <v>863</v>
      </c>
      <c r="B865" s="19"/>
      <c r="C865" s="1">
        <v>8</v>
      </c>
      <c r="D865" s="4">
        <f t="shared" si="100"/>
        <v>69</v>
      </c>
      <c r="E865" s="4" t="s">
        <v>150</v>
      </c>
      <c r="F865" s="4">
        <v>1</v>
      </c>
      <c r="G865" s="4" t="s">
        <v>14</v>
      </c>
      <c r="H865" s="4" t="s">
        <v>170</v>
      </c>
      <c r="I865" s="4"/>
      <c r="J865" s="13">
        <v>91.6</v>
      </c>
      <c r="K865" s="63">
        <v>1E-3</v>
      </c>
      <c r="L865" s="37">
        <v>5.5090000000000012</v>
      </c>
      <c r="M865" s="127" t="s">
        <v>110</v>
      </c>
      <c r="N865" s="1" t="s">
        <v>13</v>
      </c>
      <c r="O865" s="46"/>
      <c r="P865" s="11"/>
      <c r="Q865" s="3"/>
      <c r="R865" s="42">
        <v>5.6159999999999997</v>
      </c>
      <c r="S865" s="42">
        <v>5.4450000000000003</v>
      </c>
      <c r="T865" s="42">
        <v>5.843</v>
      </c>
      <c r="U865" s="42">
        <v>5.5919999999999996</v>
      </c>
      <c r="V865" s="42">
        <v>5.6470000000000002</v>
      </c>
      <c r="W865" s="22">
        <v>5.5860000000000003</v>
      </c>
      <c r="X865" s="42">
        <v>5.5789999999999997</v>
      </c>
      <c r="Y865" s="42">
        <v>5.56</v>
      </c>
      <c r="Z865" s="22">
        <v>5.5179999999999998</v>
      </c>
      <c r="AA865" s="35"/>
      <c r="AB865" s="42">
        <v>5.81</v>
      </c>
      <c r="AC865" s="42">
        <v>5.734</v>
      </c>
      <c r="AD865" s="42">
        <v>5.6390000000000002</v>
      </c>
      <c r="AE865" s="42">
        <v>5.6820000000000004</v>
      </c>
      <c r="AF865" s="42">
        <v>5.53</v>
      </c>
      <c r="AG865" s="42">
        <v>5.4530000000000003</v>
      </c>
      <c r="AH865" s="22">
        <f t="shared" si="105"/>
        <v>5.4915000000000003</v>
      </c>
      <c r="AI865" s="11"/>
      <c r="AJ865" s="11"/>
      <c r="AK865" s="11"/>
      <c r="AL865" s="11"/>
      <c r="AM865" s="11"/>
      <c r="AN865" s="11"/>
      <c r="AO865" s="11"/>
      <c r="AP865" s="3"/>
      <c r="AQ865" s="8"/>
    </row>
    <row r="866" spans="1:43">
      <c r="A866" s="1">
        <f t="shared" si="102"/>
        <v>864</v>
      </c>
      <c r="B866" s="19"/>
      <c r="C866" s="1">
        <v>8</v>
      </c>
      <c r="D866" s="4">
        <f t="shared" si="100"/>
        <v>69</v>
      </c>
      <c r="E866" s="4" t="s">
        <v>168</v>
      </c>
      <c r="F866" s="4">
        <v>3</v>
      </c>
      <c r="G866" s="4" t="s">
        <v>11</v>
      </c>
      <c r="H866" s="4" t="s">
        <v>17</v>
      </c>
      <c r="I866" s="4"/>
      <c r="J866" s="13">
        <v>97.7</v>
      </c>
      <c r="K866" s="70"/>
      <c r="L866" s="37">
        <v>3.4440000000000004</v>
      </c>
      <c r="M866" s="127" t="s">
        <v>113</v>
      </c>
      <c r="N866" s="1" t="s">
        <v>13</v>
      </c>
      <c r="O866" s="46"/>
      <c r="P866" s="11"/>
      <c r="Q866" s="3"/>
      <c r="R866" s="42">
        <v>3.82</v>
      </c>
      <c r="S866" s="42">
        <v>3.6429999999999998</v>
      </c>
      <c r="T866" s="42">
        <v>3.7759999999999998</v>
      </c>
      <c r="U866" s="42">
        <v>3.149</v>
      </c>
      <c r="V866" s="22">
        <v>3.391</v>
      </c>
      <c r="W866" s="35"/>
      <c r="X866" s="35"/>
      <c r="Y866" s="35"/>
      <c r="Z866" s="22">
        <v>3.4649999999999999</v>
      </c>
      <c r="AA866" s="35"/>
      <c r="AB866" s="22">
        <v>3.6309999999999998</v>
      </c>
      <c r="AC866" s="22">
        <v>3.6349999999999998</v>
      </c>
      <c r="AD866" s="22">
        <v>3.629</v>
      </c>
      <c r="AE866" s="22">
        <v>3.4889999999999999</v>
      </c>
      <c r="AF866" s="22">
        <v>3.6360000000000001</v>
      </c>
      <c r="AG866" s="22">
        <v>3.153</v>
      </c>
      <c r="AH866" s="22">
        <f t="shared" si="105"/>
        <v>3.3944999999999999</v>
      </c>
      <c r="AI866" s="11"/>
      <c r="AJ866" s="11"/>
      <c r="AK866" s="11"/>
      <c r="AL866" s="11"/>
      <c r="AM866" s="11"/>
      <c r="AN866" s="11"/>
      <c r="AO866" s="11"/>
      <c r="AP866" s="3"/>
      <c r="AQ866" s="8"/>
    </row>
    <row r="867" spans="1:43">
      <c r="A867" s="1">
        <f t="shared" si="102"/>
        <v>865</v>
      </c>
      <c r="B867" s="19"/>
      <c r="C867" s="1">
        <v>8</v>
      </c>
      <c r="D867" s="4">
        <f t="shared" si="100"/>
        <v>69</v>
      </c>
      <c r="E867" s="4" t="s">
        <v>168</v>
      </c>
      <c r="F867" s="4">
        <v>3</v>
      </c>
      <c r="G867" s="4" t="s">
        <v>11</v>
      </c>
      <c r="H867" s="4" t="s">
        <v>17</v>
      </c>
      <c r="I867" s="4"/>
      <c r="J867" s="13">
        <v>97.2</v>
      </c>
      <c r="K867" s="70"/>
      <c r="L867" s="37">
        <v>4.258</v>
      </c>
      <c r="M867" s="127" t="s">
        <v>113</v>
      </c>
      <c r="N867" s="1" t="s">
        <v>13</v>
      </c>
      <c r="O867" s="46"/>
      <c r="P867" s="11"/>
      <c r="Q867" s="3"/>
      <c r="R867" s="42">
        <v>4.5220000000000002</v>
      </c>
      <c r="S867" s="42">
        <v>4.3630000000000004</v>
      </c>
      <c r="T867" s="42">
        <v>4.5199999999999996</v>
      </c>
      <c r="U867" s="42">
        <v>4.1109999999999998</v>
      </c>
      <c r="V867" s="42">
        <v>4.3120000000000003</v>
      </c>
      <c r="W867" s="35"/>
      <c r="X867" s="35"/>
      <c r="Y867" s="35"/>
      <c r="Z867" s="22">
        <v>4.2610000000000001</v>
      </c>
      <c r="AA867" s="35"/>
      <c r="AB867" s="42">
        <v>4.4189999999999996</v>
      </c>
      <c r="AC867" s="42">
        <v>4.4450000000000003</v>
      </c>
      <c r="AD867" s="42">
        <v>4.4210000000000003</v>
      </c>
      <c r="AE867" s="42">
        <v>4.2530000000000001</v>
      </c>
      <c r="AF867" s="42">
        <v>4.3239999999999998</v>
      </c>
      <c r="AG867" s="42">
        <v>4.0999999999999996</v>
      </c>
      <c r="AH867" s="22">
        <f t="shared" si="105"/>
        <v>4.2119999999999997</v>
      </c>
      <c r="AI867" s="11"/>
      <c r="AJ867" s="11"/>
      <c r="AK867" s="11"/>
      <c r="AL867" s="11"/>
      <c r="AM867" s="11"/>
      <c r="AN867" s="11"/>
      <c r="AO867" s="11"/>
      <c r="AP867" s="3"/>
      <c r="AQ867" s="8"/>
    </row>
    <row r="868" spans="1:43">
      <c r="A868" s="1">
        <f t="shared" si="102"/>
        <v>866</v>
      </c>
      <c r="B868" s="19"/>
      <c r="C868" s="1">
        <v>8</v>
      </c>
      <c r="D868" s="4">
        <f t="shared" si="100"/>
        <v>69</v>
      </c>
      <c r="E868" s="4" t="s">
        <v>169</v>
      </c>
      <c r="F868" s="4">
        <v>3</v>
      </c>
      <c r="G868" s="4" t="s">
        <v>11</v>
      </c>
      <c r="H868" s="4" t="s">
        <v>17</v>
      </c>
      <c r="I868" s="4"/>
      <c r="J868" s="13">
        <v>97.9</v>
      </c>
      <c r="K868" s="70"/>
      <c r="L868" s="37">
        <v>4.5710000000000006</v>
      </c>
      <c r="M868" s="127" t="s">
        <v>113</v>
      </c>
      <c r="N868" s="1" t="s">
        <v>13</v>
      </c>
      <c r="O868" s="46"/>
      <c r="P868" s="11"/>
      <c r="Q868" s="3"/>
      <c r="R868" s="42">
        <v>4.8460000000000001</v>
      </c>
      <c r="S868" s="42">
        <v>4.7169999999999996</v>
      </c>
      <c r="T868" s="42">
        <v>4.78</v>
      </c>
      <c r="U868" s="42">
        <v>4.4420000000000002</v>
      </c>
      <c r="V868" s="42">
        <v>4.5549999999999997</v>
      </c>
      <c r="W868" s="33"/>
      <c r="X868" s="33"/>
      <c r="Y868" s="33"/>
      <c r="Z868" s="22">
        <v>4.58</v>
      </c>
      <c r="AA868" s="35"/>
      <c r="AB868" s="22">
        <v>4.6550000000000002</v>
      </c>
      <c r="AC868" s="22">
        <v>4.6609999999999996</v>
      </c>
      <c r="AD868" s="22">
        <v>4.6829999999999998</v>
      </c>
      <c r="AE868" s="22">
        <v>4.5250000000000004</v>
      </c>
      <c r="AF868" s="22">
        <v>4.6929999999999996</v>
      </c>
      <c r="AG868" s="22">
        <v>4.33</v>
      </c>
      <c r="AH868" s="22">
        <f t="shared" si="105"/>
        <v>4.5114999999999998</v>
      </c>
      <c r="AI868" s="11"/>
      <c r="AJ868" s="11"/>
      <c r="AK868" s="11"/>
      <c r="AL868" s="11"/>
      <c r="AM868" s="11"/>
      <c r="AN868" s="11"/>
      <c r="AO868" s="11"/>
      <c r="AP868" s="3"/>
      <c r="AQ868" s="8"/>
    </row>
    <row r="869" spans="1:43">
      <c r="A869" s="1">
        <f t="shared" si="102"/>
        <v>867</v>
      </c>
      <c r="B869" s="2" t="s">
        <v>51</v>
      </c>
      <c r="C869" s="1">
        <v>4</v>
      </c>
      <c r="D869" s="4">
        <f t="shared" si="100"/>
        <v>35</v>
      </c>
      <c r="E869" s="4" t="s">
        <v>131</v>
      </c>
      <c r="F869" s="4">
        <v>1</v>
      </c>
      <c r="G869" s="4" t="s">
        <v>11</v>
      </c>
      <c r="H869" s="4" t="s">
        <v>12</v>
      </c>
      <c r="I869" s="4"/>
      <c r="J869" s="5">
        <v>88.9</v>
      </c>
      <c r="K869" s="68"/>
      <c r="L869" s="38">
        <v>2.5299999999999998</v>
      </c>
      <c r="M869" s="127" t="s">
        <v>203</v>
      </c>
      <c r="N869" s="1" t="s">
        <v>13</v>
      </c>
      <c r="O869" s="22">
        <v>2.5360000000000005</v>
      </c>
      <c r="P869" s="1" t="s">
        <v>7</v>
      </c>
      <c r="Q869" s="3" t="s">
        <v>205</v>
      </c>
      <c r="R869" s="22">
        <v>2.548</v>
      </c>
      <c r="S869" s="22">
        <v>2.629</v>
      </c>
      <c r="T869" s="22">
        <v>2.4140000000000001</v>
      </c>
      <c r="U869" s="22">
        <v>2.4750000000000001</v>
      </c>
      <c r="V869" s="22">
        <v>2.6280000000000001</v>
      </c>
      <c r="W869" s="22">
        <v>2.548</v>
      </c>
      <c r="X869" s="22">
        <v>2.5499999999999998</v>
      </c>
      <c r="Y869" s="22">
        <v>2.573</v>
      </c>
      <c r="Z869" s="22">
        <v>2.5529999999999999</v>
      </c>
      <c r="AA869" s="22">
        <v>2.528</v>
      </c>
      <c r="AB869" s="22">
        <v>2.556</v>
      </c>
      <c r="AC869" s="22">
        <v>2.6989999999999998</v>
      </c>
      <c r="AD869" s="22">
        <v>2.6760000000000002</v>
      </c>
      <c r="AE869" s="22">
        <v>2.3839999999999999</v>
      </c>
      <c r="AF869" s="22">
        <v>2.468</v>
      </c>
      <c r="AG869" s="22">
        <v>2.5</v>
      </c>
      <c r="AH869" s="6">
        <f t="shared" ref="AH869:AH877" si="106">IF((AF869&lt;&gt;0)*AND(AG869&lt;&gt;0),AVERAGE(AF869:AG869),"")</f>
        <v>2.484</v>
      </c>
      <c r="AI869" s="7">
        <v>2.72</v>
      </c>
      <c r="AJ869" s="7">
        <v>2.58</v>
      </c>
      <c r="AK869" s="7">
        <v>2.33</v>
      </c>
      <c r="AL869" s="7">
        <v>2.6</v>
      </c>
      <c r="AM869" s="7">
        <v>2.5299999999999998</v>
      </c>
      <c r="AN869" s="7">
        <v>2.56</v>
      </c>
      <c r="AO869" s="7">
        <v>2.5499999999999998</v>
      </c>
      <c r="AP869" s="3"/>
      <c r="AQ869" s="8"/>
    </row>
    <row r="870" spans="1:43">
      <c r="A870" s="1">
        <f t="shared" si="102"/>
        <v>868</v>
      </c>
      <c r="B870" s="19"/>
      <c r="C870" s="1">
        <v>4</v>
      </c>
      <c r="D870" s="4">
        <f t="shared" si="100"/>
        <v>35</v>
      </c>
      <c r="E870" s="4" t="s">
        <v>137</v>
      </c>
      <c r="F870" s="4">
        <v>1</v>
      </c>
      <c r="G870" s="4" t="s">
        <v>14</v>
      </c>
      <c r="H870" s="4" t="s">
        <v>15</v>
      </c>
      <c r="I870" s="4"/>
      <c r="J870" s="5">
        <v>91.3</v>
      </c>
      <c r="K870" s="63">
        <v>5.1999999999999998E-2</v>
      </c>
      <c r="L870" s="38">
        <v>5.5659999999999989</v>
      </c>
      <c r="M870" s="127" t="s">
        <v>203</v>
      </c>
      <c r="N870" s="1" t="s">
        <v>13</v>
      </c>
      <c r="O870" s="22">
        <v>5.6149999999999984</v>
      </c>
      <c r="P870" s="1" t="s">
        <v>7</v>
      </c>
      <c r="Q870" s="3" t="s">
        <v>205</v>
      </c>
      <c r="R870" s="22">
        <v>5.5919999999999996</v>
      </c>
      <c r="S870" s="22">
        <v>5.5010000000000003</v>
      </c>
      <c r="T870" s="22">
        <v>5.5289999999999999</v>
      </c>
      <c r="U870" s="22">
        <v>5.68</v>
      </c>
      <c r="V870" s="22">
        <v>5.6719999999999997</v>
      </c>
      <c r="W870" s="22">
        <v>5.5709999999999997</v>
      </c>
      <c r="X870" s="22">
        <v>5.5659999999999998</v>
      </c>
      <c r="Y870" s="22">
        <v>5.6059999999999999</v>
      </c>
      <c r="Z870" s="22">
        <v>5.5549999999999997</v>
      </c>
      <c r="AA870" s="22">
        <v>5.5419999999999998</v>
      </c>
      <c r="AB870" s="22">
        <v>5.8019999999999996</v>
      </c>
      <c r="AC870" s="22">
        <v>5.8479999999999999</v>
      </c>
      <c r="AD870" s="22">
        <v>5.7380000000000004</v>
      </c>
      <c r="AE870" s="22">
        <v>5.6879999999999997</v>
      </c>
      <c r="AF870" s="22">
        <v>5.4690000000000003</v>
      </c>
      <c r="AG870" s="22">
        <v>5.649</v>
      </c>
      <c r="AH870" s="6">
        <f t="shared" si="106"/>
        <v>5.5590000000000002</v>
      </c>
      <c r="AI870" s="7">
        <v>4.8</v>
      </c>
      <c r="AJ870" s="7">
        <v>5.6</v>
      </c>
      <c r="AK870" s="7">
        <v>5.48</v>
      </c>
      <c r="AL870" s="7">
        <v>5.64</v>
      </c>
      <c r="AM870" s="7">
        <v>5.61</v>
      </c>
      <c r="AN870" s="7">
        <v>5.69</v>
      </c>
      <c r="AO870" s="7">
        <v>5.72</v>
      </c>
      <c r="AP870" s="3"/>
      <c r="AQ870" s="8"/>
    </row>
    <row r="871" spans="1:43">
      <c r="A871" s="1">
        <f t="shared" si="102"/>
        <v>869</v>
      </c>
      <c r="B871" s="19"/>
      <c r="C871" s="1">
        <v>4</v>
      </c>
      <c r="D871" s="4">
        <f t="shared" si="100"/>
        <v>35</v>
      </c>
      <c r="E871" s="4" t="s">
        <v>118</v>
      </c>
      <c r="F871" s="4">
        <v>1</v>
      </c>
      <c r="G871" s="4" t="s">
        <v>11</v>
      </c>
      <c r="H871" s="4" t="s">
        <v>17</v>
      </c>
      <c r="I871" s="4"/>
      <c r="J871" s="5">
        <v>90.6</v>
      </c>
      <c r="K871" s="63">
        <v>0.24199999999999999</v>
      </c>
      <c r="L871" s="38">
        <v>5.8759999999999994</v>
      </c>
      <c r="M871" s="127" t="s">
        <v>203</v>
      </c>
      <c r="N871" s="1" t="s">
        <v>13</v>
      </c>
      <c r="O871" s="22">
        <v>5.8609999999999989</v>
      </c>
      <c r="P871" s="1" t="s">
        <v>7</v>
      </c>
      <c r="Q871" s="3" t="s">
        <v>205</v>
      </c>
      <c r="R871" s="22">
        <v>6.008</v>
      </c>
      <c r="S871" s="22">
        <v>6.09</v>
      </c>
      <c r="T871" s="22">
        <v>5.7779999999999996</v>
      </c>
      <c r="U871" s="22">
        <v>5.7460000000000004</v>
      </c>
      <c r="V871" s="22">
        <v>6.0090000000000003</v>
      </c>
      <c r="W871" s="22">
        <v>5.92</v>
      </c>
      <c r="X871" s="22">
        <v>5.8959999999999999</v>
      </c>
      <c r="Y871" s="22">
        <v>5.9260000000000002</v>
      </c>
      <c r="Z871" s="22">
        <v>5.8970000000000002</v>
      </c>
      <c r="AA871" s="22">
        <v>5.907</v>
      </c>
      <c r="AB871" s="22">
        <v>5.8730000000000002</v>
      </c>
      <c r="AC871" s="22">
        <v>6.1159999999999997</v>
      </c>
      <c r="AD871" s="22">
        <v>6.1109999999999998</v>
      </c>
      <c r="AE871" s="22">
        <v>5.718</v>
      </c>
      <c r="AF871" s="22">
        <v>5.867</v>
      </c>
      <c r="AG871" s="22">
        <v>5.5339999999999998</v>
      </c>
      <c r="AH871" s="6">
        <f t="shared" si="106"/>
        <v>5.7004999999999999</v>
      </c>
      <c r="AI871" s="7">
        <v>6.94</v>
      </c>
      <c r="AJ871" s="7">
        <v>6.42</v>
      </c>
      <c r="AK871" s="7">
        <v>5.98</v>
      </c>
      <c r="AL871" s="7">
        <v>6.4</v>
      </c>
      <c r="AM871" s="7">
        <v>6.26</v>
      </c>
      <c r="AN871" s="7">
        <v>6.38</v>
      </c>
      <c r="AO871" s="7">
        <v>6.24</v>
      </c>
      <c r="AP871" s="3"/>
      <c r="AQ871" s="8"/>
    </row>
    <row r="872" spans="1:43">
      <c r="A872" s="1">
        <f t="shared" si="102"/>
        <v>870</v>
      </c>
      <c r="B872" s="19"/>
      <c r="C872" s="1">
        <v>4</v>
      </c>
      <c r="D872" s="4">
        <f t="shared" si="100"/>
        <v>35</v>
      </c>
      <c r="E872" s="4" t="s">
        <v>137</v>
      </c>
      <c r="F872" s="4">
        <v>1</v>
      </c>
      <c r="G872" s="4" t="s">
        <v>14</v>
      </c>
      <c r="H872" s="4" t="s">
        <v>170</v>
      </c>
      <c r="I872" s="4"/>
      <c r="J872" s="5">
        <v>92.4</v>
      </c>
      <c r="K872" s="63">
        <v>2.8000000000000001E-2</v>
      </c>
      <c r="L872" s="38">
        <v>6.5209999999999999</v>
      </c>
      <c r="M872" s="127" t="s">
        <v>203</v>
      </c>
      <c r="N872" s="1" t="s">
        <v>13</v>
      </c>
      <c r="O872" s="22">
        <v>6.5350000000000001</v>
      </c>
      <c r="P872" s="1" t="s">
        <v>7</v>
      </c>
      <c r="Q872" s="3" t="s">
        <v>205</v>
      </c>
      <c r="R872" s="22">
        <v>6.4219999999999997</v>
      </c>
      <c r="S872" s="22">
        <v>6.4420000000000002</v>
      </c>
      <c r="T872" s="22">
        <v>6.4770000000000003</v>
      </c>
      <c r="U872" s="22">
        <v>6.6520000000000001</v>
      </c>
      <c r="V872" s="22">
        <v>6.5949999999999998</v>
      </c>
      <c r="W872" s="22">
        <v>6.52</v>
      </c>
      <c r="X872" s="22">
        <v>6.5179999999999998</v>
      </c>
      <c r="Y872" s="22">
        <v>6.5449999999999999</v>
      </c>
      <c r="Z872" s="22">
        <v>6.51</v>
      </c>
      <c r="AA872" s="22">
        <v>6.5</v>
      </c>
      <c r="AB872" s="22">
        <v>6.6619999999999999</v>
      </c>
      <c r="AC872" s="22">
        <v>6.6879999999999997</v>
      </c>
      <c r="AD872" s="22">
        <v>6.6139999999999999</v>
      </c>
      <c r="AE872" s="22">
        <v>6.5590000000000002</v>
      </c>
      <c r="AF872" s="22">
        <v>6.4249999999999998</v>
      </c>
      <c r="AG872" s="22">
        <v>6.5270000000000001</v>
      </c>
      <c r="AH872" s="6">
        <f t="shared" si="106"/>
        <v>6.476</v>
      </c>
      <c r="AI872" s="7">
        <v>5.57</v>
      </c>
      <c r="AJ872" s="7">
        <v>6.51</v>
      </c>
      <c r="AK872" s="7">
        <v>6.4</v>
      </c>
      <c r="AL872" s="7">
        <v>6.53</v>
      </c>
      <c r="AM872" s="7">
        <v>6.49</v>
      </c>
      <c r="AN872" s="7">
        <v>6.6</v>
      </c>
      <c r="AO872" s="7">
        <v>6.62</v>
      </c>
      <c r="AP872" s="3"/>
      <c r="AQ872" s="8"/>
    </row>
    <row r="873" spans="1:43">
      <c r="A873" s="1">
        <f t="shared" si="102"/>
        <v>871</v>
      </c>
      <c r="B873" s="19"/>
      <c r="C873" s="1">
        <v>4</v>
      </c>
      <c r="D873" s="4">
        <f t="shared" si="100"/>
        <v>35</v>
      </c>
      <c r="E873" s="4" t="s">
        <v>118</v>
      </c>
      <c r="F873" s="4">
        <v>1</v>
      </c>
      <c r="G873" s="4" t="s">
        <v>14</v>
      </c>
      <c r="H873" s="4" t="s">
        <v>16</v>
      </c>
      <c r="I873" s="4"/>
      <c r="J873" s="5">
        <v>91.6</v>
      </c>
      <c r="K873" s="63">
        <v>2.3E-2</v>
      </c>
      <c r="L873" s="38">
        <v>6.6189999999999989</v>
      </c>
      <c r="M873" s="127" t="s">
        <v>203</v>
      </c>
      <c r="N873" s="1" t="s">
        <v>13</v>
      </c>
      <c r="O873" s="22">
        <v>6.6529999999999978</v>
      </c>
      <c r="P873" s="1" t="s">
        <v>7</v>
      </c>
      <c r="Q873" s="3" t="s">
        <v>205</v>
      </c>
      <c r="R873" s="22">
        <v>6.5179999999999998</v>
      </c>
      <c r="S873" s="22">
        <v>6.53</v>
      </c>
      <c r="T873" s="22">
        <v>6.5780000000000003</v>
      </c>
      <c r="U873" s="22">
        <v>6.7809999999999997</v>
      </c>
      <c r="V873" s="22">
        <v>6.7119999999999997</v>
      </c>
      <c r="W873" s="22">
        <v>6.6189999999999998</v>
      </c>
      <c r="X873" s="22">
        <v>6.6150000000000002</v>
      </c>
      <c r="Y873" s="22">
        <v>6.6559999999999997</v>
      </c>
      <c r="Z873" s="22">
        <v>6.61</v>
      </c>
      <c r="AA873" s="22">
        <v>6.6</v>
      </c>
      <c r="AB873" s="22">
        <v>6.7889999999999997</v>
      </c>
      <c r="AC873" s="22">
        <v>6.8380000000000001</v>
      </c>
      <c r="AD873" s="22">
        <v>6.7350000000000003</v>
      </c>
      <c r="AE873" s="22">
        <v>6.68</v>
      </c>
      <c r="AF873" s="22">
        <v>6.4829999999999997</v>
      </c>
      <c r="AG873" s="22">
        <v>6.6449999999999996</v>
      </c>
      <c r="AH873" s="6">
        <f t="shared" si="106"/>
        <v>6.5640000000000001</v>
      </c>
      <c r="AI873" s="7">
        <v>6.24</v>
      </c>
      <c r="AJ873" s="7">
        <v>6.66</v>
      </c>
      <c r="AK873" s="7">
        <v>6.41</v>
      </c>
      <c r="AL873" s="7">
        <v>6.59</v>
      </c>
      <c r="AM873" s="7">
        <v>6.5</v>
      </c>
      <c r="AN873" s="7">
        <v>6.57</v>
      </c>
      <c r="AO873" s="7">
        <v>6.52</v>
      </c>
      <c r="AP873" s="3"/>
      <c r="AQ873" s="8"/>
    </row>
    <row r="874" spans="1:43">
      <c r="A874" s="1">
        <f t="shared" si="102"/>
        <v>872</v>
      </c>
      <c r="B874" s="19"/>
      <c r="C874" s="1">
        <v>4</v>
      </c>
      <c r="D874" s="4">
        <f t="shared" si="100"/>
        <v>35</v>
      </c>
      <c r="E874" s="4" t="s">
        <v>130</v>
      </c>
      <c r="F874" s="4">
        <v>3</v>
      </c>
      <c r="G874" s="4" t="s">
        <v>11</v>
      </c>
      <c r="H874" s="4" t="s">
        <v>12</v>
      </c>
      <c r="I874" s="4"/>
      <c r="J874" s="5">
        <v>97.4</v>
      </c>
      <c r="K874" s="68"/>
      <c r="L874" s="38">
        <v>2.3199999999999998</v>
      </c>
      <c r="M874" s="127" t="s">
        <v>110</v>
      </c>
      <c r="N874" s="1" t="s">
        <v>13</v>
      </c>
      <c r="O874" s="22">
        <v>2.3309999999999991</v>
      </c>
      <c r="P874" s="1" t="s">
        <v>7</v>
      </c>
      <c r="Q874" s="3" t="s">
        <v>205</v>
      </c>
      <c r="R874" s="22">
        <v>2.302</v>
      </c>
      <c r="S874" s="22">
        <v>2.331</v>
      </c>
      <c r="T874" s="22">
        <v>2.1619999999999999</v>
      </c>
      <c r="U874" s="22">
        <v>2.2879999999999998</v>
      </c>
      <c r="V874" s="22">
        <v>2.351</v>
      </c>
      <c r="W874" s="46"/>
      <c r="X874" s="46"/>
      <c r="Y874" s="46"/>
      <c r="Z874" s="22">
        <v>2.3370000000000002</v>
      </c>
      <c r="AA874" s="46"/>
      <c r="AB874" s="22">
        <v>2.3740000000000001</v>
      </c>
      <c r="AC874" s="22">
        <v>2.4940000000000002</v>
      </c>
      <c r="AD874" s="22">
        <v>2.44</v>
      </c>
      <c r="AE874" s="22">
        <v>2.222</v>
      </c>
      <c r="AF874" s="22">
        <v>2.1949999999999998</v>
      </c>
      <c r="AG874" s="22">
        <v>2.2629999999999999</v>
      </c>
      <c r="AH874" s="6">
        <f t="shared" si="106"/>
        <v>2.2290000000000001</v>
      </c>
      <c r="AI874" s="7">
        <v>2.52</v>
      </c>
      <c r="AJ874" s="7">
        <v>2.34</v>
      </c>
      <c r="AK874" s="7">
        <v>2.09</v>
      </c>
      <c r="AL874" s="7">
        <v>2.38</v>
      </c>
      <c r="AM874" s="7">
        <v>2.31</v>
      </c>
      <c r="AN874" s="7">
        <v>2.34</v>
      </c>
      <c r="AO874" s="7">
        <v>2.3199999999999998</v>
      </c>
      <c r="AP874" s="3"/>
      <c r="AQ874" s="8"/>
    </row>
    <row r="875" spans="1:43">
      <c r="A875" s="1">
        <f t="shared" si="102"/>
        <v>873</v>
      </c>
      <c r="B875" s="19"/>
      <c r="C875" s="1">
        <v>4</v>
      </c>
      <c r="D875" s="4">
        <f t="shared" si="100"/>
        <v>35</v>
      </c>
      <c r="E875" s="4" t="s">
        <v>143</v>
      </c>
      <c r="F875" s="4">
        <v>3</v>
      </c>
      <c r="G875" s="4" t="s">
        <v>11</v>
      </c>
      <c r="H875" s="4" t="s">
        <v>17</v>
      </c>
      <c r="I875" s="4"/>
      <c r="J875" s="5">
        <v>98.7</v>
      </c>
      <c r="K875" s="68"/>
      <c r="L875" s="38">
        <v>3.4529999999999998</v>
      </c>
      <c r="M875" s="127" t="s">
        <v>110</v>
      </c>
      <c r="N875" s="1" t="s">
        <v>13</v>
      </c>
      <c r="O875" s="22">
        <v>3.4629999999999996</v>
      </c>
      <c r="P875" s="1" t="s">
        <v>7</v>
      </c>
      <c r="Q875" s="3" t="s">
        <v>205</v>
      </c>
      <c r="R875" s="22">
        <v>3.5950000000000002</v>
      </c>
      <c r="S875" s="22">
        <v>3.593</v>
      </c>
      <c r="T875" s="22">
        <v>3.3849999999999998</v>
      </c>
      <c r="U875" s="22">
        <v>3.2240000000000002</v>
      </c>
      <c r="V875" s="22">
        <v>3.3660000000000001</v>
      </c>
      <c r="W875" s="46"/>
      <c r="X875" s="46"/>
      <c r="Y875" s="46"/>
      <c r="Z875" s="22">
        <v>3.4609999999999999</v>
      </c>
      <c r="AA875" s="46"/>
      <c r="AB875" s="22">
        <v>3.4969999999999999</v>
      </c>
      <c r="AC875" s="22">
        <v>3.552</v>
      </c>
      <c r="AD875" s="22">
        <v>3.5670000000000002</v>
      </c>
      <c r="AE875" s="22">
        <v>3.3929999999999998</v>
      </c>
      <c r="AF875" s="22">
        <v>3.5150000000000001</v>
      </c>
      <c r="AG875" s="22">
        <v>3.1739999999999999</v>
      </c>
      <c r="AH875" s="6">
        <f t="shared" si="106"/>
        <v>3.3445</v>
      </c>
      <c r="AI875" s="7">
        <v>3.52</v>
      </c>
      <c r="AJ875" s="7">
        <v>3.48</v>
      </c>
      <c r="AK875" s="7">
        <v>3.29</v>
      </c>
      <c r="AL875" s="7">
        <v>3.48</v>
      </c>
      <c r="AM875" s="7">
        <v>3.43</v>
      </c>
      <c r="AN875" s="7">
        <v>3.48</v>
      </c>
      <c r="AO875" s="7">
        <v>3.48</v>
      </c>
      <c r="AP875" s="3"/>
      <c r="AQ875" s="8"/>
    </row>
    <row r="876" spans="1:43">
      <c r="A876" s="1">
        <f t="shared" si="102"/>
        <v>874</v>
      </c>
      <c r="B876" s="2" t="s">
        <v>98</v>
      </c>
      <c r="C876" s="1">
        <v>4</v>
      </c>
      <c r="D876" s="4">
        <f t="shared" si="100"/>
        <v>35</v>
      </c>
      <c r="E876" s="4" t="s">
        <v>224</v>
      </c>
      <c r="F876" s="4">
        <v>1</v>
      </c>
      <c r="G876" s="4" t="s">
        <v>11</v>
      </c>
      <c r="H876" s="4" t="s">
        <v>12</v>
      </c>
      <c r="I876" s="4"/>
      <c r="J876" s="5">
        <v>86.4</v>
      </c>
      <c r="K876" s="63">
        <v>0</v>
      </c>
      <c r="L876" s="38">
        <v>2.1040000000000001</v>
      </c>
      <c r="M876" s="127" t="s">
        <v>203</v>
      </c>
      <c r="N876" s="1" t="s">
        <v>13</v>
      </c>
      <c r="O876" s="22">
        <v>2.1110000000000002</v>
      </c>
      <c r="P876" s="1" t="s">
        <v>7</v>
      </c>
      <c r="Q876" s="3" t="s">
        <v>205</v>
      </c>
      <c r="R876" s="6">
        <v>2.222</v>
      </c>
      <c r="S876" s="6">
        <v>2.2810000000000001</v>
      </c>
      <c r="T876" s="6">
        <v>2.0369999999999999</v>
      </c>
      <c r="U876" s="6">
        <v>2.1469999999999998</v>
      </c>
      <c r="V876" s="6">
        <v>2.2639999999999998</v>
      </c>
      <c r="W876" s="6">
        <v>2.1640000000000001</v>
      </c>
      <c r="X876" s="6">
        <v>2.1619999999999999</v>
      </c>
      <c r="Y876" s="6">
        <v>2.1680000000000001</v>
      </c>
      <c r="Z876" s="6">
        <v>2.1389999999999998</v>
      </c>
      <c r="AA876" s="22">
        <v>2.113</v>
      </c>
      <c r="AB876" s="22">
        <v>2.2690000000000001</v>
      </c>
      <c r="AC876" s="22">
        <v>2.3959999999999999</v>
      </c>
      <c r="AD876" s="22">
        <v>2.359</v>
      </c>
      <c r="AE876" s="22">
        <v>2.101</v>
      </c>
      <c r="AF876" s="22">
        <v>2.1440000000000001</v>
      </c>
      <c r="AG876" s="6">
        <v>1.976</v>
      </c>
      <c r="AH876" s="6">
        <f t="shared" si="106"/>
        <v>2.06</v>
      </c>
      <c r="AI876" s="11"/>
      <c r="AJ876" s="11"/>
      <c r="AK876" s="11"/>
      <c r="AL876" s="11"/>
      <c r="AM876" s="11"/>
      <c r="AN876" s="11"/>
      <c r="AO876" s="11"/>
      <c r="AP876" s="3"/>
      <c r="AQ876" s="8"/>
    </row>
    <row r="877" spans="1:43">
      <c r="A877" s="1">
        <f t="shared" si="102"/>
        <v>875</v>
      </c>
      <c r="B877" s="19"/>
      <c r="C877" s="1">
        <v>4</v>
      </c>
      <c r="D877" s="4">
        <f t="shared" si="100"/>
        <v>35</v>
      </c>
      <c r="E877" s="4" t="s">
        <v>225</v>
      </c>
      <c r="F877" s="4">
        <v>3</v>
      </c>
      <c r="G877" s="4" t="s">
        <v>11</v>
      </c>
      <c r="H877" s="4" t="s">
        <v>12</v>
      </c>
      <c r="I877" s="4"/>
      <c r="J877" s="5">
        <v>96.9</v>
      </c>
      <c r="K877" s="68"/>
      <c r="L877" s="38">
        <v>1.913</v>
      </c>
      <c r="M877" s="127" t="s">
        <v>110</v>
      </c>
      <c r="N877" s="1" t="s">
        <v>13</v>
      </c>
      <c r="O877" s="22">
        <v>1.925</v>
      </c>
      <c r="P877" s="1" t="s">
        <v>7</v>
      </c>
      <c r="Q877" s="3" t="s">
        <v>205</v>
      </c>
      <c r="R877" s="6">
        <v>1.956</v>
      </c>
      <c r="S877" s="6">
        <v>1.964</v>
      </c>
      <c r="T877" s="6">
        <v>1.7749999999999999</v>
      </c>
      <c r="U877" s="6">
        <v>1.9059999999999999</v>
      </c>
      <c r="V877" s="6">
        <v>1.9770000000000001</v>
      </c>
      <c r="W877" s="46"/>
      <c r="X877" s="46"/>
      <c r="Y877" s="46"/>
      <c r="Z877" s="6">
        <v>1.93</v>
      </c>
      <c r="AA877" s="46"/>
      <c r="AB877" s="22">
        <v>2.0649999999999999</v>
      </c>
      <c r="AC877" s="22">
        <v>2.169</v>
      </c>
      <c r="AD877" s="22">
        <v>2.101</v>
      </c>
      <c r="AE877" s="6">
        <v>1.917</v>
      </c>
      <c r="AF877" s="6">
        <v>1.8520000000000001</v>
      </c>
      <c r="AG877" s="6">
        <v>1.772</v>
      </c>
      <c r="AH877" s="6">
        <f t="shared" si="106"/>
        <v>1.8120000000000001</v>
      </c>
      <c r="AI877" s="11"/>
      <c r="AJ877" s="11"/>
      <c r="AK877" s="11"/>
      <c r="AL877" s="11"/>
      <c r="AM877" s="11"/>
      <c r="AN877" s="11"/>
      <c r="AO877" s="11"/>
      <c r="AP877" s="3"/>
      <c r="AQ877" s="8"/>
    </row>
    <row r="878" spans="1:43">
      <c r="A878" s="1">
        <f t="shared" si="102"/>
        <v>876</v>
      </c>
      <c r="B878" s="31" t="s">
        <v>83</v>
      </c>
      <c r="C878" s="1">
        <v>2</v>
      </c>
      <c r="D878" s="4">
        <f t="shared" si="100"/>
        <v>12</v>
      </c>
      <c r="E878" s="4" t="s">
        <v>131</v>
      </c>
      <c r="F878" s="4">
        <v>1</v>
      </c>
      <c r="G878" s="4" t="s">
        <v>11</v>
      </c>
      <c r="H878" s="4" t="s">
        <v>12</v>
      </c>
      <c r="I878" s="4"/>
      <c r="J878" s="5">
        <v>89.3</v>
      </c>
      <c r="K878" s="68"/>
      <c r="L878" s="38">
        <v>2.2069999999999999</v>
      </c>
      <c r="M878" s="127" t="s">
        <v>103</v>
      </c>
      <c r="N878" s="4" t="s">
        <v>13</v>
      </c>
      <c r="O878" s="6">
        <v>2.21</v>
      </c>
      <c r="P878" s="1" t="s">
        <v>7</v>
      </c>
      <c r="Q878" s="3" t="s">
        <v>205</v>
      </c>
      <c r="R878" s="22">
        <v>2.2999999999999998</v>
      </c>
      <c r="S878" s="22">
        <v>2.339</v>
      </c>
      <c r="T878" s="6">
        <v>1.9950000000000001</v>
      </c>
      <c r="U878" s="22">
        <v>2.1760000000000002</v>
      </c>
      <c r="V878" s="22">
        <v>2.2909999999999999</v>
      </c>
      <c r="W878" s="22">
        <v>2.222</v>
      </c>
      <c r="X878" s="22">
        <v>2.222</v>
      </c>
      <c r="Y878" s="22">
        <v>2.2400000000000002</v>
      </c>
      <c r="Z878" s="22">
        <v>2.2280000000000002</v>
      </c>
      <c r="AA878" s="22">
        <v>2.2069999999999999</v>
      </c>
      <c r="AB878" s="6">
        <v>2.3159999999999998</v>
      </c>
      <c r="AC878" s="6">
        <v>2.4159999999999999</v>
      </c>
      <c r="AD878" s="6">
        <v>2.39</v>
      </c>
      <c r="AE878" s="6">
        <v>2.1640000000000001</v>
      </c>
      <c r="AF878" s="6">
        <v>2.2360000000000002</v>
      </c>
      <c r="AG878" s="6">
        <v>2.052</v>
      </c>
      <c r="AH878" s="6">
        <f>IF((AF878&lt;&gt;0)*AND(AG878&lt;&gt;0),AVERAGE(AF878:AG878),"")</f>
        <v>2.1440000000000001</v>
      </c>
      <c r="AI878" s="11"/>
      <c r="AJ878" s="11"/>
      <c r="AK878" s="11"/>
      <c r="AL878" s="11"/>
      <c r="AM878" s="11"/>
      <c r="AN878" s="11"/>
      <c r="AO878" s="11"/>
      <c r="AP878" s="3"/>
      <c r="AQ878" s="8"/>
    </row>
    <row r="879" spans="1:43">
      <c r="A879" s="1">
        <f t="shared" si="102"/>
        <v>877</v>
      </c>
      <c r="B879" s="31"/>
      <c r="C879" s="1">
        <v>2</v>
      </c>
      <c r="D879" s="4">
        <f t="shared" si="100"/>
        <v>12</v>
      </c>
      <c r="E879" s="4" t="s">
        <v>137</v>
      </c>
      <c r="F879" s="4">
        <v>1</v>
      </c>
      <c r="G879" s="4" t="s">
        <v>14</v>
      </c>
      <c r="H879" s="4" t="s">
        <v>15</v>
      </c>
      <c r="I879" s="4"/>
      <c r="J879" s="5">
        <v>92.3</v>
      </c>
      <c r="K879" s="63">
        <v>1.2E-2</v>
      </c>
      <c r="L879" s="38">
        <v>5.9169999999999998</v>
      </c>
      <c r="M879" s="127" t="s">
        <v>220</v>
      </c>
      <c r="N879" s="4" t="s">
        <v>13</v>
      </c>
      <c r="O879" s="6">
        <v>5.96</v>
      </c>
      <c r="P879" s="1" t="s">
        <v>7</v>
      </c>
      <c r="Q879" s="3" t="s">
        <v>205</v>
      </c>
      <c r="R879" s="22">
        <v>5.867</v>
      </c>
      <c r="S879" s="22">
        <v>5.8150000000000004</v>
      </c>
      <c r="T879" s="6">
        <v>5.8049999999999997</v>
      </c>
      <c r="U879" s="22">
        <v>6.03</v>
      </c>
      <c r="V879" s="22">
        <v>5.97</v>
      </c>
      <c r="W879" s="22">
        <v>5.9108999999999998</v>
      </c>
      <c r="X879" s="22">
        <v>5.9050000000000002</v>
      </c>
      <c r="Y879" s="22">
        <v>5.9390000000000001</v>
      </c>
      <c r="Z879" s="22">
        <v>5.91</v>
      </c>
      <c r="AA879" s="22">
        <v>5.9</v>
      </c>
      <c r="AB879" s="6">
        <v>6.06</v>
      </c>
      <c r="AC879" s="6">
        <v>6.085</v>
      </c>
      <c r="AD879" s="6">
        <v>5.9969999999999999</v>
      </c>
      <c r="AE879" s="6">
        <v>5.9539999999999997</v>
      </c>
      <c r="AF879" s="6">
        <v>5.798</v>
      </c>
      <c r="AG879" s="6">
        <v>5.9489999999999998</v>
      </c>
      <c r="AH879" s="6">
        <f t="shared" ref="AH879:AH888" si="107">IF((AF879&lt;&gt;0)*AND(AG879&lt;&gt;0),AVERAGE(AF879:AG879),"")</f>
        <v>5.8734999999999999</v>
      </c>
      <c r="AI879" s="11"/>
      <c r="AJ879" s="11"/>
      <c r="AK879" s="11"/>
      <c r="AL879" s="11"/>
      <c r="AM879" s="11"/>
      <c r="AN879" s="11"/>
      <c r="AO879" s="11"/>
      <c r="AP879" s="3"/>
      <c r="AQ879" s="8"/>
    </row>
    <row r="880" spans="1:43">
      <c r="A880" s="1">
        <f t="shared" si="102"/>
        <v>878</v>
      </c>
      <c r="B880" s="31"/>
      <c r="C880" s="1">
        <v>2</v>
      </c>
      <c r="D880" s="4">
        <f t="shared" si="100"/>
        <v>12</v>
      </c>
      <c r="E880" s="4" t="s">
        <v>118</v>
      </c>
      <c r="F880" s="4">
        <v>1</v>
      </c>
      <c r="G880" s="4" t="s">
        <v>11</v>
      </c>
      <c r="H880" s="4" t="s">
        <v>17</v>
      </c>
      <c r="I880" s="4"/>
      <c r="J880" s="5">
        <v>90.8</v>
      </c>
      <c r="K880" s="63">
        <v>0.17799999999999999</v>
      </c>
      <c r="L880" s="38">
        <v>6.3550000000000004</v>
      </c>
      <c r="M880" s="127" t="s">
        <v>220</v>
      </c>
      <c r="N880" s="4" t="s">
        <v>13</v>
      </c>
      <c r="O880" s="6">
        <v>6.327</v>
      </c>
      <c r="P880" s="1" t="s">
        <v>7</v>
      </c>
      <c r="Q880" s="3" t="s">
        <v>205</v>
      </c>
      <c r="R880" s="22">
        <v>6.649</v>
      </c>
      <c r="S880" s="22">
        <v>6.7080000000000002</v>
      </c>
      <c r="T880" s="6">
        <v>6.351</v>
      </c>
      <c r="U880" s="22">
        <v>6.4580000000000002</v>
      </c>
      <c r="V880" s="22">
        <v>6.633</v>
      </c>
      <c r="W880" s="22">
        <v>6.5359999999999996</v>
      </c>
      <c r="X880" s="22">
        <v>6.5019999999999998</v>
      </c>
      <c r="Y880" s="22">
        <v>6.5110000000000001</v>
      </c>
      <c r="Z880" s="22">
        <v>6.484</v>
      </c>
      <c r="AA880" s="22">
        <v>6.4669999999999996</v>
      </c>
      <c r="AB880" s="6">
        <v>6.532</v>
      </c>
      <c r="AC880" s="6">
        <v>6.6859999999999999</v>
      </c>
      <c r="AD880" s="6">
        <v>6.6950000000000003</v>
      </c>
      <c r="AE880" s="6">
        <v>6.4029999999999996</v>
      </c>
      <c r="AF880" s="6">
        <v>6.5670000000000002</v>
      </c>
      <c r="AG880" s="6">
        <v>5.98</v>
      </c>
      <c r="AH880" s="6">
        <f t="shared" si="107"/>
        <v>6.2735000000000003</v>
      </c>
      <c r="AI880" s="11"/>
      <c r="AJ880" s="11"/>
      <c r="AK880" s="11"/>
      <c r="AL880" s="11"/>
      <c r="AM880" s="11"/>
      <c r="AN880" s="11"/>
      <c r="AO880" s="11"/>
      <c r="AP880" s="3"/>
      <c r="AQ880" s="8"/>
    </row>
    <row r="881" spans="1:43">
      <c r="A881" s="1">
        <f t="shared" si="102"/>
        <v>879</v>
      </c>
      <c r="B881" s="31"/>
      <c r="C881" s="1">
        <v>2</v>
      </c>
      <c r="D881" s="4">
        <f t="shared" si="100"/>
        <v>12</v>
      </c>
      <c r="E881" s="4" t="s">
        <v>130</v>
      </c>
      <c r="F881" s="4">
        <v>3</v>
      </c>
      <c r="G881" s="4" t="s">
        <v>11</v>
      </c>
      <c r="H881" s="4" t="s">
        <v>12</v>
      </c>
      <c r="I881" s="4"/>
      <c r="J881" s="5">
        <v>97.7</v>
      </c>
      <c r="K881" s="68"/>
      <c r="L881" s="38">
        <v>1.93</v>
      </c>
      <c r="M881" s="127" t="s">
        <v>103</v>
      </c>
      <c r="N881" s="4" t="s">
        <v>13</v>
      </c>
      <c r="O881" s="6">
        <v>1.94</v>
      </c>
      <c r="P881" s="1" t="s">
        <v>7</v>
      </c>
      <c r="Q881" s="3" t="s">
        <v>205</v>
      </c>
      <c r="R881" s="22">
        <v>1.9379999999999999</v>
      </c>
      <c r="S881" s="6">
        <v>1.9419999999999999</v>
      </c>
      <c r="T881" s="6">
        <v>1.6739999999999999</v>
      </c>
      <c r="U881" s="22">
        <v>1.9730000000000001</v>
      </c>
      <c r="V881" s="22">
        <v>1.9470000000000001</v>
      </c>
      <c r="W881" s="46"/>
      <c r="X881" s="46"/>
      <c r="Y881" s="46"/>
      <c r="Z881" s="6">
        <v>1.9410000000000001</v>
      </c>
      <c r="AA881" s="22">
        <v>1.929</v>
      </c>
      <c r="AB881" s="6">
        <v>2.04</v>
      </c>
      <c r="AC881" s="6">
        <v>2.121</v>
      </c>
      <c r="AD881" s="6">
        <v>2.0609999999999999</v>
      </c>
      <c r="AE881" s="6">
        <v>1.91</v>
      </c>
      <c r="AF881" s="6">
        <v>1.857</v>
      </c>
      <c r="AG881" s="6">
        <v>1.7749999999999999</v>
      </c>
      <c r="AH881" s="6">
        <f t="shared" si="107"/>
        <v>1.8159999999999998</v>
      </c>
      <c r="AI881" s="11"/>
      <c r="AJ881" s="11"/>
      <c r="AK881" s="11"/>
      <c r="AL881" s="11"/>
      <c r="AM881" s="11"/>
      <c r="AN881" s="11"/>
      <c r="AO881" s="11"/>
      <c r="AP881" s="3"/>
      <c r="AQ881" s="8"/>
    </row>
    <row r="882" spans="1:43">
      <c r="A882" s="1">
        <f t="shared" si="102"/>
        <v>880</v>
      </c>
      <c r="B882" s="31"/>
      <c r="C882" s="1">
        <v>2</v>
      </c>
      <c r="D882" s="4">
        <f t="shared" si="100"/>
        <v>12</v>
      </c>
      <c r="E882" s="4" t="s">
        <v>143</v>
      </c>
      <c r="F882" s="4">
        <v>3</v>
      </c>
      <c r="G882" s="4" t="s">
        <v>11</v>
      </c>
      <c r="H882" s="4" t="s">
        <v>17</v>
      </c>
      <c r="I882" s="4"/>
      <c r="J882" s="5">
        <v>98.9</v>
      </c>
      <c r="K882" s="68"/>
      <c r="L882" s="38">
        <v>3.3940000000000001</v>
      </c>
      <c r="M882" s="127" t="s">
        <v>103</v>
      </c>
      <c r="N882" s="4" t="s">
        <v>13</v>
      </c>
      <c r="O882" s="6">
        <v>3.4039999999999999</v>
      </c>
      <c r="P882" s="1" t="s">
        <v>7</v>
      </c>
      <c r="Q882" s="3" t="s">
        <v>205</v>
      </c>
      <c r="R882" s="22">
        <v>3.4860000000000002</v>
      </c>
      <c r="S882" s="6">
        <v>3.484</v>
      </c>
      <c r="T882" s="6">
        <v>3.2490000000000001</v>
      </c>
      <c r="U882" s="22">
        <v>3.2280000000000002</v>
      </c>
      <c r="V882" s="22">
        <v>3.2839999999999998</v>
      </c>
      <c r="W882" s="46"/>
      <c r="X882" s="46"/>
      <c r="Y882" s="46"/>
      <c r="Z882" s="6">
        <v>3.3849999999999998</v>
      </c>
      <c r="AA882" s="22">
        <v>3.383</v>
      </c>
      <c r="AB882" s="6">
        <v>3.4</v>
      </c>
      <c r="AC882" s="6">
        <v>3.4260000000000002</v>
      </c>
      <c r="AD882" s="6">
        <v>3.4460000000000002</v>
      </c>
      <c r="AE882" s="6">
        <v>3.3159999999999998</v>
      </c>
      <c r="AF882" s="6">
        <v>3.4470000000000001</v>
      </c>
      <c r="AG882" s="6">
        <v>3.069</v>
      </c>
      <c r="AH882" s="6">
        <f t="shared" si="107"/>
        <v>3.258</v>
      </c>
      <c r="AI882" s="11"/>
      <c r="AJ882" s="11"/>
      <c r="AK882" s="11"/>
      <c r="AL882" s="11"/>
      <c r="AM882" s="11"/>
      <c r="AN882" s="11"/>
      <c r="AO882" s="11"/>
      <c r="AP882" s="3"/>
      <c r="AQ882" s="8"/>
    </row>
    <row r="883" spans="1:43">
      <c r="A883" s="1">
        <f t="shared" si="102"/>
        <v>881</v>
      </c>
      <c r="B883" s="31"/>
      <c r="C883" s="1">
        <v>2</v>
      </c>
      <c r="D883" s="4">
        <f t="shared" si="100"/>
        <v>12</v>
      </c>
      <c r="E883" s="4" t="s">
        <v>142</v>
      </c>
      <c r="F883" s="4">
        <v>3</v>
      </c>
      <c r="G883" s="4" t="s">
        <v>14</v>
      </c>
      <c r="H883" s="4" t="s">
        <v>192</v>
      </c>
      <c r="I883" s="4"/>
      <c r="J883" s="5">
        <v>97.6</v>
      </c>
      <c r="K883" s="68"/>
      <c r="L883" s="38">
        <v>5.7270000000000003</v>
      </c>
      <c r="M883" s="127" t="s">
        <v>117</v>
      </c>
      <c r="N883" s="4" t="s">
        <v>13</v>
      </c>
      <c r="O883" s="6">
        <v>5.7590000000000003</v>
      </c>
      <c r="P883" s="1" t="s">
        <v>7</v>
      </c>
      <c r="Q883" s="3" t="s">
        <v>205</v>
      </c>
      <c r="R883" s="22">
        <v>5.7809999999999997</v>
      </c>
      <c r="S883" s="6">
        <v>5.6420000000000003</v>
      </c>
      <c r="T883" s="6">
        <v>5.5940000000000003</v>
      </c>
      <c r="U883" s="22">
        <v>5.766</v>
      </c>
      <c r="V883" s="22">
        <v>5.7629999999999999</v>
      </c>
      <c r="W883" s="46"/>
      <c r="X883" s="46"/>
      <c r="Y883" s="46"/>
      <c r="Z883" s="6">
        <v>5.7190000000000003</v>
      </c>
      <c r="AA883" s="22">
        <v>5.7080000000000002</v>
      </c>
      <c r="AB883" s="6">
        <v>5.8940000000000001</v>
      </c>
      <c r="AC883" s="6">
        <v>5.9240000000000004</v>
      </c>
      <c r="AD883" s="6">
        <v>5.8319999999999999</v>
      </c>
      <c r="AE883" s="6">
        <v>5.7949999999999999</v>
      </c>
      <c r="AF883" s="6">
        <v>5.62</v>
      </c>
      <c r="AG883" s="6">
        <v>5.7389999999999999</v>
      </c>
      <c r="AH883" s="6">
        <f t="shared" si="107"/>
        <v>5.6795</v>
      </c>
      <c r="AI883" s="11"/>
      <c r="AJ883" s="11"/>
      <c r="AK883" s="11"/>
      <c r="AL883" s="11"/>
      <c r="AM883" s="11"/>
      <c r="AN883" s="11"/>
      <c r="AO883" s="11"/>
      <c r="AP883" s="3"/>
      <c r="AQ883" s="8"/>
    </row>
    <row r="884" spans="1:43">
      <c r="A884" s="1">
        <f t="shared" si="102"/>
        <v>882</v>
      </c>
      <c r="B884" s="31"/>
      <c r="C884" s="1">
        <v>2</v>
      </c>
      <c r="D884" s="4">
        <f t="shared" si="100"/>
        <v>12</v>
      </c>
      <c r="E884" s="4" t="s">
        <v>263</v>
      </c>
      <c r="F884" s="4">
        <v>1</v>
      </c>
      <c r="G884" s="4" t="s">
        <v>11</v>
      </c>
      <c r="H884" s="4" t="s">
        <v>12</v>
      </c>
      <c r="I884" s="4" t="s">
        <v>251</v>
      </c>
      <c r="J884" s="5">
        <v>87.2</v>
      </c>
      <c r="K884" s="68"/>
      <c r="L884" s="38">
        <v>1.9450000000000001</v>
      </c>
      <c r="M884" s="127" t="s">
        <v>103</v>
      </c>
      <c r="N884" s="4" t="s">
        <v>13</v>
      </c>
      <c r="O884" s="6">
        <v>1.9510000000000001</v>
      </c>
      <c r="P884" s="1" t="s">
        <v>7</v>
      </c>
      <c r="Q884" s="3" t="s">
        <v>205</v>
      </c>
      <c r="R884" s="22">
        <v>2.0030000000000001</v>
      </c>
      <c r="S884" s="22">
        <v>2.0870000000000002</v>
      </c>
      <c r="T884" s="22">
        <v>1.7250000000000001</v>
      </c>
      <c r="U884" s="22">
        <v>1.913</v>
      </c>
      <c r="V884" s="22">
        <v>2.0499999999999998</v>
      </c>
      <c r="W884" s="22">
        <v>1.966</v>
      </c>
      <c r="X884" s="22">
        <v>1.966</v>
      </c>
      <c r="Y884" s="22">
        <v>1.984</v>
      </c>
      <c r="Z884" s="22">
        <v>1.9690000000000001</v>
      </c>
      <c r="AA884" s="22">
        <v>1.9430000000000001</v>
      </c>
      <c r="AB884" s="22">
        <v>2.0110000000000001</v>
      </c>
      <c r="AC884" s="22">
        <v>2.1669999999999998</v>
      </c>
      <c r="AD884" s="22">
        <v>2.14</v>
      </c>
      <c r="AE884" s="22">
        <v>1.849</v>
      </c>
      <c r="AF884" s="22">
        <v>1.923</v>
      </c>
      <c r="AG884" s="22">
        <v>1.798</v>
      </c>
      <c r="AH884" s="6">
        <f t="shared" si="107"/>
        <v>1.8605</v>
      </c>
      <c r="AI884" s="11"/>
      <c r="AJ884" s="11"/>
      <c r="AK884" s="11"/>
      <c r="AL884" s="11"/>
      <c r="AM884" s="11"/>
      <c r="AN884" s="11"/>
      <c r="AO884" s="11"/>
      <c r="AP884" s="3"/>
      <c r="AQ884" s="8"/>
    </row>
    <row r="885" spans="1:43">
      <c r="A885" s="1">
        <f t="shared" si="102"/>
        <v>883</v>
      </c>
      <c r="B885" s="31" t="s">
        <v>256</v>
      </c>
      <c r="C885" s="1">
        <v>3</v>
      </c>
      <c r="D885" s="4">
        <f t="shared" si="100"/>
        <v>35</v>
      </c>
      <c r="E885" s="4" t="s">
        <v>224</v>
      </c>
      <c r="F885" s="4">
        <v>1</v>
      </c>
      <c r="G885" s="4" t="s">
        <v>11</v>
      </c>
      <c r="H885" s="4" t="s">
        <v>12</v>
      </c>
      <c r="I885" s="4"/>
      <c r="J885" s="12">
        <v>86.3</v>
      </c>
      <c r="K885" s="63">
        <v>1E-3</v>
      </c>
      <c r="L885" s="38">
        <v>3.992</v>
      </c>
      <c r="M885" s="127" t="s">
        <v>117</v>
      </c>
      <c r="N885" s="4" t="s">
        <v>13</v>
      </c>
      <c r="O885" s="6">
        <v>4.0190000000000001</v>
      </c>
      <c r="P885" s="1" t="s">
        <v>7</v>
      </c>
      <c r="Q885" s="3"/>
      <c r="R885" s="22">
        <v>3.871</v>
      </c>
      <c r="S885" s="22">
        <v>3.8330000000000002</v>
      </c>
      <c r="T885" s="22">
        <v>4.08</v>
      </c>
      <c r="U885" s="22">
        <v>4.0010000000000003</v>
      </c>
      <c r="V885" s="22">
        <v>4.1369999999999996</v>
      </c>
      <c r="W885" s="22">
        <v>4.024</v>
      </c>
      <c r="X885" s="22">
        <v>4.0309999999999997</v>
      </c>
      <c r="Y885" s="22">
        <v>4.0229999999999997</v>
      </c>
      <c r="Z885" s="22">
        <v>3.992</v>
      </c>
      <c r="AA885" s="22">
        <v>3.9769999999999999</v>
      </c>
      <c r="AB885" s="22">
        <v>3.855</v>
      </c>
      <c r="AC885" s="22">
        <v>4.0880000000000001</v>
      </c>
      <c r="AD885" s="22">
        <v>4.0030000000000001</v>
      </c>
      <c r="AE885" s="22">
        <v>3.6150000000000002</v>
      </c>
      <c r="AF885" s="22">
        <v>3.5110000000000001</v>
      </c>
      <c r="AG885" s="22">
        <v>4.165</v>
      </c>
      <c r="AH885" s="6">
        <f t="shared" si="107"/>
        <v>3.8380000000000001</v>
      </c>
      <c r="AI885" s="11"/>
      <c r="AJ885" s="11"/>
      <c r="AK885" s="11"/>
      <c r="AL885" s="11"/>
      <c r="AM885" s="11"/>
      <c r="AN885" s="11"/>
      <c r="AO885" s="11"/>
      <c r="AP885" s="3"/>
      <c r="AQ885" s="8"/>
    </row>
    <row r="886" spans="1:43">
      <c r="A886" s="1">
        <f t="shared" si="102"/>
        <v>884</v>
      </c>
      <c r="B886" s="31"/>
      <c r="C886" s="1">
        <v>3</v>
      </c>
      <c r="D886" s="4">
        <f t="shared" si="100"/>
        <v>35</v>
      </c>
      <c r="E886" s="4" t="s">
        <v>229</v>
      </c>
      <c r="F886" s="4">
        <v>1</v>
      </c>
      <c r="G886" s="4" t="s">
        <v>11</v>
      </c>
      <c r="H886" s="4" t="s">
        <v>17</v>
      </c>
      <c r="I886" s="4"/>
      <c r="J886" s="12">
        <v>88.5</v>
      </c>
      <c r="K886" s="63">
        <v>0.14399999999999999</v>
      </c>
      <c r="L886" s="38">
        <v>5.0919999999999996</v>
      </c>
      <c r="M886" s="127" t="s">
        <v>117</v>
      </c>
      <c r="N886" s="4" t="s">
        <v>13</v>
      </c>
      <c r="O886" s="6">
        <v>5.0940000000000003</v>
      </c>
      <c r="P886" s="1" t="s">
        <v>7</v>
      </c>
      <c r="Q886" s="3"/>
      <c r="R886" s="22">
        <v>5.0570000000000004</v>
      </c>
      <c r="S886" s="22">
        <v>5.0190000000000001</v>
      </c>
      <c r="T886" s="22">
        <v>5.1159999999999997</v>
      </c>
      <c r="U886" s="22">
        <v>5.0410000000000004</v>
      </c>
      <c r="V886" s="22">
        <v>5.2309999999999999</v>
      </c>
      <c r="W886" s="22">
        <v>5.1059999999999999</v>
      </c>
      <c r="X886" s="22">
        <v>5.0979999999999999</v>
      </c>
      <c r="Y886" s="22">
        <v>5.1340000000000003</v>
      </c>
      <c r="Z886" s="22">
        <v>5.1120000000000001</v>
      </c>
      <c r="AA886" s="22">
        <v>5.101</v>
      </c>
      <c r="AB886" s="22">
        <v>4.7279999999999998</v>
      </c>
      <c r="AC886" s="22">
        <v>5.08</v>
      </c>
      <c r="AD886" s="22">
        <v>5.0579999999999998</v>
      </c>
      <c r="AE886" s="22">
        <v>4.4969999999999999</v>
      </c>
      <c r="AF886" s="22">
        <v>4.5439999999999996</v>
      </c>
      <c r="AG886" s="22">
        <v>5.09</v>
      </c>
      <c r="AH886" s="6">
        <f t="shared" si="107"/>
        <v>4.8170000000000002</v>
      </c>
      <c r="AI886" s="11"/>
      <c r="AJ886" s="11"/>
      <c r="AK886" s="11"/>
      <c r="AL886" s="11"/>
      <c r="AM886" s="11"/>
      <c r="AN886" s="11"/>
      <c r="AO886" s="11"/>
      <c r="AP886" s="3"/>
      <c r="AQ886" s="8"/>
    </row>
    <row r="887" spans="1:43">
      <c r="A887" s="1">
        <f t="shared" si="102"/>
        <v>885</v>
      </c>
      <c r="B887" s="31"/>
      <c r="C887" s="1">
        <v>3</v>
      </c>
      <c r="D887" s="4">
        <f t="shared" si="100"/>
        <v>35</v>
      </c>
      <c r="E887" s="4" t="s">
        <v>230</v>
      </c>
      <c r="F887" s="4">
        <v>3</v>
      </c>
      <c r="G887" s="4" t="s">
        <v>11</v>
      </c>
      <c r="H887" s="4" t="s">
        <v>17</v>
      </c>
      <c r="I887" s="4"/>
      <c r="J887" s="12">
        <v>98.3</v>
      </c>
      <c r="K887" s="68"/>
      <c r="L887" s="38">
        <v>2.7</v>
      </c>
      <c r="M887" s="127" t="s">
        <v>109</v>
      </c>
      <c r="N887" s="4" t="s">
        <v>13</v>
      </c>
      <c r="O887" s="6">
        <v>2.7240000000000002</v>
      </c>
      <c r="P887" s="1" t="s">
        <v>7</v>
      </c>
      <c r="Q887" s="3"/>
      <c r="R887" s="22">
        <v>2.8439999999999999</v>
      </c>
      <c r="S887" s="22">
        <v>2.7829999999999999</v>
      </c>
      <c r="T887" s="22">
        <v>2.72</v>
      </c>
      <c r="U887" s="22">
        <v>2.5369999999999999</v>
      </c>
      <c r="V887" s="22">
        <v>2.5750000000000002</v>
      </c>
      <c r="W887" s="60"/>
      <c r="X887" s="60"/>
      <c r="Y887" s="60"/>
      <c r="Z887" s="22">
        <v>2.714</v>
      </c>
      <c r="AA887" s="22">
        <v>2.677</v>
      </c>
      <c r="AB887" s="22">
        <v>2.68</v>
      </c>
      <c r="AC887" s="22">
        <v>2.7759999999999998</v>
      </c>
      <c r="AD887" s="22">
        <v>2.7789999999999999</v>
      </c>
      <c r="AE887" s="22">
        <v>2.54</v>
      </c>
      <c r="AF887" s="22">
        <v>2.6070000000000002</v>
      </c>
      <c r="AG887" s="22">
        <v>2.4049999999999998</v>
      </c>
      <c r="AH887" s="6">
        <f t="shared" si="107"/>
        <v>2.5060000000000002</v>
      </c>
      <c r="AI887" s="11"/>
      <c r="AJ887" s="11"/>
      <c r="AK887" s="11"/>
      <c r="AL887" s="11"/>
      <c r="AM887" s="11"/>
      <c r="AN887" s="11"/>
      <c r="AO887" s="11"/>
      <c r="AP887" s="3"/>
      <c r="AQ887" s="8"/>
    </row>
    <row r="888" spans="1:43">
      <c r="A888" s="1">
        <f t="shared" si="102"/>
        <v>886</v>
      </c>
      <c r="B888" s="31"/>
      <c r="C888" s="1">
        <v>3</v>
      </c>
      <c r="D888" s="4">
        <f t="shared" si="100"/>
        <v>35</v>
      </c>
      <c r="E888" s="4" t="s">
        <v>225</v>
      </c>
      <c r="F888" s="4">
        <v>3</v>
      </c>
      <c r="G888" s="4" t="s">
        <v>11</v>
      </c>
      <c r="H888" s="4" t="s">
        <v>12</v>
      </c>
      <c r="I888" s="4"/>
      <c r="J888" s="12">
        <v>96.5</v>
      </c>
      <c r="K888" s="68"/>
      <c r="L888" s="38">
        <v>3.5680000000000001</v>
      </c>
      <c r="M888" s="127" t="s">
        <v>109</v>
      </c>
      <c r="N888" s="4" t="s">
        <v>13</v>
      </c>
      <c r="O888" s="6">
        <v>3.5950000000000002</v>
      </c>
      <c r="P888" s="1" t="s">
        <v>7</v>
      </c>
      <c r="Q888" s="3"/>
      <c r="R888" s="22">
        <v>3.621</v>
      </c>
      <c r="S888" s="22">
        <v>3.4169999999999998</v>
      </c>
      <c r="T888" s="22">
        <v>3.5950000000000002</v>
      </c>
      <c r="U888" s="22">
        <v>3.5489999999999999</v>
      </c>
      <c r="V888" s="22">
        <v>3.621</v>
      </c>
      <c r="W888" s="60"/>
      <c r="X888" s="60"/>
      <c r="Y888" s="60"/>
      <c r="Z888" s="22">
        <v>3.5710000000000002</v>
      </c>
      <c r="AA888" s="22">
        <v>3.548</v>
      </c>
      <c r="AB888" s="22">
        <v>3.536</v>
      </c>
      <c r="AC888" s="22">
        <v>3.7320000000000002</v>
      </c>
      <c r="AD888" s="22">
        <v>3.6259999999999999</v>
      </c>
      <c r="AE888" s="22">
        <v>3.3250000000000002</v>
      </c>
      <c r="AF888" s="22">
        <v>3.149</v>
      </c>
      <c r="AG888" s="22">
        <v>3.6259999999999999</v>
      </c>
      <c r="AH888" s="22">
        <f t="shared" si="107"/>
        <v>3.3875000000000002</v>
      </c>
      <c r="AI888" s="11"/>
      <c r="AJ888" s="11"/>
      <c r="AK888" s="11"/>
      <c r="AL888" s="11"/>
      <c r="AM888" s="11"/>
      <c r="AN888" s="11"/>
      <c r="AO888" s="11"/>
      <c r="AP888" s="3"/>
      <c r="AQ888" s="8"/>
    </row>
    <row r="889" spans="1:43">
      <c r="A889" s="1">
        <f t="shared" si="102"/>
        <v>887</v>
      </c>
      <c r="B889" s="2" t="s">
        <v>52</v>
      </c>
      <c r="C889" s="1">
        <v>5</v>
      </c>
      <c r="D889" s="4">
        <f t="shared" si="100"/>
        <v>35</v>
      </c>
      <c r="E889" s="4" t="s">
        <v>118</v>
      </c>
      <c r="F889" s="4">
        <v>1</v>
      </c>
      <c r="G889" s="4" t="s">
        <v>11</v>
      </c>
      <c r="H889" s="4" t="s">
        <v>17</v>
      </c>
      <c r="I889" s="4"/>
      <c r="J889" s="5">
        <v>87.6</v>
      </c>
      <c r="K889" s="63">
        <v>7.0000000000000007E-2</v>
      </c>
      <c r="L889" s="38">
        <v>5.6219999999999999</v>
      </c>
      <c r="M889" s="127" t="s">
        <v>203</v>
      </c>
      <c r="N889" s="1" t="s">
        <v>13</v>
      </c>
      <c r="O889" s="22">
        <v>5.6150000000000002</v>
      </c>
      <c r="P889" s="1" t="s">
        <v>7</v>
      </c>
      <c r="Q889" s="3" t="s">
        <v>205</v>
      </c>
      <c r="R889" s="22">
        <v>5.766</v>
      </c>
      <c r="S889" s="22">
        <v>5.7510000000000003</v>
      </c>
      <c r="T889" s="22">
        <v>5.8949999999999996</v>
      </c>
      <c r="U889" s="22">
        <v>5.6890000000000001</v>
      </c>
      <c r="V889" s="22">
        <v>5.782</v>
      </c>
      <c r="W889" s="22">
        <v>5.6980000000000004</v>
      </c>
      <c r="X889" s="22">
        <v>5.694</v>
      </c>
      <c r="Y889" s="22">
        <v>5.69</v>
      </c>
      <c r="Z889" s="22">
        <v>5.65</v>
      </c>
      <c r="AA889" s="22">
        <v>5.6349999999999998</v>
      </c>
      <c r="AB889" s="22">
        <v>5.7169999999999996</v>
      </c>
      <c r="AC889" s="22">
        <v>5.7270000000000003</v>
      </c>
      <c r="AD889" s="22">
        <v>5.7320000000000002</v>
      </c>
      <c r="AE889" s="22">
        <v>5.5149999999999997</v>
      </c>
      <c r="AF889" s="22">
        <v>5.72</v>
      </c>
      <c r="AG889" s="22">
        <v>5.609</v>
      </c>
      <c r="AH889" s="6">
        <f t="shared" si="96"/>
        <v>5.6645000000000003</v>
      </c>
      <c r="AI889" s="16">
        <v>6.11</v>
      </c>
      <c r="AJ889" s="16">
        <v>5.84</v>
      </c>
      <c r="AK889" s="16">
        <v>5.21</v>
      </c>
      <c r="AL889" s="7">
        <v>5.89</v>
      </c>
      <c r="AM889" s="7">
        <v>5.79</v>
      </c>
      <c r="AN889" s="16">
        <v>5.92</v>
      </c>
      <c r="AO889" s="16">
        <v>5.84</v>
      </c>
      <c r="AP889" s="3"/>
      <c r="AQ889" s="8"/>
    </row>
    <row r="890" spans="1:43">
      <c r="A890" s="1">
        <f t="shared" si="102"/>
        <v>888</v>
      </c>
      <c r="B890" s="19"/>
      <c r="C890" s="1">
        <v>5</v>
      </c>
      <c r="D890" s="4">
        <f t="shared" si="100"/>
        <v>35</v>
      </c>
      <c r="E890" s="4" t="s">
        <v>137</v>
      </c>
      <c r="F890" s="4">
        <v>1</v>
      </c>
      <c r="G890" s="4" t="s">
        <v>11</v>
      </c>
      <c r="H890" s="4" t="s">
        <v>17</v>
      </c>
      <c r="I890" s="4"/>
      <c r="J890" s="5">
        <v>91.5</v>
      </c>
      <c r="K890" s="63">
        <v>7.9000000000000001E-2</v>
      </c>
      <c r="L890" s="38">
        <v>5.9450000000000003</v>
      </c>
      <c r="M890" s="127" t="s">
        <v>203</v>
      </c>
      <c r="N890" s="1" t="s">
        <v>13</v>
      </c>
      <c r="O890" s="22">
        <v>5.9260000000000019</v>
      </c>
      <c r="P890" s="1" t="s">
        <v>7</v>
      </c>
      <c r="Q890" s="3" t="s">
        <v>205</v>
      </c>
      <c r="R890" s="22">
        <v>6.2359999999999998</v>
      </c>
      <c r="S890" s="22">
        <v>6.0679999999999996</v>
      </c>
      <c r="T890" s="22">
        <v>6.2679999999999998</v>
      </c>
      <c r="U890" s="22">
        <v>6.0359999999999996</v>
      </c>
      <c r="V890" s="22">
        <v>6.1210000000000004</v>
      </c>
      <c r="W890" s="22">
        <v>6.0030000000000001</v>
      </c>
      <c r="X890" s="22">
        <v>5.9960000000000004</v>
      </c>
      <c r="Y890" s="22">
        <v>5.9889999999999999</v>
      </c>
      <c r="Z890" s="22">
        <v>5.9589999999999996</v>
      </c>
      <c r="AA890" s="22">
        <v>5.9749999999999996</v>
      </c>
      <c r="AB890" s="22">
        <v>6.0979999999999999</v>
      </c>
      <c r="AC890" s="22">
        <v>6.101</v>
      </c>
      <c r="AD890" s="22">
        <v>6.09</v>
      </c>
      <c r="AE890" s="22">
        <v>5.9329999999999998</v>
      </c>
      <c r="AF890" s="22">
        <v>6.069</v>
      </c>
      <c r="AG890" s="22">
        <v>5.7880000000000003</v>
      </c>
      <c r="AH890" s="6">
        <f t="shared" si="96"/>
        <v>5.9284999999999997</v>
      </c>
      <c r="AI890" s="16">
        <v>6.94</v>
      </c>
      <c r="AJ890" s="16">
        <v>6.35</v>
      </c>
      <c r="AK890" s="16">
        <v>5.89</v>
      </c>
      <c r="AL890" s="7">
        <v>6.44</v>
      </c>
      <c r="AM890" s="7">
        <v>6.35</v>
      </c>
      <c r="AN890" s="16">
        <v>6.2</v>
      </c>
      <c r="AO890" s="16">
        <v>6.1</v>
      </c>
      <c r="AP890" s="3"/>
      <c r="AQ890" s="8"/>
    </row>
    <row r="891" spans="1:43">
      <c r="A891" s="1">
        <f t="shared" si="102"/>
        <v>889</v>
      </c>
      <c r="B891" s="19"/>
      <c r="C891" s="1">
        <v>5</v>
      </c>
      <c r="D891" s="4">
        <f t="shared" si="100"/>
        <v>35</v>
      </c>
      <c r="E891" s="4" t="s">
        <v>131</v>
      </c>
      <c r="F891" s="4">
        <v>1</v>
      </c>
      <c r="G891" s="4" t="s">
        <v>14</v>
      </c>
      <c r="H891" s="4" t="s">
        <v>22</v>
      </c>
      <c r="I891" s="4"/>
      <c r="J891" s="5">
        <v>92.6</v>
      </c>
      <c r="K891" s="68"/>
      <c r="L891" s="38">
        <v>6.1460000000000008</v>
      </c>
      <c r="M891" s="127" t="s">
        <v>203</v>
      </c>
      <c r="N891" s="1" t="s">
        <v>13</v>
      </c>
      <c r="O891" s="22">
        <v>6.1690000000000005</v>
      </c>
      <c r="P891" s="1" t="s">
        <v>7</v>
      </c>
      <c r="Q891" s="3" t="s">
        <v>205</v>
      </c>
      <c r="R891" s="22">
        <v>6.181</v>
      </c>
      <c r="S891" s="22">
        <v>6.07</v>
      </c>
      <c r="T891" s="22">
        <v>6.4509999999999996</v>
      </c>
      <c r="U891" s="22">
        <v>6.2949999999999999</v>
      </c>
      <c r="V891" s="22">
        <v>6.2190000000000003</v>
      </c>
      <c r="W891" s="22">
        <v>6.1630000000000003</v>
      </c>
      <c r="X891" s="22">
        <v>6.17</v>
      </c>
      <c r="Y891" s="22">
        <v>6.1550000000000002</v>
      </c>
      <c r="Z891" s="22">
        <v>6.141</v>
      </c>
      <c r="AA891" s="22">
        <v>6.1349999999999998</v>
      </c>
      <c r="AB891" s="22">
        <v>6.3239999999999998</v>
      </c>
      <c r="AC891" s="22">
        <v>6.2549999999999999</v>
      </c>
      <c r="AD891" s="22">
        <v>6.1929999999999996</v>
      </c>
      <c r="AE891" s="22">
        <v>6.2069999999999999</v>
      </c>
      <c r="AF891" s="22">
        <v>6.1459999999999999</v>
      </c>
      <c r="AG891" s="22">
        <v>6.0279999999999996</v>
      </c>
      <c r="AH891" s="6">
        <f t="shared" si="96"/>
        <v>6.0869999999999997</v>
      </c>
      <c r="AI891" s="16">
        <v>5.7</v>
      </c>
      <c r="AJ891" s="16">
        <v>6.28</v>
      </c>
      <c r="AK891" s="16">
        <v>6.07</v>
      </c>
      <c r="AL891" s="7">
        <v>6.16</v>
      </c>
      <c r="AM891" s="7">
        <v>6.1</v>
      </c>
      <c r="AN891" s="16">
        <v>6.2</v>
      </c>
      <c r="AO891" s="16">
        <v>6.2</v>
      </c>
      <c r="AP891" s="3"/>
      <c r="AQ891" s="8"/>
    </row>
    <row r="892" spans="1:43">
      <c r="A892" s="1">
        <f t="shared" si="102"/>
        <v>890</v>
      </c>
      <c r="B892" s="19"/>
      <c r="C892" s="1">
        <v>5</v>
      </c>
      <c r="D892" s="4">
        <f t="shared" si="100"/>
        <v>35</v>
      </c>
      <c r="E892" s="4" t="s">
        <v>128</v>
      </c>
      <c r="F892" s="4">
        <v>1</v>
      </c>
      <c r="G892" s="4" t="s">
        <v>14</v>
      </c>
      <c r="H892" s="4" t="s">
        <v>23</v>
      </c>
      <c r="I892" s="4"/>
      <c r="J892" s="5">
        <v>90.1</v>
      </c>
      <c r="K892" s="63">
        <v>0.01</v>
      </c>
      <c r="L892" s="38">
        <v>6.1249999999999982</v>
      </c>
      <c r="M892" s="127" t="s">
        <v>203</v>
      </c>
      <c r="N892" s="1" t="s">
        <v>13</v>
      </c>
      <c r="O892" s="22">
        <v>6.0939999999999985</v>
      </c>
      <c r="P892" s="1" t="s">
        <v>7</v>
      </c>
      <c r="Q892" s="3" t="s">
        <v>205</v>
      </c>
      <c r="R892" s="22">
        <v>6.4409999999999998</v>
      </c>
      <c r="S892" s="22">
        <v>6.1550000000000002</v>
      </c>
      <c r="T892" s="22">
        <v>6.5359999999999996</v>
      </c>
      <c r="U892" s="22">
        <v>6.3970000000000002</v>
      </c>
      <c r="V892" s="22">
        <v>6.3079999999999998</v>
      </c>
      <c r="W892" s="22">
        <v>6.2089999999999996</v>
      </c>
      <c r="X892" s="22">
        <v>6.1980000000000004</v>
      </c>
      <c r="Y892" s="22">
        <v>6.1790000000000003</v>
      </c>
      <c r="Z892" s="22">
        <v>6.1360000000000001</v>
      </c>
      <c r="AA892" s="22">
        <v>6.1289999999999996</v>
      </c>
      <c r="AB892" s="22">
        <v>6.5220000000000002</v>
      </c>
      <c r="AC892" s="22">
        <v>6.4489999999999998</v>
      </c>
      <c r="AD892" s="22">
        <v>6.351</v>
      </c>
      <c r="AE892" s="22">
        <v>6.3780000000000001</v>
      </c>
      <c r="AF892" s="22">
        <v>6.2430000000000003</v>
      </c>
      <c r="AG892" s="22">
        <v>6.0229999999999997</v>
      </c>
      <c r="AH892" s="6">
        <f t="shared" si="96"/>
        <v>6.133</v>
      </c>
      <c r="AI892" s="16">
        <v>6.02</v>
      </c>
      <c r="AJ892" s="16">
        <v>6.21</v>
      </c>
      <c r="AK892" s="16">
        <v>5.9</v>
      </c>
      <c r="AL892" s="7">
        <v>6.16</v>
      </c>
      <c r="AM892" s="7">
        <v>6.1</v>
      </c>
      <c r="AN892" s="16">
        <v>6.2</v>
      </c>
      <c r="AO892" s="16">
        <v>6.19</v>
      </c>
      <c r="AP892" s="3"/>
      <c r="AQ892" s="8"/>
    </row>
    <row r="893" spans="1:43">
      <c r="A893" s="1">
        <f t="shared" si="102"/>
        <v>891</v>
      </c>
      <c r="B893" s="19"/>
      <c r="C893" s="1">
        <v>5</v>
      </c>
      <c r="D893" s="4">
        <f t="shared" si="100"/>
        <v>35</v>
      </c>
      <c r="E893" s="4" t="s">
        <v>131</v>
      </c>
      <c r="F893" s="4">
        <v>1</v>
      </c>
      <c r="G893" s="4" t="s">
        <v>14</v>
      </c>
      <c r="H893" s="4" t="s">
        <v>23</v>
      </c>
      <c r="I893" s="4"/>
      <c r="J893" s="5">
        <v>91.8</v>
      </c>
      <c r="K893" s="68"/>
      <c r="L893" s="38">
        <v>6.2409999999999997</v>
      </c>
      <c r="M893" s="127" t="s">
        <v>203</v>
      </c>
      <c r="N893" s="1" t="s">
        <v>13</v>
      </c>
      <c r="O893" s="22">
        <v>6.2080000000000011</v>
      </c>
      <c r="P893" s="1" t="s">
        <v>7</v>
      </c>
      <c r="Q893" s="3" t="s">
        <v>205</v>
      </c>
      <c r="R893" s="22">
        <v>6.4219999999999997</v>
      </c>
      <c r="S893" s="22">
        <v>6.3520000000000003</v>
      </c>
      <c r="T893" s="22">
        <v>6.3710000000000004</v>
      </c>
      <c r="U893" s="22">
        <v>6.4039999999999999</v>
      </c>
      <c r="V893" s="22">
        <v>6.3209999999999997</v>
      </c>
      <c r="W893" s="22">
        <v>6.2770000000000001</v>
      </c>
      <c r="X893" s="22">
        <v>6.2770000000000001</v>
      </c>
      <c r="Y893" s="22">
        <v>6.2759999999999998</v>
      </c>
      <c r="Z893" s="22">
        <v>6.2519999999999998</v>
      </c>
      <c r="AA893" s="22">
        <v>6.2389999999999999</v>
      </c>
      <c r="AB893" s="22">
        <v>6.4050000000000002</v>
      </c>
      <c r="AC893" s="22">
        <v>6.3940000000000001</v>
      </c>
      <c r="AD893" s="22">
        <v>6.3810000000000002</v>
      </c>
      <c r="AE893" s="22">
        <v>6.2649999999999997</v>
      </c>
      <c r="AF893" s="22">
        <v>6.35</v>
      </c>
      <c r="AG893" s="22">
        <v>6.1440000000000001</v>
      </c>
      <c r="AH893" s="6">
        <f t="shared" si="96"/>
        <v>6.2469999999999999</v>
      </c>
      <c r="AI893" s="16">
        <v>6.05</v>
      </c>
      <c r="AJ893" s="16">
        <v>6.32</v>
      </c>
      <c r="AK893" s="16">
        <v>5.98</v>
      </c>
      <c r="AL893" s="7">
        <v>6.28</v>
      </c>
      <c r="AM893" s="7">
        <v>6.21</v>
      </c>
      <c r="AN893" s="16">
        <v>6.41</v>
      </c>
      <c r="AO893" s="16">
        <v>6.4</v>
      </c>
      <c r="AP893" s="3"/>
      <c r="AQ893" s="8"/>
    </row>
    <row r="894" spans="1:43">
      <c r="A894" s="1">
        <f t="shared" si="102"/>
        <v>892</v>
      </c>
      <c r="B894" s="19"/>
      <c r="C894" s="1">
        <v>5</v>
      </c>
      <c r="D894" s="4">
        <f t="shared" si="100"/>
        <v>35</v>
      </c>
      <c r="E894" s="4" t="s">
        <v>128</v>
      </c>
      <c r="F894" s="4">
        <v>1</v>
      </c>
      <c r="G894" s="4" t="s">
        <v>14</v>
      </c>
      <c r="H894" s="4" t="s">
        <v>22</v>
      </c>
      <c r="I894" s="4"/>
      <c r="J894" s="5">
        <v>92.8</v>
      </c>
      <c r="K894" s="63">
        <v>0</v>
      </c>
      <c r="L894" s="38">
        <v>6.5039999999999996</v>
      </c>
      <c r="M894" s="127" t="s">
        <v>203</v>
      </c>
      <c r="N894" s="1" t="s">
        <v>13</v>
      </c>
      <c r="O894" s="22">
        <v>6.5330000000000004</v>
      </c>
      <c r="P894" s="1" t="s">
        <v>7</v>
      </c>
      <c r="Q894" s="3" t="s">
        <v>205</v>
      </c>
      <c r="R894" s="22">
        <v>6.4850000000000003</v>
      </c>
      <c r="S894" s="22">
        <v>6.4829999999999997</v>
      </c>
      <c r="T894" s="22">
        <v>6.6760000000000002</v>
      </c>
      <c r="U894" s="22">
        <v>6.6210000000000004</v>
      </c>
      <c r="V894" s="22">
        <v>6.5590000000000002</v>
      </c>
      <c r="W894" s="22">
        <v>6.5090000000000003</v>
      </c>
      <c r="X894" s="22">
        <v>6.5220000000000002</v>
      </c>
      <c r="Y894" s="22">
        <v>6.524</v>
      </c>
      <c r="Z894" s="22">
        <v>6.5019999999999998</v>
      </c>
      <c r="AA894" s="22">
        <v>6.492</v>
      </c>
      <c r="AB894" s="22">
        <v>6.6589999999999998</v>
      </c>
      <c r="AC894" s="22">
        <v>6.6150000000000002</v>
      </c>
      <c r="AD894" s="22">
        <v>6.57</v>
      </c>
      <c r="AE894" s="22">
        <v>6.5439999999999996</v>
      </c>
      <c r="AF894" s="22">
        <v>6.5069999999999997</v>
      </c>
      <c r="AG894" s="22">
        <v>6.4320000000000004</v>
      </c>
      <c r="AH894" s="6">
        <f t="shared" si="96"/>
        <v>6.4695</v>
      </c>
      <c r="AI894" s="16">
        <v>5.78</v>
      </c>
      <c r="AJ894" s="16">
        <v>6.57</v>
      </c>
      <c r="AK894" s="16">
        <v>6.28</v>
      </c>
      <c r="AL894" s="7">
        <v>6.51</v>
      </c>
      <c r="AM894" s="7">
        <v>6.44</v>
      </c>
      <c r="AN894" s="16">
        <v>6.72</v>
      </c>
      <c r="AO894" s="16">
        <v>6.71</v>
      </c>
      <c r="AP894" s="3"/>
      <c r="AQ894" s="8"/>
    </row>
    <row r="895" spans="1:43">
      <c r="A895" s="1">
        <f t="shared" si="102"/>
        <v>893</v>
      </c>
      <c r="B895" s="19"/>
      <c r="C895" s="1">
        <v>5</v>
      </c>
      <c r="D895" s="4">
        <f t="shared" si="100"/>
        <v>35</v>
      </c>
      <c r="E895" s="4" t="s">
        <v>137</v>
      </c>
      <c r="F895" s="4">
        <v>1</v>
      </c>
      <c r="G895" s="4" t="s">
        <v>14</v>
      </c>
      <c r="H895" s="4" t="s">
        <v>23</v>
      </c>
      <c r="I895" s="4"/>
      <c r="J895" s="5">
        <v>92.4</v>
      </c>
      <c r="K895" s="63">
        <v>8.2000000000000003E-2</v>
      </c>
      <c r="L895" s="37">
        <v>7.2930000000000001</v>
      </c>
      <c r="M895" s="127" t="s">
        <v>203</v>
      </c>
      <c r="N895" s="1" t="s">
        <v>13</v>
      </c>
      <c r="O895" s="22">
        <v>7.1790000000000003</v>
      </c>
      <c r="P895" s="1" t="s">
        <v>7</v>
      </c>
      <c r="Q895" s="3" t="s">
        <v>205</v>
      </c>
      <c r="R895" s="22">
        <v>7.3730000000000002</v>
      </c>
      <c r="S895" s="22">
        <v>7.2610000000000001</v>
      </c>
      <c r="T895" s="22">
        <v>7.6159999999999997</v>
      </c>
      <c r="U895" s="22">
        <v>7.3470000000000004</v>
      </c>
      <c r="V895" s="22">
        <v>7.3769999999999998</v>
      </c>
      <c r="W895" s="22">
        <v>7.319</v>
      </c>
      <c r="X895" s="22">
        <v>7.3259999999999996</v>
      </c>
      <c r="Y895" s="22">
        <v>7.3090000000000002</v>
      </c>
      <c r="Z895" s="22">
        <v>7.2949999999999999</v>
      </c>
      <c r="AA895" s="22">
        <v>7.2869999999999999</v>
      </c>
      <c r="AB895" s="22">
        <v>7.4749999999999996</v>
      </c>
      <c r="AC895" s="22">
        <v>7.4020000000000001</v>
      </c>
      <c r="AD895" s="22">
        <v>7.3540000000000001</v>
      </c>
      <c r="AE895" s="22">
        <v>7.3570000000000002</v>
      </c>
      <c r="AF895" s="22">
        <v>7.3380000000000001</v>
      </c>
      <c r="AG895" s="22">
        <v>7.1779999999999999</v>
      </c>
      <c r="AH895" s="6">
        <f t="shared" si="96"/>
        <v>7.258</v>
      </c>
      <c r="AI895" s="16">
        <v>6.8</v>
      </c>
      <c r="AJ895" s="16">
        <v>7.29</v>
      </c>
      <c r="AK895" s="16">
        <v>7.03</v>
      </c>
      <c r="AL895" s="7">
        <v>7.2</v>
      </c>
      <c r="AM895" s="7">
        <v>7.13</v>
      </c>
      <c r="AN895" s="16">
        <v>7.29</v>
      </c>
      <c r="AO895" s="16">
        <v>7.25</v>
      </c>
      <c r="AP895" s="3"/>
      <c r="AQ895" s="8"/>
    </row>
    <row r="896" spans="1:43">
      <c r="A896" s="1">
        <f t="shared" si="102"/>
        <v>894</v>
      </c>
      <c r="B896" s="19"/>
      <c r="C896" s="1">
        <v>5</v>
      </c>
      <c r="D896" s="4">
        <f t="shared" si="100"/>
        <v>35</v>
      </c>
      <c r="E896" s="4" t="s">
        <v>118</v>
      </c>
      <c r="F896" s="4">
        <v>1</v>
      </c>
      <c r="G896" s="4" t="s">
        <v>11</v>
      </c>
      <c r="H896" s="4" t="s">
        <v>17</v>
      </c>
      <c r="I896" s="4"/>
      <c r="J896" s="5">
        <v>86.5</v>
      </c>
      <c r="K896" s="63">
        <v>0.314</v>
      </c>
      <c r="L896" s="37">
        <v>7.2989999999999995</v>
      </c>
      <c r="M896" s="127" t="s">
        <v>203</v>
      </c>
      <c r="N896" s="1" t="s">
        <v>13</v>
      </c>
      <c r="O896" s="22">
        <v>7.2739999999999991</v>
      </c>
      <c r="P896" s="1" t="s">
        <v>7</v>
      </c>
      <c r="Q896" s="3" t="s">
        <v>205</v>
      </c>
      <c r="R896" s="22">
        <v>7.6749999999999998</v>
      </c>
      <c r="S896" s="22">
        <v>7.4829999999999997</v>
      </c>
      <c r="T896" s="22">
        <v>7.7210000000000001</v>
      </c>
      <c r="U896" s="35"/>
      <c r="V896" s="22">
        <v>7.5720000000000001</v>
      </c>
      <c r="W896" s="22">
        <v>7.5030000000000001</v>
      </c>
      <c r="X896" s="22">
        <v>7.4569999999999999</v>
      </c>
      <c r="Y896" s="22">
        <v>7.42</v>
      </c>
      <c r="Z896" s="22">
        <v>7.3520000000000003</v>
      </c>
      <c r="AA896" s="22">
        <v>7.3390000000000004</v>
      </c>
      <c r="AB896" s="22">
        <v>7.6319999999999997</v>
      </c>
      <c r="AC896" s="22">
        <v>7.6020000000000003</v>
      </c>
      <c r="AD896" s="22">
        <v>7.5620000000000003</v>
      </c>
      <c r="AE896" s="22">
        <v>7.4770000000000003</v>
      </c>
      <c r="AF896" s="22">
        <v>7.5119999999999996</v>
      </c>
      <c r="AG896" s="22">
        <v>7.1660000000000004</v>
      </c>
      <c r="AH896" s="6">
        <f t="shared" si="96"/>
        <v>7.3390000000000004</v>
      </c>
      <c r="AI896" s="16">
        <v>8.2899999999999991</v>
      </c>
      <c r="AJ896" s="16">
        <v>7.62</v>
      </c>
      <c r="AK896" s="16">
        <v>6.85</v>
      </c>
      <c r="AL896" s="7">
        <v>7.71</v>
      </c>
      <c r="AM896" s="7">
        <v>7.56</v>
      </c>
      <c r="AN896" s="16">
        <v>7.59</v>
      </c>
      <c r="AO896" s="16">
        <v>7.39</v>
      </c>
      <c r="AP896" s="3"/>
      <c r="AQ896" s="8"/>
    </row>
    <row r="897" spans="1:43">
      <c r="A897" s="1">
        <f t="shared" si="102"/>
        <v>895</v>
      </c>
      <c r="B897" s="19"/>
      <c r="C897" s="1">
        <v>5</v>
      </c>
      <c r="D897" s="4">
        <f t="shared" si="100"/>
        <v>35</v>
      </c>
      <c r="E897" s="4" t="s">
        <v>142</v>
      </c>
      <c r="F897" s="4">
        <v>3</v>
      </c>
      <c r="G897" s="4" t="s">
        <v>11</v>
      </c>
      <c r="H897" s="4" t="s">
        <v>17</v>
      </c>
      <c r="I897" s="4"/>
      <c r="J897" s="5">
        <v>98.2</v>
      </c>
      <c r="K897" s="68"/>
      <c r="L897" s="38">
        <v>3.9139999999999993</v>
      </c>
      <c r="M897" s="127" t="s">
        <v>110</v>
      </c>
      <c r="N897" s="1" t="s">
        <v>13</v>
      </c>
      <c r="O897" s="22">
        <v>3.9139999999999993</v>
      </c>
      <c r="P897" s="1" t="s">
        <v>7</v>
      </c>
      <c r="Q897" s="3" t="s">
        <v>205</v>
      </c>
      <c r="R897" s="22">
        <v>4.2240000000000002</v>
      </c>
      <c r="S897" s="22">
        <v>4.1150000000000002</v>
      </c>
      <c r="T897" s="22">
        <v>4.1120000000000001</v>
      </c>
      <c r="U897" s="22">
        <v>3.5870000000000002</v>
      </c>
      <c r="V897" s="22">
        <v>3.8460000000000001</v>
      </c>
      <c r="W897" s="35"/>
      <c r="X897" s="35"/>
      <c r="Y897" s="35"/>
      <c r="Z897" s="22">
        <v>3.9350000000000001</v>
      </c>
      <c r="AA897" s="35"/>
      <c r="AB897" s="22">
        <v>4.0629999999999997</v>
      </c>
      <c r="AC897" s="22">
        <v>4.0629999999999997</v>
      </c>
      <c r="AD897" s="22">
        <v>4.0810000000000004</v>
      </c>
      <c r="AE897" s="22">
        <v>3.9409999999999998</v>
      </c>
      <c r="AF897" s="22">
        <v>4.1050000000000004</v>
      </c>
      <c r="AG897" s="22">
        <v>3.649</v>
      </c>
      <c r="AH897" s="6">
        <f t="shared" si="96"/>
        <v>3.8770000000000002</v>
      </c>
      <c r="AI897" s="16">
        <v>3.68</v>
      </c>
      <c r="AJ897" s="16">
        <v>3.98</v>
      </c>
      <c r="AK897" s="16">
        <v>3.71</v>
      </c>
      <c r="AL897" s="7">
        <v>3.9</v>
      </c>
      <c r="AM897" s="7">
        <v>3.84</v>
      </c>
      <c r="AN897" s="16">
        <v>4.1500000000000004</v>
      </c>
      <c r="AO897" s="16">
        <v>4.13</v>
      </c>
      <c r="AP897" s="3"/>
      <c r="AQ897" s="8"/>
    </row>
    <row r="898" spans="1:43">
      <c r="A898" s="1">
        <f t="shared" si="102"/>
        <v>896</v>
      </c>
      <c r="B898" s="19"/>
      <c r="C898" s="1">
        <v>5</v>
      </c>
      <c r="D898" s="4">
        <f t="shared" si="100"/>
        <v>35</v>
      </c>
      <c r="E898" s="4" t="s">
        <v>143</v>
      </c>
      <c r="F898" s="4">
        <v>3</v>
      </c>
      <c r="G898" s="4" t="s">
        <v>11</v>
      </c>
      <c r="H898" s="4" t="s">
        <v>17</v>
      </c>
      <c r="I898" s="4"/>
      <c r="J898" s="5">
        <v>97.7</v>
      </c>
      <c r="K898" s="68"/>
      <c r="L898" s="38">
        <v>4.7609999999999992</v>
      </c>
      <c r="M898" s="127" t="s">
        <v>110</v>
      </c>
      <c r="N898" s="1" t="s">
        <v>13</v>
      </c>
      <c r="O898" s="22">
        <v>4.7589999999999995</v>
      </c>
      <c r="P898" s="1" t="s">
        <v>7</v>
      </c>
      <c r="Q898" s="3" t="s">
        <v>205</v>
      </c>
      <c r="R898" s="22">
        <v>5.0199999999999996</v>
      </c>
      <c r="S898" s="22">
        <v>4.9109999999999996</v>
      </c>
      <c r="T898" s="22">
        <v>4.8780000000000001</v>
      </c>
      <c r="U898" s="22">
        <v>4.6040000000000001</v>
      </c>
      <c r="V898" s="22">
        <v>4.7750000000000004</v>
      </c>
      <c r="W898" s="35"/>
      <c r="X898" s="35"/>
      <c r="Y898" s="35"/>
      <c r="Z898" s="22">
        <v>4.7709999999999999</v>
      </c>
      <c r="AA898" s="35"/>
      <c r="AB898" s="22">
        <v>4.8460000000000001</v>
      </c>
      <c r="AC898" s="22">
        <v>4.8680000000000003</v>
      </c>
      <c r="AD898" s="22">
        <v>4.8849999999999998</v>
      </c>
      <c r="AE898" s="22">
        <v>4.7039999999999997</v>
      </c>
      <c r="AF898" s="22">
        <v>4.8609999999999998</v>
      </c>
      <c r="AG898" s="22">
        <v>4.5599999999999996</v>
      </c>
      <c r="AH898" s="6">
        <f t="shared" si="96"/>
        <v>4.7104999999999997</v>
      </c>
      <c r="AI898" s="16">
        <v>4.97</v>
      </c>
      <c r="AJ898" s="16">
        <v>4.8499999999999996</v>
      </c>
      <c r="AK898" s="16">
        <v>4.3899999999999997</v>
      </c>
      <c r="AL898" s="7">
        <v>4.87</v>
      </c>
      <c r="AM898" s="7">
        <v>4.79</v>
      </c>
      <c r="AN898" s="16">
        <v>4.88</v>
      </c>
      <c r="AO898" s="16">
        <v>4.84</v>
      </c>
      <c r="AP898" s="3"/>
      <c r="AQ898" s="8"/>
    </row>
    <row r="899" spans="1:43">
      <c r="A899" s="1">
        <f t="shared" si="102"/>
        <v>897</v>
      </c>
      <c r="B899" s="19"/>
      <c r="C899" s="1">
        <v>5</v>
      </c>
      <c r="D899" s="4">
        <f t="shared" si="100"/>
        <v>35</v>
      </c>
      <c r="E899" s="4" t="s">
        <v>129</v>
      </c>
      <c r="F899" s="4">
        <v>3</v>
      </c>
      <c r="G899" s="4" t="s">
        <v>14</v>
      </c>
      <c r="H899" s="4" t="s">
        <v>23</v>
      </c>
      <c r="I899" s="4"/>
      <c r="J899" s="5">
        <v>96.6</v>
      </c>
      <c r="K899" s="68"/>
      <c r="L899" s="38">
        <v>5.9330000000000007</v>
      </c>
      <c r="M899" s="127" t="s">
        <v>110</v>
      </c>
      <c r="N899" s="1" t="s">
        <v>13</v>
      </c>
      <c r="O899" s="22">
        <v>5.902000000000001</v>
      </c>
      <c r="P899" s="1" t="s">
        <v>7</v>
      </c>
      <c r="Q899" s="3" t="s">
        <v>205</v>
      </c>
      <c r="R899" s="22">
        <v>6.2779999999999996</v>
      </c>
      <c r="S899" s="22">
        <v>5.9950000000000001</v>
      </c>
      <c r="T899" s="22">
        <v>6.3550000000000004</v>
      </c>
      <c r="U899" s="22">
        <v>6.0730000000000004</v>
      </c>
      <c r="V899" s="22">
        <v>6.1230000000000002</v>
      </c>
      <c r="W899" s="35"/>
      <c r="X899" s="35"/>
      <c r="Y899" s="35"/>
      <c r="Z899" s="22">
        <v>5.952</v>
      </c>
      <c r="AA899" s="35"/>
      <c r="AB899" s="22">
        <v>6.4119999999999999</v>
      </c>
      <c r="AC899" s="22">
        <v>6.3339999999999996</v>
      </c>
      <c r="AD899" s="22">
        <v>6.22</v>
      </c>
      <c r="AE899" s="22">
        <v>6.2670000000000003</v>
      </c>
      <c r="AF899" s="22">
        <v>6.0890000000000004</v>
      </c>
      <c r="AG899" s="22">
        <v>5.83</v>
      </c>
      <c r="AH899" s="6">
        <f t="shared" si="96"/>
        <v>5.9595000000000002</v>
      </c>
      <c r="AI899" s="16">
        <v>5.86</v>
      </c>
      <c r="AJ899" s="16">
        <v>5.97</v>
      </c>
      <c r="AK899" s="16">
        <v>5.64</v>
      </c>
      <c r="AL899" s="7">
        <v>5.94</v>
      </c>
      <c r="AM899" s="7">
        <v>5.88</v>
      </c>
      <c r="AN899" s="16">
        <v>5.99</v>
      </c>
      <c r="AO899" s="16">
        <v>5.98</v>
      </c>
      <c r="AP899" s="3"/>
      <c r="AQ899" s="8"/>
    </row>
    <row r="900" spans="1:43">
      <c r="A900" s="1">
        <f t="shared" si="102"/>
        <v>898</v>
      </c>
      <c r="B900" s="19"/>
      <c r="C900" s="1">
        <v>5</v>
      </c>
      <c r="D900" s="4">
        <f t="shared" ref="D900:D929" si="108">_xlfn.SWITCH(C900,1,12,2,12,3,35,4,35,5,35,6,69,7,69,8,69,9,69,1016)</f>
        <v>35</v>
      </c>
      <c r="E900" s="4" t="s">
        <v>130</v>
      </c>
      <c r="F900" s="4">
        <v>3</v>
      </c>
      <c r="G900" s="4" t="s">
        <v>14</v>
      </c>
      <c r="H900" s="4" t="s">
        <v>22</v>
      </c>
      <c r="I900" s="4"/>
      <c r="J900" s="5">
        <v>97.5</v>
      </c>
      <c r="K900" s="68"/>
      <c r="L900" s="38">
        <v>6.0779999999999985</v>
      </c>
      <c r="M900" s="127" t="s">
        <v>110</v>
      </c>
      <c r="N900" s="1" t="s">
        <v>13</v>
      </c>
      <c r="O900" s="22">
        <v>6.1039999999999992</v>
      </c>
      <c r="P900" s="1" t="s">
        <v>7</v>
      </c>
      <c r="Q900" s="3" t="s">
        <v>205</v>
      </c>
      <c r="R900" s="22">
        <v>6.1680000000000001</v>
      </c>
      <c r="S900" s="22">
        <v>6.0289999999999999</v>
      </c>
      <c r="T900" s="22">
        <v>6.3819999999999997</v>
      </c>
      <c r="U900" s="22">
        <v>6.17</v>
      </c>
      <c r="V900" s="22">
        <v>6.1580000000000004</v>
      </c>
      <c r="W900" s="35"/>
      <c r="X900" s="35"/>
      <c r="Y900" s="35"/>
      <c r="Z900" s="22">
        <v>6.09</v>
      </c>
      <c r="AA900" s="35"/>
      <c r="AB900" s="22">
        <v>6.3</v>
      </c>
      <c r="AC900" s="22">
        <v>6.2309999999999999</v>
      </c>
      <c r="AD900" s="22">
        <v>6.1609999999999996</v>
      </c>
      <c r="AE900" s="22">
        <v>6.1890000000000001</v>
      </c>
      <c r="AF900" s="22">
        <v>6.1070000000000002</v>
      </c>
      <c r="AG900" s="22">
        <v>5.97</v>
      </c>
      <c r="AH900" s="6">
        <f t="shared" si="96"/>
        <v>6.0385</v>
      </c>
      <c r="AI900" s="16">
        <v>5.65</v>
      </c>
      <c r="AJ900" s="16">
        <v>6.22</v>
      </c>
      <c r="AK900" s="16">
        <v>6.01</v>
      </c>
      <c r="AL900" s="7">
        <v>6.11</v>
      </c>
      <c r="AM900" s="7">
        <v>6.04</v>
      </c>
      <c r="AN900" s="16">
        <v>6.15</v>
      </c>
      <c r="AO900" s="16">
        <v>6.14</v>
      </c>
      <c r="AP900" s="3"/>
      <c r="AQ900" s="8"/>
    </row>
    <row r="901" spans="1:43">
      <c r="A901" s="1">
        <f t="shared" si="102"/>
        <v>899</v>
      </c>
      <c r="B901" s="19"/>
      <c r="C901" s="1">
        <v>5</v>
      </c>
      <c r="D901" s="4">
        <f t="shared" si="108"/>
        <v>35</v>
      </c>
      <c r="E901" s="4" t="s">
        <v>130</v>
      </c>
      <c r="F901" s="4">
        <v>3</v>
      </c>
      <c r="G901" s="4" t="s">
        <v>14</v>
      </c>
      <c r="H901" s="4" t="s">
        <v>23</v>
      </c>
      <c r="I901" s="4"/>
      <c r="J901" s="5">
        <v>97.7</v>
      </c>
      <c r="K901" s="68"/>
      <c r="L901" s="38">
        <v>6.006000000000002</v>
      </c>
      <c r="M901" s="127" t="s">
        <v>110</v>
      </c>
      <c r="N901" s="1" t="s">
        <v>13</v>
      </c>
      <c r="O901" s="22">
        <v>5.9700000000000006</v>
      </c>
      <c r="P901" s="1" t="s">
        <v>7</v>
      </c>
      <c r="Q901" s="3"/>
      <c r="R901" s="22">
        <v>6.181</v>
      </c>
      <c r="S901" s="22">
        <v>6.1139999999999999</v>
      </c>
      <c r="T901" s="22">
        <v>6.0949999999999998</v>
      </c>
      <c r="U901" s="22">
        <v>5.9589999999999996</v>
      </c>
      <c r="V901" s="22">
        <v>6.0590000000000002</v>
      </c>
      <c r="W901" s="35"/>
      <c r="X901" s="35"/>
      <c r="Y901" s="35"/>
      <c r="Z901" s="22">
        <v>6.0250000000000004</v>
      </c>
      <c r="AA901" s="35"/>
      <c r="AB901" s="22">
        <v>6.1920000000000002</v>
      </c>
      <c r="AC901" s="22">
        <v>6.1959999999999997</v>
      </c>
      <c r="AD901" s="22">
        <v>6.1710000000000003</v>
      </c>
      <c r="AE901" s="22">
        <v>6.0640000000000001</v>
      </c>
      <c r="AF901" s="22">
        <v>6.0880000000000001</v>
      </c>
      <c r="AG901" s="22">
        <v>5.8940000000000001</v>
      </c>
      <c r="AH901" s="6">
        <f t="shared" si="96"/>
        <v>5.9909999999999997</v>
      </c>
      <c r="AI901" s="35"/>
      <c r="AJ901" s="35"/>
      <c r="AK901" s="35"/>
      <c r="AL901" s="35"/>
      <c r="AM901" s="35"/>
      <c r="AN901" s="35"/>
      <c r="AO901" s="35"/>
      <c r="AP901" s="3"/>
      <c r="AQ901" s="8"/>
    </row>
    <row r="902" spans="1:43">
      <c r="A902" s="1">
        <f t="shared" si="102"/>
        <v>900</v>
      </c>
      <c r="B902" s="2" t="s">
        <v>53</v>
      </c>
      <c r="C902" s="1">
        <v>4</v>
      </c>
      <c r="D902" s="4">
        <f t="shared" si="108"/>
        <v>35</v>
      </c>
      <c r="E902" s="4" t="s">
        <v>224</v>
      </c>
      <c r="F902" s="4">
        <v>1</v>
      </c>
      <c r="G902" s="4" t="s">
        <v>11</v>
      </c>
      <c r="H902" s="4" t="s">
        <v>12</v>
      </c>
      <c r="I902" s="4"/>
      <c r="J902" s="5">
        <v>87.5</v>
      </c>
      <c r="K902" s="63">
        <v>0</v>
      </c>
      <c r="L902" s="49">
        <v>2.0230000000000001</v>
      </c>
      <c r="M902" s="127" t="s">
        <v>203</v>
      </c>
      <c r="N902" s="1" t="s">
        <v>13</v>
      </c>
      <c r="O902" s="22">
        <v>2.028</v>
      </c>
      <c r="P902" s="1" t="s">
        <v>7</v>
      </c>
      <c r="Q902" s="3" t="s">
        <v>205</v>
      </c>
      <c r="R902" s="22">
        <v>2.1440000000000001</v>
      </c>
      <c r="S902" s="22">
        <v>2.1960000000000002</v>
      </c>
      <c r="T902" s="22">
        <v>1.9470000000000001</v>
      </c>
      <c r="U902" s="22">
        <v>2.036</v>
      </c>
      <c r="V902" s="22">
        <v>2.15</v>
      </c>
      <c r="W902" s="22">
        <v>2.0720000000000001</v>
      </c>
      <c r="X902" s="22">
        <v>2.0710000000000002</v>
      </c>
      <c r="Y902" s="22">
        <v>2.0750000000000002</v>
      </c>
      <c r="Z902" s="22">
        <v>2.0539999999999998</v>
      </c>
      <c r="AA902" s="22">
        <v>2.028</v>
      </c>
      <c r="AB902" s="22">
        <v>2.1800000000000002</v>
      </c>
      <c r="AC902" s="22">
        <v>2.2909999999999999</v>
      </c>
      <c r="AD902" s="22">
        <v>2.2599999999999998</v>
      </c>
      <c r="AE902" s="22">
        <v>2.016</v>
      </c>
      <c r="AF902" s="22">
        <v>2.0790000000000002</v>
      </c>
      <c r="AG902" s="22">
        <v>1.857</v>
      </c>
      <c r="AH902" s="6">
        <f t="shared" si="96"/>
        <v>1.968</v>
      </c>
      <c r="AI902" s="7">
        <v>2.06</v>
      </c>
      <c r="AJ902" s="7">
        <v>2.0499999999999998</v>
      </c>
      <c r="AK902" s="7">
        <v>1.84</v>
      </c>
      <c r="AL902" s="7">
        <v>2.0499999999999998</v>
      </c>
      <c r="AM902" s="7">
        <v>2</v>
      </c>
      <c r="AN902" s="7">
        <v>2.0699999999999998</v>
      </c>
      <c r="AO902" s="7">
        <v>2.0499999999999998</v>
      </c>
      <c r="AP902" s="3"/>
      <c r="AQ902" s="8"/>
    </row>
    <row r="903" spans="1:43">
      <c r="A903" s="1">
        <f t="shared" si="102"/>
        <v>901</v>
      </c>
      <c r="B903" s="19"/>
      <c r="C903" s="1">
        <v>4</v>
      </c>
      <c r="D903" s="4">
        <f t="shared" si="108"/>
        <v>35</v>
      </c>
      <c r="E903" s="4" t="s">
        <v>225</v>
      </c>
      <c r="F903" s="4">
        <v>3</v>
      </c>
      <c r="G903" s="4" t="s">
        <v>11</v>
      </c>
      <c r="H903" s="4" t="s">
        <v>12</v>
      </c>
      <c r="I903" s="4"/>
      <c r="J903" s="5">
        <v>97.2</v>
      </c>
      <c r="K903" s="68"/>
      <c r="L903" s="49">
        <v>1.798</v>
      </c>
      <c r="M903" s="127" t="s">
        <v>110</v>
      </c>
      <c r="N903" s="1" t="s">
        <v>13</v>
      </c>
      <c r="O903" s="22">
        <v>1.8089999999999999</v>
      </c>
      <c r="P903" s="1" t="s">
        <v>7</v>
      </c>
      <c r="Q903" s="3" t="s">
        <v>205</v>
      </c>
      <c r="R903" s="22">
        <v>1.83</v>
      </c>
      <c r="S903" s="22">
        <v>1.839</v>
      </c>
      <c r="T903" s="22">
        <v>1.65</v>
      </c>
      <c r="U903" s="22">
        <v>1.784</v>
      </c>
      <c r="V903" s="22">
        <v>1.831</v>
      </c>
      <c r="W903" s="46"/>
      <c r="X903" s="46"/>
      <c r="Y903" s="46"/>
      <c r="Z903" s="22">
        <v>1.8129999999999999</v>
      </c>
      <c r="AA903" s="46"/>
      <c r="AB903" s="22">
        <v>1.9359999999999999</v>
      </c>
      <c r="AC903" s="22">
        <v>2.0289999999999999</v>
      </c>
      <c r="AD903" s="22">
        <v>1.9650000000000001</v>
      </c>
      <c r="AE903" s="22">
        <v>1.794</v>
      </c>
      <c r="AF903" s="22">
        <v>1.7410000000000001</v>
      </c>
      <c r="AG903" s="22">
        <v>1.6319999999999999</v>
      </c>
      <c r="AH903" s="6">
        <f t="shared" si="96"/>
        <v>1.6865000000000001</v>
      </c>
      <c r="AI903" s="7">
        <v>1.85</v>
      </c>
      <c r="AJ903" s="7">
        <v>1.81</v>
      </c>
      <c r="AK903" s="7">
        <v>1.6</v>
      </c>
      <c r="AL903" s="7">
        <v>1.84</v>
      </c>
      <c r="AM903" s="7">
        <v>1.79</v>
      </c>
      <c r="AN903" s="7">
        <v>1.82</v>
      </c>
      <c r="AO903" s="7">
        <v>1.81</v>
      </c>
      <c r="AP903" s="3"/>
      <c r="AQ903" s="8"/>
    </row>
    <row r="904" spans="1:43">
      <c r="A904" s="1">
        <f t="shared" si="102"/>
        <v>902</v>
      </c>
      <c r="B904" s="2" t="s">
        <v>313</v>
      </c>
      <c r="C904" s="1">
        <v>8</v>
      </c>
      <c r="D904" s="4">
        <f t="shared" si="108"/>
        <v>69</v>
      </c>
      <c r="E904" s="4" t="s">
        <v>224</v>
      </c>
      <c r="F904" s="4">
        <v>1</v>
      </c>
      <c r="G904" s="4" t="s">
        <v>14</v>
      </c>
      <c r="H904" s="4" t="s">
        <v>170</v>
      </c>
      <c r="I904" s="4"/>
      <c r="J904" s="5">
        <v>92.4</v>
      </c>
      <c r="K904" s="63">
        <v>2E-3</v>
      </c>
      <c r="L904" s="49">
        <v>4.407</v>
      </c>
      <c r="M904" s="127" t="s">
        <v>110</v>
      </c>
      <c r="N904" s="1" t="s">
        <v>13</v>
      </c>
      <c r="O904" s="46"/>
      <c r="P904" s="11"/>
      <c r="Q904" s="3"/>
      <c r="R904" s="22">
        <v>4.4690000000000003</v>
      </c>
      <c r="S904" s="22">
        <v>4.3879999999999999</v>
      </c>
      <c r="T904" s="22">
        <v>4.7949999999999999</v>
      </c>
      <c r="U904" s="22">
        <v>4.5060000000000002</v>
      </c>
      <c r="V904" s="22">
        <v>4.4610000000000003</v>
      </c>
      <c r="W904" s="22">
        <v>4.4480000000000004</v>
      </c>
      <c r="X904" s="22">
        <v>4.4569999999999999</v>
      </c>
      <c r="Y904" s="22">
        <v>4.4379999999999997</v>
      </c>
      <c r="Z904" s="22">
        <v>4.4249999999999998</v>
      </c>
      <c r="AA904" s="11"/>
      <c r="AB904" s="22">
        <v>4.5910000000000002</v>
      </c>
      <c r="AC904" s="22">
        <v>4.5529999999999999</v>
      </c>
      <c r="AD904" s="22">
        <v>4.4980000000000002</v>
      </c>
      <c r="AE904" s="22">
        <v>4.4630000000000001</v>
      </c>
      <c r="AF904" s="22">
        <v>4.4109999999999996</v>
      </c>
      <c r="AG904" s="22">
        <v>4.2960000000000003</v>
      </c>
      <c r="AH904" s="22">
        <f t="shared" ref="AH904:AH909" si="109">SUM(AF904:AG904)/2</f>
        <v>4.3535000000000004</v>
      </c>
      <c r="AI904" s="35"/>
      <c r="AJ904" s="35"/>
      <c r="AK904" s="35"/>
      <c r="AL904" s="35"/>
      <c r="AM904" s="35"/>
      <c r="AN904" s="35"/>
      <c r="AO904" s="35"/>
      <c r="AP904" s="3"/>
      <c r="AQ904" s="8"/>
    </row>
    <row r="905" spans="1:43">
      <c r="A905" s="1">
        <f t="shared" si="102"/>
        <v>903</v>
      </c>
      <c r="B905" s="19"/>
      <c r="C905" s="1">
        <v>8</v>
      </c>
      <c r="D905" s="4">
        <f t="shared" si="108"/>
        <v>69</v>
      </c>
      <c r="E905" s="4" t="s">
        <v>229</v>
      </c>
      <c r="F905" s="4">
        <v>1</v>
      </c>
      <c r="G905" s="4" t="s">
        <v>11</v>
      </c>
      <c r="H905" s="4" t="s">
        <v>17</v>
      </c>
      <c r="I905" s="4"/>
      <c r="J905" s="5">
        <v>89.4</v>
      </c>
      <c r="K905" s="63">
        <v>0.24</v>
      </c>
      <c r="L905" s="38">
        <v>4.7</v>
      </c>
      <c r="M905" s="127" t="s">
        <v>110</v>
      </c>
      <c r="N905" s="1" t="s">
        <v>13</v>
      </c>
      <c r="O905" s="46"/>
      <c r="P905" s="11"/>
      <c r="Q905" s="3"/>
      <c r="R905" s="22">
        <v>4.9000000000000004</v>
      </c>
      <c r="S905" s="22">
        <v>4.7750000000000004</v>
      </c>
      <c r="T905" s="22">
        <v>5.2510000000000003</v>
      </c>
      <c r="U905" s="22">
        <v>4.8639999999999999</v>
      </c>
      <c r="V905" s="22">
        <v>4.8010000000000002</v>
      </c>
      <c r="W905" s="22">
        <v>4.7949999999999999</v>
      </c>
      <c r="X905" s="22">
        <v>4.7569999999999997</v>
      </c>
      <c r="Y905" s="22">
        <v>4.7320000000000002</v>
      </c>
      <c r="Z905" s="22">
        <v>4.7009999999999996</v>
      </c>
      <c r="AA905" s="11"/>
      <c r="AB905" s="22">
        <v>4.7480000000000002</v>
      </c>
      <c r="AC905" s="22">
        <v>4.7519999999999998</v>
      </c>
      <c r="AD905" s="22">
        <v>4.7629999999999999</v>
      </c>
      <c r="AE905" s="22">
        <v>4.5389999999999997</v>
      </c>
      <c r="AF905" s="22">
        <v>4.7649999999999997</v>
      </c>
      <c r="AG905" s="22">
        <v>4.4859999999999998</v>
      </c>
      <c r="AH905" s="22">
        <f t="shared" si="109"/>
        <v>4.6254999999999997</v>
      </c>
      <c r="AI905" s="35"/>
      <c r="AJ905" s="35"/>
      <c r="AK905" s="35"/>
      <c r="AL905" s="35"/>
      <c r="AM905" s="35"/>
      <c r="AN905" s="35"/>
      <c r="AO905" s="35"/>
      <c r="AP905" s="3"/>
      <c r="AQ905" s="8"/>
    </row>
    <row r="906" spans="1:43">
      <c r="A906" s="1">
        <f t="shared" si="102"/>
        <v>904</v>
      </c>
      <c r="B906" s="19"/>
      <c r="C906" s="1">
        <v>8</v>
      </c>
      <c r="D906" s="4">
        <f t="shared" si="108"/>
        <v>69</v>
      </c>
      <c r="E906" s="4" t="s">
        <v>229</v>
      </c>
      <c r="F906" s="4">
        <v>1</v>
      </c>
      <c r="G906" s="4" t="s">
        <v>11</v>
      </c>
      <c r="H906" s="4" t="s">
        <v>17</v>
      </c>
      <c r="I906" s="4"/>
      <c r="J906" s="5">
        <v>85.4</v>
      </c>
      <c r="K906" s="63" t="s">
        <v>170</v>
      </c>
      <c r="L906" s="38">
        <v>4.9470000000000001</v>
      </c>
      <c r="M906" s="127" t="s">
        <v>110</v>
      </c>
      <c r="N906" s="1" t="s">
        <v>13</v>
      </c>
      <c r="O906" s="46"/>
      <c r="P906" s="11"/>
      <c r="Q906" s="3"/>
      <c r="R906" s="11"/>
      <c r="S906" s="22">
        <v>5.0910000000000002</v>
      </c>
      <c r="T906" s="22">
        <v>5.5510000000000002</v>
      </c>
      <c r="U906" s="11"/>
      <c r="V906" s="22">
        <v>5.1689999999999996</v>
      </c>
      <c r="W906" s="22">
        <v>5.0670000000000002</v>
      </c>
      <c r="X906" s="22">
        <v>5.0709999999999997</v>
      </c>
      <c r="Y906" s="22">
        <v>5.0179999999999998</v>
      </c>
      <c r="Z906" s="22">
        <v>4.9560000000000004</v>
      </c>
      <c r="AA906" s="11"/>
      <c r="AB906" s="22">
        <v>5.0339999999999998</v>
      </c>
      <c r="AC906" s="22">
        <v>5.05</v>
      </c>
      <c r="AD906" s="22">
        <v>5.0679999999999996</v>
      </c>
      <c r="AE906" s="22">
        <v>4.7990000000000004</v>
      </c>
      <c r="AF906" s="22">
        <v>5.0640000000000001</v>
      </c>
      <c r="AG906" s="22">
        <v>4.88</v>
      </c>
      <c r="AH906" s="22">
        <f t="shared" ref="AH906" si="110">SUM(AF906:AG906)/2</f>
        <v>4.9719999999999995</v>
      </c>
      <c r="AI906" s="35"/>
      <c r="AJ906" s="35"/>
      <c r="AK906" s="35"/>
      <c r="AL906" s="35"/>
      <c r="AM906" s="35"/>
      <c r="AN906" s="35"/>
      <c r="AO906" s="35"/>
      <c r="AP906" s="3"/>
      <c r="AQ906" s="8"/>
    </row>
    <row r="907" spans="1:43">
      <c r="A907" s="1">
        <f t="shared" si="102"/>
        <v>905</v>
      </c>
      <c r="B907" s="19"/>
      <c r="C907" s="1">
        <v>8</v>
      </c>
      <c r="D907" s="4">
        <f t="shared" si="108"/>
        <v>69</v>
      </c>
      <c r="E907" s="4" t="s">
        <v>224</v>
      </c>
      <c r="F907" s="4">
        <v>1</v>
      </c>
      <c r="G907" s="4" t="s">
        <v>14</v>
      </c>
      <c r="H907" s="4" t="s">
        <v>170</v>
      </c>
      <c r="I907" s="4"/>
      <c r="J907" s="5">
        <v>92.2</v>
      </c>
      <c r="K907" s="63" t="s">
        <v>170</v>
      </c>
      <c r="L907" s="38">
        <v>4.9409999999999998</v>
      </c>
      <c r="M907" s="127" t="s">
        <v>110</v>
      </c>
      <c r="N907" s="1" t="s">
        <v>13</v>
      </c>
      <c r="O907" s="46"/>
      <c r="P907" s="11"/>
      <c r="Q907" s="3"/>
      <c r="R907" s="22">
        <v>4.9779999999999998</v>
      </c>
      <c r="S907" s="22">
        <v>4.8959999999999999</v>
      </c>
      <c r="T907" s="22">
        <v>5.3289999999999997</v>
      </c>
      <c r="U907" s="22">
        <v>5.0540000000000003</v>
      </c>
      <c r="V907" s="22">
        <v>4.9980000000000002</v>
      </c>
      <c r="W907" s="22">
        <v>4.9829999999999997</v>
      </c>
      <c r="X907" s="22">
        <v>4.9930000000000003</v>
      </c>
      <c r="Y907" s="22">
        <v>4.9720000000000004</v>
      </c>
      <c r="Z907" s="22">
        <v>4.9580000000000002</v>
      </c>
      <c r="AA907" s="11"/>
      <c r="AB907" s="22">
        <v>5.1100000000000003</v>
      </c>
      <c r="AC907" s="22">
        <v>5.0739999999999998</v>
      </c>
      <c r="AD907" s="22">
        <v>5.0149999999999997</v>
      </c>
      <c r="AE907" s="22">
        <v>4.9820000000000002</v>
      </c>
      <c r="AF907" s="22">
        <v>4.9169999999999998</v>
      </c>
      <c r="AG907" s="22">
        <v>4.827</v>
      </c>
      <c r="AH907" s="22">
        <f t="shared" si="109"/>
        <v>4.8719999999999999</v>
      </c>
      <c r="AI907" s="35"/>
      <c r="AJ907" s="35"/>
      <c r="AK907" s="35"/>
      <c r="AL907" s="35"/>
      <c r="AM907" s="35"/>
      <c r="AN907" s="35"/>
      <c r="AO907" s="35"/>
      <c r="AP907" s="3"/>
      <c r="AQ907" s="8"/>
    </row>
    <row r="908" spans="1:43">
      <c r="A908" s="1">
        <f t="shared" si="102"/>
        <v>906</v>
      </c>
      <c r="B908" s="19"/>
      <c r="C908" s="1">
        <v>8</v>
      </c>
      <c r="D908" s="4">
        <f t="shared" si="108"/>
        <v>69</v>
      </c>
      <c r="E908" s="4" t="s">
        <v>230</v>
      </c>
      <c r="F908" s="4">
        <v>3</v>
      </c>
      <c r="G908" s="4" t="s">
        <v>11</v>
      </c>
      <c r="H908" s="4" t="s">
        <v>17</v>
      </c>
      <c r="I908" s="4"/>
      <c r="J908" s="5">
        <v>97.6</v>
      </c>
      <c r="K908" s="68"/>
      <c r="L908" s="51">
        <v>3.5409999999999999</v>
      </c>
      <c r="M908" s="128" t="s">
        <v>158</v>
      </c>
      <c r="N908" s="57" t="s">
        <v>111</v>
      </c>
      <c r="O908" s="46"/>
      <c r="P908" s="11"/>
      <c r="Q908" s="3"/>
      <c r="R908" s="22">
        <v>3.9159999999999999</v>
      </c>
      <c r="S908" s="22">
        <v>3.77</v>
      </c>
      <c r="T908" s="22">
        <v>4.016</v>
      </c>
      <c r="U908" s="22">
        <v>3.4870000000000001</v>
      </c>
      <c r="V908" s="22">
        <v>3.4649999999999999</v>
      </c>
      <c r="W908" s="11"/>
      <c r="X908" s="11"/>
      <c r="Y908" s="11"/>
      <c r="Z908" s="11"/>
      <c r="AA908" s="11"/>
      <c r="AB908" s="22">
        <v>3.7</v>
      </c>
      <c r="AC908" s="22">
        <v>3.714</v>
      </c>
      <c r="AD908" s="22">
        <v>3.734</v>
      </c>
      <c r="AE908" s="22">
        <v>3.5190000000000001</v>
      </c>
      <c r="AF908" s="22">
        <v>3.74</v>
      </c>
      <c r="AG908" s="22">
        <v>3.1970000000000001</v>
      </c>
      <c r="AH908" s="22">
        <f t="shared" si="109"/>
        <v>3.4685000000000001</v>
      </c>
      <c r="AI908" s="35"/>
      <c r="AJ908" s="35"/>
      <c r="AK908" s="35"/>
      <c r="AL908" s="35"/>
      <c r="AM908" s="35"/>
      <c r="AN908" s="35"/>
      <c r="AO908" s="35"/>
      <c r="AP908" s="3"/>
      <c r="AQ908" s="8"/>
    </row>
    <row r="909" spans="1:43">
      <c r="A909" s="1">
        <f t="shared" si="102"/>
        <v>907</v>
      </c>
      <c r="B909" s="19"/>
      <c r="C909" s="1">
        <v>8</v>
      </c>
      <c r="D909" s="4">
        <f t="shared" si="108"/>
        <v>69</v>
      </c>
      <c r="E909" s="4" t="s">
        <v>134</v>
      </c>
      <c r="F909" s="4">
        <v>3</v>
      </c>
      <c r="G909" s="4" t="s">
        <v>14</v>
      </c>
      <c r="H909" s="4" t="s">
        <v>170</v>
      </c>
      <c r="I909" s="4"/>
      <c r="J909" s="5">
        <v>97.4</v>
      </c>
      <c r="K909" s="68"/>
      <c r="L909" s="51">
        <v>4.3879999999999999</v>
      </c>
      <c r="M909" s="128" t="s">
        <v>158</v>
      </c>
      <c r="N909" s="57" t="s">
        <v>111</v>
      </c>
      <c r="O909" s="46"/>
      <c r="P909" s="11"/>
      <c r="Q909" s="3"/>
      <c r="R909" s="22">
        <v>4.4509999999999996</v>
      </c>
      <c r="S909" s="22">
        <v>4.3630000000000004</v>
      </c>
      <c r="T909" s="22">
        <v>4.75</v>
      </c>
      <c r="U909" s="22">
        <v>4.4610000000000003</v>
      </c>
      <c r="V909" s="22">
        <v>4.4169999999999998</v>
      </c>
      <c r="W909" s="11"/>
      <c r="X909" s="11"/>
      <c r="Y909" s="11"/>
      <c r="Z909" s="11"/>
      <c r="AA909" s="11"/>
      <c r="AB909" s="22">
        <v>4.5780000000000003</v>
      </c>
      <c r="AC909" s="22">
        <v>4.54</v>
      </c>
      <c r="AD909" s="22">
        <v>4.4809999999999999</v>
      </c>
      <c r="AE909" s="22">
        <v>4.452</v>
      </c>
      <c r="AF909" s="22">
        <v>4.3849999999999998</v>
      </c>
      <c r="AG909" s="22">
        <v>4.2549999999999999</v>
      </c>
      <c r="AH909" s="22">
        <f t="shared" si="109"/>
        <v>4.32</v>
      </c>
      <c r="AI909" s="35"/>
      <c r="AJ909" s="35"/>
      <c r="AK909" s="35"/>
      <c r="AL909" s="35"/>
      <c r="AM909" s="35"/>
      <c r="AN909" s="35"/>
      <c r="AO909" s="35"/>
      <c r="AP909" s="3"/>
      <c r="AQ909" s="8"/>
    </row>
    <row r="910" spans="1:43">
      <c r="A910" s="1">
        <f t="shared" si="102"/>
        <v>908</v>
      </c>
      <c r="B910" s="2" t="s">
        <v>54</v>
      </c>
      <c r="C910" s="1">
        <v>6</v>
      </c>
      <c r="D910" s="4">
        <f t="shared" si="108"/>
        <v>69</v>
      </c>
      <c r="E910" s="4" t="s">
        <v>299</v>
      </c>
      <c r="F910" s="4">
        <v>1</v>
      </c>
      <c r="G910" s="4" t="s">
        <v>11</v>
      </c>
      <c r="H910" s="4" t="s">
        <v>12</v>
      </c>
      <c r="I910" s="4"/>
      <c r="J910" s="5">
        <v>88.3</v>
      </c>
      <c r="K910" s="68"/>
      <c r="L910" s="38">
        <v>4.7370000000000001</v>
      </c>
      <c r="M910" s="127" t="s">
        <v>212</v>
      </c>
      <c r="N910" s="1" t="s">
        <v>13</v>
      </c>
      <c r="O910" s="22">
        <v>4.7439999999999989</v>
      </c>
      <c r="P910" s="1" t="s">
        <v>7</v>
      </c>
      <c r="Q910" s="3" t="s">
        <v>205</v>
      </c>
      <c r="R910" s="22">
        <v>4.5940000000000003</v>
      </c>
      <c r="S910" s="22">
        <v>4.6379999999999999</v>
      </c>
      <c r="T910" s="22">
        <v>5.0439999999999996</v>
      </c>
      <c r="U910" s="22">
        <v>4.6500000000000004</v>
      </c>
      <c r="V910" s="22">
        <v>4.9189999999999996</v>
      </c>
      <c r="W910" s="22">
        <v>4.7750000000000004</v>
      </c>
      <c r="X910" s="22">
        <v>4.7729999999999997</v>
      </c>
      <c r="Y910" s="22">
        <v>4.8010000000000002</v>
      </c>
      <c r="Z910" s="22">
        <v>4.7290000000000001</v>
      </c>
      <c r="AA910" s="22">
        <v>4.7229999999999999</v>
      </c>
      <c r="AB910" s="22">
        <v>4.8579999999999997</v>
      </c>
      <c r="AC910" s="22">
        <v>4.9119999999999999</v>
      </c>
      <c r="AD910" s="22">
        <v>4.8220000000000001</v>
      </c>
      <c r="AE910" s="22">
        <v>4.6029999999999998</v>
      </c>
      <c r="AF910" s="22">
        <v>4.5750000000000002</v>
      </c>
      <c r="AG910" s="22">
        <v>4.9859999999999998</v>
      </c>
      <c r="AH910" s="6">
        <f t="shared" si="96"/>
        <v>4.7805</v>
      </c>
      <c r="AI910" s="7">
        <v>5.88</v>
      </c>
      <c r="AJ910" s="7">
        <v>4.62</v>
      </c>
      <c r="AK910" s="7">
        <v>3.9</v>
      </c>
      <c r="AL910" s="56">
        <v>5</v>
      </c>
      <c r="AM910" s="56">
        <v>4.99</v>
      </c>
      <c r="AN910" s="7">
        <v>4.71</v>
      </c>
      <c r="AO910" s="7">
        <v>4.6100000000000003</v>
      </c>
      <c r="AP910" s="3"/>
      <c r="AQ910" s="8"/>
    </row>
    <row r="911" spans="1:43">
      <c r="A911" s="1">
        <f t="shared" si="102"/>
        <v>909</v>
      </c>
      <c r="B911" s="19"/>
      <c r="C911" s="1">
        <v>6</v>
      </c>
      <c r="D911" s="4">
        <f t="shared" si="108"/>
        <v>69</v>
      </c>
      <c r="E911" s="4" t="s">
        <v>300</v>
      </c>
      <c r="F911" s="4">
        <v>1</v>
      </c>
      <c r="G911" s="4" t="s">
        <v>11</v>
      </c>
      <c r="H911" s="4" t="s">
        <v>12</v>
      </c>
      <c r="I911" s="4"/>
      <c r="J911" s="5">
        <v>88.3</v>
      </c>
      <c r="K911" s="63">
        <v>1.4E-2</v>
      </c>
      <c r="L911" s="38">
        <v>4.7490000000000006</v>
      </c>
      <c r="M911" s="127" t="s">
        <v>212</v>
      </c>
      <c r="N911" s="1" t="s">
        <v>13</v>
      </c>
      <c r="O911" s="22">
        <v>4.7510000000000012</v>
      </c>
      <c r="P911" s="1" t="s">
        <v>7</v>
      </c>
      <c r="Q911" s="3" t="s">
        <v>205</v>
      </c>
      <c r="R911" s="22">
        <v>4.8550000000000004</v>
      </c>
      <c r="S911" s="22">
        <v>4.7460000000000004</v>
      </c>
      <c r="T911" s="22">
        <v>5.1710000000000003</v>
      </c>
      <c r="U911" s="22">
        <v>4.806</v>
      </c>
      <c r="V911" s="22">
        <v>4.9889999999999999</v>
      </c>
      <c r="W911" s="22">
        <v>4.8220000000000001</v>
      </c>
      <c r="X911" s="22">
        <v>4.8209999999999997</v>
      </c>
      <c r="Y911" s="22">
        <v>4.8220000000000001</v>
      </c>
      <c r="Z911" s="22">
        <v>4.7409999999999997</v>
      </c>
      <c r="AA911" s="22">
        <v>4.7489999999999997</v>
      </c>
      <c r="AB911" s="22">
        <v>5.1210000000000004</v>
      </c>
      <c r="AC911" s="22">
        <v>5.14</v>
      </c>
      <c r="AD911" s="22">
        <v>5.0090000000000003</v>
      </c>
      <c r="AE911" s="22">
        <v>4.8849999999999998</v>
      </c>
      <c r="AF911" s="22">
        <v>4.6920000000000002</v>
      </c>
      <c r="AG911" s="22">
        <v>4.8289999999999997</v>
      </c>
      <c r="AH911" s="6">
        <f t="shared" si="96"/>
        <v>4.7605000000000004</v>
      </c>
      <c r="AI911" s="7">
        <v>5.14</v>
      </c>
      <c r="AJ911" s="7">
        <v>4.7699999999999996</v>
      </c>
      <c r="AK911" s="7">
        <v>4.3899999999999997</v>
      </c>
      <c r="AL911" s="56">
        <v>4.9000000000000004</v>
      </c>
      <c r="AM911" s="56">
        <v>4.87</v>
      </c>
      <c r="AN911" s="7">
        <v>4.9400000000000004</v>
      </c>
      <c r="AO911" s="7">
        <v>4.8899999999999997</v>
      </c>
      <c r="AP911" s="3"/>
      <c r="AQ911" s="8"/>
    </row>
    <row r="912" spans="1:43">
      <c r="A912" s="1">
        <f t="shared" si="102"/>
        <v>910</v>
      </c>
      <c r="B912" s="19"/>
      <c r="C912" s="1">
        <v>6</v>
      </c>
      <c r="D912" s="4">
        <f t="shared" si="108"/>
        <v>69</v>
      </c>
      <c r="E912" s="4" t="s">
        <v>301</v>
      </c>
      <c r="F912" s="4">
        <v>1</v>
      </c>
      <c r="G912" s="4" t="s">
        <v>11</v>
      </c>
      <c r="H912" s="4" t="s">
        <v>12</v>
      </c>
      <c r="I912" s="4"/>
      <c r="J912" s="5">
        <v>88.3</v>
      </c>
      <c r="K912" s="65"/>
      <c r="L912" s="38">
        <v>4.79</v>
      </c>
      <c r="M912" s="127" t="s">
        <v>212</v>
      </c>
      <c r="N912" s="1" t="s">
        <v>13</v>
      </c>
      <c r="O912" s="22">
        <v>4.7950000000000008</v>
      </c>
      <c r="P912" s="1" t="s">
        <v>7</v>
      </c>
      <c r="Q912" s="3" t="s">
        <v>205</v>
      </c>
      <c r="R912" s="22">
        <v>4.835</v>
      </c>
      <c r="S912" s="22">
        <v>4.7190000000000003</v>
      </c>
      <c r="T912" s="22">
        <v>5.1470000000000002</v>
      </c>
      <c r="U912" s="22">
        <v>4.7460000000000004</v>
      </c>
      <c r="V912" s="22">
        <v>4.9939999999999998</v>
      </c>
      <c r="W912" s="22">
        <v>4.843</v>
      </c>
      <c r="X912" s="22">
        <v>4.8419999999999996</v>
      </c>
      <c r="Y912" s="22">
        <v>4.8579999999999997</v>
      </c>
      <c r="Z912" s="22">
        <v>4.7809999999999997</v>
      </c>
      <c r="AA912" s="22">
        <v>4.7830000000000004</v>
      </c>
      <c r="AB912" s="22">
        <v>5.0309999999999997</v>
      </c>
      <c r="AC912" s="22">
        <v>5.0709999999999997</v>
      </c>
      <c r="AD912" s="22">
        <v>4.9550000000000001</v>
      </c>
      <c r="AE912" s="22">
        <v>4.7859999999999996</v>
      </c>
      <c r="AF912" s="22">
        <v>4.6619999999999999</v>
      </c>
      <c r="AG912" s="22">
        <v>4.9470000000000001</v>
      </c>
      <c r="AH912" s="6">
        <f t="shared" si="96"/>
        <v>4.8045</v>
      </c>
      <c r="AI912" s="7">
        <v>5.51</v>
      </c>
      <c r="AJ912" s="7">
        <v>4.76</v>
      </c>
      <c r="AK912" s="7">
        <v>4.1399999999999997</v>
      </c>
      <c r="AL912" s="56">
        <v>5.01</v>
      </c>
      <c r="AM912" s="56">
        <v>4.9800000000000004</v>
      </c>
      <c r="AN912" s="7">
        <v>4.9400000000000004</v>
      </c>
      <c r="AO912" s="7">
        <v>4.88</v>
      </c>
      <c r="AP912" s="3"/>
      <c r="AQ912" s="8"/>
    </row>
    <row r="913" spans="1:43">
      <c r="A913" s="1">
        <f t="shared" si="102"/>
        <v>911</v>
      </c>
      <c r="B913" s="19"/>
      <c r="C913" s="1">
        <v>6</v>
      </c>
      <c r="D913" s="4">
        <f t="shared" si="108"/>
        <v>69</v>
      </c>
      <c r="E913" s="4" t="s">
        <v>302</v>
      </c>
      <c r="F913" s="4">
        <v>1</v>
      </c>
      <c r="G913" s="4" t="s">
        <v>11</v>
      </c>
      <c r="H913" s="4" t="s">
        <v>17</v>
      </c>
      <c r="I913" s="4"/>
      <c r="J913" s="5">
        <v>85.7</v>
      </c>
      <c r="K913" s="65"/>
      <c r="L913" s="38">
        <v>5.7359999999999998</v>
      </c>
      <c r="M913" s="127" t="s">
        <v>212</v>
      </c>
      <c r="N913" s="1" t="s">
        <v>13</v>
      </c>
      <c r="O913" s="22">
        <v>5.7370000000000001</v>
      </c>
      <c r="P913" s="1" t="s">
        <v>7</v>
      </c>
      <c r="Q913" s="3" t="s">
        <v>205</v>
      </c>
      <c r="R913" s="22">
        <v>5.8289999999999997</v>
      </c>
      <c r="S913" s="22">
        <v>5.8890000000000002</v>
      </c>
      <c r="T913" s="22">
        <v>6.1980000000000004</v>
      </c>
      <c r="U913" s="22">
        <v>5.4690000000000003</v>
      </c>
      <c r="V913" s="22">
        <v>5.9109999999999996</v>
      </c>
      <c r="W913" s="22">
        <v>5.8380000000000001</v>
      </c>
      <c r="X913" s="22">
        <v>5.8470000000000004</v>
      </c>
      <c r="Y913" s="22">
        <v>5.8159999999999998</v>
      </c>
      <c r="Z913" s="22">
        <v>5.782</v>
      </c>
      <c r="AA913" s="22">
        <v>5.7530000000000001</v>
      </c>
      <c r="AB913" s="22">
        <v>5.6139999999999999</v>
      </c>
      <c r="AC913" s="22">
        <v>5.6420000000000003</v>
      </c>
      <c r="AD913" s="22">
        <v>5.7240000000000002</v>
      </c>
      <c r="AE913" s="22">
        <v>5.3579999999999997</v>
      </c>
      <c r="AF913" s="22">
        <v>5.8280000000000003</v>
      </c>
      <c r="AG913" s="22">
        <v>5.7830000000000004</v>
      </c>
      <c r="AH913" s="6">
        <f t="shared" si="96"/>
        <v>5.8055000000000003</v>
      </c>
      <c r="AI913" s="7">
        <v>5.55</v>
      </c>
      <c r="AJ913" s="7">
        <v>5.76</v>
      </c>
      <c r="AK913" s="7">
        <v>5.32</v>
      </c>
      <c r="AL913" s="56">
        <v>5.75</v>
      </c>
      <c r="AM913" s="56">
        <v>5.72</v>
      </c>
      <c r="AN913" s="7">
        <v>5.98</v>
      </c>
      <c r="AO913" s="7">
        <v>5.95</v>
      </c>
      <c r="AP913" s="3"/>
      <c r="AQ913" s="8"/>
    </row>
    <row r="914" spans="1:43">
      <c r="A914" s="1">
        <f t="shared" si="102"/>
        <v>912</v>
      </c>
      <c r="B914" s="19"/>
      <c r="C914" s="1">
        <v>6</v>
      </c>
      <c r="D914" s="4">
        <f t="shared" si="108"/>
        <v>69</v>
      </c>
      <c r="E914" s="4" t="s">
        <v>303</v>
      </c>
      <c r="F914" s="4">
        <v>1</v>
      </c>
      <c r="G914" s="4" t="s">
        <v>11</v>
      </c>
      <c r="H914" s="4" t="s">
        <v>17</v>
      </c>
      <c r="I914" s="4"/>
      <c r="J914" s="5">
        <v>90.4</v>
      </c>
      <c r="K914" s="65"/>
      <c r="L914" s="38">
        <v>7.2289999999999992</v>
      </c>
      <c r="M914" s="127" t="s">
        <v>212</v>
      </c>
      <c r="N914" s="1" t="s">
        <v>13</v>
      </c>
      <c r="O914" s="22">
        <v>7.2189999999999985</v>
      </c>
      <c r="P914" s="1" t="s">
        <v>7</v>
      </c>
      <c r="Q914" s="3" t="s">
        <v>205</v>
      </c>
      <c r="R914" s="22">
        <v>7.3940000000000001</v>
      </c>
      <c r="S914" s="22">
        <v>7.3159999999999998</v>
      </c>
      <c r="T914" s="22">
        <v>7.5</v>
      </c>
      <c r="U914" s="22">
        <v>7.3159999999999998</v>
      </c>
      <c r="V914" s="22">
        <v>7.34</v>
      </c>
      <c r="W914" s="22">
        <v>7.3040000000000003</v>
      </c>
      <c r="X914" s="22">
        <v>7.2789999999999999</v>
      </c>
      <c r="Y914" s="22">
        <v>7.266</v>
      </c>
      <c r="Z914" s="22">
        <v>7.242</v>
      </c>
      <c r="AA914" s="22">
        <v>7.242</v>
      </c>
      <c r="AB914" s="22">
        <v>7.21</v>
      </c>
      <c r="AC914" s="22">
        <v>7.3070000000000004</v>
      </c>
      <c r="AD914" s="22">
        <v>7.3159999999999998</v>
      </c>
      <c r="AE914" s="22">
        <v>7.0119999999999996</v>
      </c>
      <c r="AF914" s="22">
        <v>7.181</v>
      </c>
      <c r="AG914" s="22">
        <v>6.7789999999999999</v>
      </c>
      <c r="AH914" s="6">
        <f t="shared" si="96"/>
        <v>6.98</v>
      </c>
      <c r="AI914" s="7">
        <v>8.1999999999999993</v>
      </c>
      <c r="AJ914" s="7">
        <v>7.43</v>
      </c>
      <c r="AK914" s="7">
        <v>6.89</v>
      </c>
      <c r="AL914" s="56">
        <v>7.5</v>
      </c>
      <c r="AM914" s="56">
        <v>7.41</v>
      </c>
      <c r="AN914" s="7">
        <v>7.42</v>
      </c>
      <c r="AO914" s="7">
        <v>7.3</v>
      </c>
      <c r="AP914" s="3"/>
      <c r="AQ914" s="8"/>
    </row>
    <row r="915" spans="1:43">
      <c r="A915" s="1">
        <f t="shared" si="102"/>
        <v>913</v>
      </c>
      <c r="B915" s="19"/>
      <c r="C915" s="1">
        <v>6</v>
      </c>
      <c r="D915" s="4">
        <f t="shared" si="108"/>
        <v>69</v>
      </c>
      <c r="E915" s="4" t="s">
        <v>304</v>
      </c>
      <c r="F915" s="4">
        <v>1</v>
      </c>
      <c r="G915" s="4" t="s">
        <v>14</v>
      </c>
      <c r="H915" s="4" t="s">
        <v>15</v>
      </c>
      <c r="I915" s="4"/>
      <c r="J915" s="5">
        <v>90.9</v>
      </c>
      <c r="K915" s="63">
        <v>3.3000000000000002E-2</v>
      </c>
      <c r="L915" s="38">
        <v>7.354000000000001</v>
      </c>
      <c r="M915" s="127" t="s">
        <v>212</v>
      </c>
      <c r="N915" s="1" t="s">
        <v>13</v>
      </c>
      <c r="O915" s="22">
        <v>7.3979999999999997</v>
      </c>
      <c r="P915" s="1" t="s">
        <v>7</v>
      </c>
      <c r="Q915" s="3" t="s">
        <v>205</v>
      </c>
      <c r="R915" s="22">
        <v>6.86</v>
      </c>
      <c r="S915" s="22">
        <v>6.8659999999999997</v>
      </c>
      <c r="T915" s="22">
        <v>7.59</v>
      </c>
      <c r="U915" s="22">
        <v>7.4640000000000004</v>
      </c>
      <c r="V915" s="22">
        <v>7.4489999999999998</v>
      </c>
      <c r="W915" s="22">
        <v>7.3689999999999998</v>
      </c>
      <c r="X915" s="22">
        <v>7.3730000000000002</v>
      </c>
      <c r="Y915" s="22">
        <v>7.4139999999999997</v>
      </c>
      <c r="Z915" s="22">
        <v>7.3460000000000001</v>
      </c>
      <c r="AA915" s="22">
        <v>7.3179999999999996</v>
      </c>
      <c r="AB915" s="22">
        <v>7.5140000000000002</v>
      </c>
      <c r="AC915" s="22">
        <v>7.4790000000000001</v>
      </c>
      <c r="AD915" s="22">
        <v>7.2759999999999998</v>
      </c>
      <c r="AE915" s="22">
        <v>7.3339999999999996</v>
      </c>
      <c r="AF915" s="22">
        <v>6.8929999999999998</v>
      </c>
      <c r="AG915" s="22">
        <v>7.6790000000000003</v>
      </c>
      <c r="AH915" s="6">
        <f t="shared" si="96"/>
        <v>7.2859999999999996</v>
      </c>
      <c r="AI915" s="7">
        <v>7.4</v>
      </c>
      <c r="AJ915" s="7">
        <v>7.48</v>
      </c>
      <c r="AK915" s="7">
        <v>7.15</v>
      </c>
      <c r="AL915" s="56">
        <v>7.53</v>
      </c>
      <c r="AM915" s="56">
        <v>7.49</v>
      </c>
      <c r="AN915" s="7">
        <v>7.51</v>
      </c>
      <c r="AO915" s="7">
        <v>7.45</v>
      </c>
      <c r="AP915" s="3"/>
      <c r="AQ915" s="8"/>
    </row>
    <row r="916" spans="1:43">
      <c r="A916" s="1">
        <f t="shared" si="102"/>
        <v>914</v>
      </c>
      <c r="B916" s="19"/>
      <c r="C916" s="1">
        <v>6</v>
      </c>
      <c r="D916" s="4">
        <f t="shared" si="108"/>
        <v>69</v>
      </c>
      <c r="E916" s="4" t="s">
        <v>301</v>
      </c>
      <c r="F916" s="4">
        <v>1</v>
      </c>
      <c r="G916" s="4" t="s">
        <v>11</v>
      </c>
      <c r="H916" s="4" t="s">
        <v>12</v>
      </c>
      <c r="I916" s="4"/>
      <c r="J916" s="5">
        <v>82.6</v>
      </c>
      <c r="K916" s="65"/>
      <c r="L916" s="38">
        <v>7.7310000000000008</v>
      </c>
      <c r="M916" s="127" t="s">
        <v>212</v>
      </c>
      <c r="N916" s="1" t="s">
        <v>13</v>
      </c>
      <c r="O916" s="22">
        <v>7.729000000000001</v>
      </c>
      <c r="P916" s="1" t="s">
        <v>7</v>
      </c>
      <c r="Q916" s="3" t="s">
        <v>205</v>
      </c>
      <c r="R916" s="35"/>
      <c r="S916" s="22">
        <v>7.9960000000000004</v>
      </c>
      <c r="T916" s="22">
        <v>8.2159999999999993</v>
      </c>
      <c r="U916" s="22">
        <v>7.859</v>
      </c>
      <c r="V916" s="22">
        <v>8.1310000000000002</v>
      </c>
      <c r="W916" s="22">
        <v>8.0359999999999996</v>
      </c>
      <c r="X916" s="22">
        <v>7.9550000000000001</v>
      </c>
      <c r="Y916" s="22">
        <v>7.9109999999999996</v>
      </c>
      <c r="Z916" s="22">
        <v>7.7850000000000001</v>
      </c>
      <c r="AA916" s="22">
        <v>7.78</v>
      </c>
      <c r="AB916" s="22">
        <v>8.1649999999999991</v>
      </c>
      <c r="AC916" s="22">
        <v>8.2010000000000005</v>
      </c>
      <c r="AD916" s="22">
        <v>8.0779999999999994</v>
      </c>
      <c r="AE916" s="22">
        <v>7.9320000000000004</v>
      </c>
      <c r="AF916" s="22">
        <v>7.9210000000000003</v>
      </c>
      <c r="AG916" s="22">
        <v>8.0370000000000008</v>
      </c>
      <c r="AH916" s="6">
        <f t="shared" si="96"/>
        <v>7.979000000000001</v>
      </c>
      <c r="AI916" s="7">
        <v>8.26</v>
      </c>
      <c r="AJ916" s="7">
        <v>7.75</v>
      </c>
      <c r="AK916" s="7">
        <v>7.04</v>
      </c>
      <c r="AL916" s="56">
        <v>7.92</v>
      </c>
      <c r="AM916" s="56">
        <v>7.9</v>
      </c>
      <c r="AN916" s="7">
        <v>8.07</v>
      </c>
      <c r="AO916" s="7">
        <v>7.98</v>
      </c>
      <c r="AP916" s="3"/>
      <c r="AQ916" s="8"/>
    </row>
    <row r="917" spans="1:43">
      <c r="A917" s="1">
        <f t="shared" si="102"/>
        <v>915</v>
      </c>
      <c r="B917" s="19"/>
      <c r="C917" s="1">
        <v>6</v>
      </c>
      <c r="D917" s="4">
        <f t="shared" si="108"/>
        <v>69</v>
      </c>
      <c r="E917" s="4" t="s">
        <v>304</v>
      </c>
      <c r="F917" s="4">
        <v>1</v>
      </c>
      <c r="G917" s="4" t="s">
        <v>11</v>
      </c>
      <c r="H917" s="4" t="s">
        <v>17</v>
      </c>
      <c r="I917" s="4"/>
      <c r="J917" s="5">
        <v>90</v>
      </c>
      <c r="K917" s="63">
        <v>0.90200000000000002</v>
      </c>
      <c r="L917" s="38">
        <v>7.9060000000000024</v>
      </c>
      <c r="M917" s="127" t="s">
        <v>212</v>
      </c>
      <c r="N917" s="1" t="s">
        <v>13</v>
      </c>
      <c r="O917" s="22">
        <v>7.9020000000000019</v>
      </c>
      <c r="P917" s="1" t="s">
        <v>7</v>
      </c>
      <c r="Q917" s="3" t="s">
        <v>205</v>
      </c>
      <c r="R917" s="22">
        <v>7.8330000000000002</v>
      </c>
      <c r="S917" s="22">
        <v>7.9580000000000002</v>
      </c>
      <c r="T917" s="22">
        <v>8.2780000000000005</v>
      </c>
      <c r="U917" s="35"/>
      <c r="V917" s="22">
        <v>8.1370000000000005</v>
      </c>
      <c r="W917" s="22">
        <v>8.1300000000000008</v>
      </c>
      <c r="X917" s="22">
        <v>7.9550000000000001</v>
      </c>
      <c r="Y917" s="22">
        <v>7.9930000000000003</v>
      </c>
      <c r="Z917" s="22">
        <v>7.9189999999999996</v>
      </c>
      <c r="AA917" s="22">
        <v>7.9420000000000002</v>
      </c>
      <c r="AB917" s="22">
        <v>7.98</v>
      </c>
      <c r="AC917" s="22">
        <v>8.0679999999999996</v>
      </c>
      <c r="AD917" s="22">
        <v>7.9930000000000003</v>
      </c>
      <c r="AE917" s="22">
        <v>7.7679999999999998</v>
      </c>
      <c r="AF917" s="22">
        <v>7.8410000000000002</v>
      </c>
      <c r="AG917" s="22">
        <v>7.7869999999999999</v>
      </c>
      <c r="AH917" s="6">
        <f t="shared" si="96"/>
        <v>7.8140000000000001</v>
      </c>
      <c r="AI917" s="7">
        <v>10.029999999999999</v>
      </c>
      <c r="AJ917" s="7">
        <v>8.65</v>
      </c>
      <c r="AK917" s="7">
        <v>7.7</v>
      </c>
      <c r="AL917" s="56">
        <v>8.83</v>
      </c>
      <c r="AM917" s="56">
        <v>8.7200000000000006</v>
      </c>
      <c r="AN917" s="7">
        <v>8.59</v>
      </c>
      <c r="AO917" s="7">
        <v>8.34</v>
      </c>
      <c r="AP917" s="3"/>
      <c r="AQ917" s="8"/>
    </row>
    <row r="918" spans="1:43">
      <c r="A918" s="1">
        <f t="shared" si="102"/>
        <v>916</v>
      </c>
      <c r="B918" s="19"/>
      <c r="C918" s="1">
        <v>6</v>
      </c>
      <c r="D918" s="4">
        <f t="shared" si="108"/>
        <v>69</v>
      </c>
      <c r="E918" s="4" t="s">
        <v>305</v>
      </c>
      <c r="F918" s="4">
        <v>3</v>
      </c>
      <c r="G918" s="4" t="s">
        <v>11</v>
      </c>
      <c r="H918" s="4" t="s">
        <v>12</v>
      </c>
      <c r="I918" s="4"/>
      <c r="J918" s="5">
        <v>96.7</v>
      </c>
      <c r="K918" s="65"/>
      <c r="L918" s="38">
        <v>4.3343999999999996</v>
      </c>
      <c r="M918" s="127" t="s">
        <v>110</v>
      </c>
      <c r="N918" s="1" t="s">
        <v>13</v>
      </c>
      <c r="O918" s="22">
        <v>4.3419999999999996</v>
      </c>
      <c r="P918" s="1" t="s">
        <v>7</v>
      </c>
      <c r="Q918" s="3" t="s">
        <v>205</v>
      </c>
      <c r="R918" s="22">
        <v>4.5199999999999996</v>
      </c>
      <c r="S918" s="22">
        <v>4.3230000000000004</v>
      </c>
      <c r="T918" s="22">
        <v>4.702</v>
      </c>
      <c r="U918" s="22">
        <v>4.3220000000000001</v>
      </c>
      <c r="V918" s="22">
        <v>4.5110000000000001</v>
      </c>
      <c r="W918" s="35"/>
      <c r="X918" s="35"/>
      <c r="Y918" s="35"/>
      <c r="Z918" s="22">
        <v>4.33</v>
      </c>
      <c r="AA918" s="35"/>
      <c r="AB918" s="22">
        <v>4.7590000000000003</v>
      </c>
      <c r="AC918" s="22">
        <v>4.7590000000000003</v>
      </c>
      <c r="AD918" s="22">
        <v>4.6130000000000004</v>
      </c>
      <c r="AE918" s="22">
        <v>4.5469999999999997</v>
      </c>
      <c r="AF918" s="22">
        <v>4.2939999999999996</v>
      </c>
      <c r="AG918" s="22">
        <v>4.3529999999999998</v>
      </c>
      <c r="AH918" s="6">
        <f t="shared" si="96"/>
        <v>4.3234999999999992</v>
      </c>
      <c r="AI918" s="7">
        <v>4.74</v>
      </c>
      <c r="AJ918" s="7">
        <v>4.37</v>
      </c>
      <c r="AK918" s="7">
        <v>3.99</v>
      </c>
      <c r="AL918" s="56">
        <v>4.51</v>
      </c>
      <c r="AM918" s="56">
        <v>4.49</v>
      </c>
      <c r="AN918" s="7">
        <v>4.55</v>
      </c>
      <c r="AO918" s="7">
        <v>4.51</v>
      </c>
      <c r="AP918" s="3"/>
      <c r="AQ918" s="8"/>
    </row>
    <row r="919" spans="1:43">
      <c r="A919" s="1">
        <f t="shared" ref="A919:A929" si="111">A918+1</f>
        <v>917</v>
      </c>
      <c r="B919" s="19"/>
      <c r="C919" s="1">
        <v>6</v>
      </c>
      <c r="D919" s="4">
        <f t="shared" si="108"/>
        <v>69</v>
      </c>
      <c r="E919" s="4" t="s">
        <v>306</v>
      </c>
      <c r="F919" s="4">
        <v>3</v>
      </c>
      <c r="G919" s="4" t="s">
        <v>11</v>
      </c>
      <c r="H919" s="4" t="s">
        <v>12</v>
      </c>
      <c r="I919" s="4"/>
      <c r="J919" s="5">
        <v>96.6</v>
      </c>
      <c r="K919" s="65"/>
      <c r="L919" s="38">
        <v>4.5019999999999998</v>
      </c>
      <c r="M919" s="127" t="s">
        <v>110</v>
      </c>
      <c r="N919" s="1" t="s">
        <v>13</v>
      </c>
      <c r="O919" s="22">
        <v>4.5119999999999996</v>
      </c>
      <c r="P919" s="1" t="s">
        <v>7</v>
      </c>
      <c r="Q919" s="3" t="s">
        <v>205</v>
      </c>
      <c r="R919" s="22">
        <v>4.7060000000000004</v>
      </c>
      <c r="S919" s="22">
        <v>4.4630000000000001</v>
      </c>
      <c r="T919" s="22">
        <v>4.835</v>
      </c>
      <c r="U919" s="22">
        <v>4.476</v>
      </c>
      <c r="V919" s="22">
        <v>4.6719999999999997</v>
      </c>
      <c r="W919" s="35"/>
      <c r="X919" s="35"/>
      <c r="Y919" s="35"/>
      <c r="Z919" s="22">
        <v>4.5049999999999999</v>
      </c>
      <c r="AA919" s="35"/>
      <c r="AB919" s="22">
        <v>4.8280000000000003</v>
      </c>
      <c r="AC919" s="22">
        <v>4.8529999999999998</v>
      </c>
      <c r="AD919" s="22">
        <v>4.7229999999999999</v>
      </c>
      <c r="AE919" s="22">
        <v>4.6029999999999998</v>
      </c>
      <c r="AF919" s="22">
        <v>4.42</v>
      </c>
      <c r="AG919" s="22">
        <v>4.5890000000000004</v>
      </c>
      <c r="AH919" s="6">
        <f t="shared" si="96"/>
        <v>4.5045000000000002</v>
      </c>
      <c r="AI919" s="7">
        <v>5.14</v>
      </c>
      <c r="AJ919" s="7">
        <v>4.47</v>
      </c>
      <c r="AK919" s="7">
        <v>3.88</v>
      </c>
      <c r="AL919" s="56">
        <v>4.71</v>
      </c>
      <c r="AM919" s="56">
        <v>4.68</v>
      </c>
      <c r="AN919" s="7">
        <v>4.66</v>
      </c>
      <c r="AO919" s="7">
        <v>4.6100000000000003</v>
      </c>
      <c r="AP919" s="3"/>
      <c r="AQ919" s="8"/>
    </row>
    <row r="920" spans="1:43">
      <c r="A920" s="1">
        <f t="shared" si="111"/>
        <v>918</v>
      </c>
      <c r="B920" s="19"/>
      <c r="C920" s="1">
        <v>6</v>
      </c>
      <c r="D920" s="4">
        <f t="shared" si="108"/>
        <v>69</v>
      </c>
      <c r="E920" s="4" t="s">
        <v>307</v>
      </c>
      <c r="F920" s="4">
        <v>3</v>
      </c>
      <c r="G920" s="4" t="s">
        <v>11</v>
      </c>
      <c r="H920" s="4" t="s">
        <v>12</v>
      </c>
      <c r="I920" s="4"/>
      <c r="J920" s="5">
        <v>96.2</v>
      </c>
      <c r="K920" s="65"/>
      <c r="L920" s="38">
        <v>4.7389999999999999</v>
      </c>
      <c r="M920" s="127" t="s">
        <v>110</v>
      </c>
      <c r="N920" s="1" t="s">
        <v>13</v>
      </c>
      <c r="O920" s="22">
        <v>4.7460000000000004</v>
      </c>
      <c r="P920" s="1" t="s">
        <v>7</v>
      </c>
      <c r="Q920" s="3" t="s">
        <v>205</v>
      </c>
      <c r="R920" s="22">
        <v>4.6520000000000001</v>
      </c>
      <c r="S920" s="22">
        <v>4.6470000000000002</v>
      </c>
      <c r="T920" s="22">
        <v>5.0410000000000004</v>
      </c>
      <c r="U920" s="22">
        <v>4.7160000000000002</v>
      </c>
      <c r="V920" s="22">
        <v>4.9089999999999998</v>
      </c>
      <c r="W920" s="35"/>
      <c r="X920" s="35"/>
      <c r="Y920" s="35"/>
      <c r="Z920" s="22">
        <v>4.7530000000000001</v>
      </c>
      <c r="AA920" s="35"/>
      <c r="AB920" s="22">
        <v>4.9320000000000004</v>
      </c>
      <c r="AC920" s="22">
        <v>4.9820000000000002</v>
      </c>
      <c r="AD920" s="22">
        <v>4.8710000000000004</v>
      </c>
      <c r="AE920" s="22">
        <v>4.6890000000000001</v>
      </c>
      <c r="AF920" s="22">
        <v>4.5880000000000001</v>
      </c>
      <c r="AG920" s="22">
        <v>4.97</v>
      </c>
      <c r="AH920" s="6">
        <f t="shared" si="96"/>
        <v>4.7789999999999999</v>
      </c>
      <c r="AI920" s="7">
        <v>5.88</v>
      </c>
      <c r="AJ920" s="7">
        <v>4.7</v>
      </c>
      <c r="AK920" s="7">
        <v>3.94</v>
      </c>
      <c r="AL920" s="56">
        <v>5.0599999999999996</v>
      </c>
      <c r="AM920" s="56">
        <v>5.04</v>
      </c>
      <c r="AN920" s="7">
        <v>4.8099999999999996</v>
      </c>
      <c r="AO920" s="7">
        <v>4.71</v>
      </c>
      <c r="AP920" s="3"/>
      <c r="AQ920" s="8"/>
    </row>
    <row r="921" spans="1:43">
      <c r="A921" s="1">
        <f t="shared" si="111"/>
        <v>919</v>
      </c>
      <c r="B921" s="19"/>
      <c r="C921" s="1">
        <v>6</v>
      </c>
      <c r="D921" s="4">
        <f t="shared" si="108"/>
        <v>69</v>
      </c>
      <c r="E921" s="4" t="s">
        <v>308</v>
      </c>
      <c r="F921" s="4">
        <v>3</v>
      </c>
      <c r="G921" s="4" t="s">
        <v>11</v>
      </c>
      <c r="H921" s="4" t="s">
        <v>17</v>
      </c>
      <c r="I921" s="4"/>
      <c r="J921" s="5">
        <v>98.2</v>
      </c>
      <c r="K921" s="65"/>
      <c r="L921" s="45">
        <v>4.8410000000000002</v>
      </c>
      <c r="M921" s="127" t="s">
        <v>110</v>
      </c>
      <c r="N921" s="57" t="s">
        <v>111</v>
      </c>
      <c r="O921" s="22">
        <v>4.851</v>
      </c>
      <c r="P921" s="1" t="s">
        <v>7</v>
      </c>
      <c r="Q921" s="3" t="s">
        <v>205</v>
      </c>
      <c r="R921" s="22">
        <v>5.2679999999999998</v>
      </c>
      <c r="S921" s="22">
        <v>5.1189999999999998</v>
      </c>
      <c r="T921" s="22">
        <v>5.1909999999999998</v>
      </c>
      <c r="U921" s="22">
        <v>4.4219999999999997</v>
      </c>
      <c r="V921" s="22">
        <v>4.742</v>
      </c>
      <c r="W921" s="35"/>
      <c r="X921" s="35"/>
      <c r="Y921" s="35"/>
      <c r="Z921" s="22">
        <v>4.8769999999999998</v>
      </c>
      <c r="AA921" s="35"/>
      <c r="AB921" s="22">
        <v>5.1740000000000004</v>
      </c>
      <c r="AC921" s="22">
        <v>5.141</v>
      </c>
      <c r="AD921" s="22">
        <v>5.133</v>
      </c>
      <c r="AE921" s="22">
        <v>5.0389999999999997</v>
      </c>
      <c r="AF921" s="22">
        <v>5.1079999999999997</v>
      </c>
      <c r="AG921" s="22">
        <v>4.5259999999999998</v>
      </c>
      <c r="AH921" s="6">
        <f t="shared" si="96"/>
        <v>4.8170000000000002</v>
      </c>
      <c r="AI921" s="7">
        <v>4.46</v>
      </c>
      <c r="AJ921" s="7">
        <v>4.88</v>
      </c>
      <c r="AK921" s="7">
        <v>4.55</v>
      </c>
      <c r="AL921" s="56">
        <v>4.8099999999999996</v>
      </c>
      <c r="AM921" s="56">
        <v>4.75</v>
      </c>
      <c r="AN921" s="7">
        <v>5.0599999999999996</v>
      </c>
      <c r="AO921" s="7">
        <v>5.05</v>
      </c>
      <c r="AP921" s="3"/>
      <c r="AQ921" s="8"/>
    </row>
    <row r="922" spans="1:43">
      <c r="A922" s="1">
        <f t="shared" si="111"/>
        <v>920</v>
      </c>
      <c r="B922" s="19"/>
      <c r="C922" s="1">
        <v>6</v>
      </c>
      <c r="D922" s="4">
        <f t="shared" si="108"/>
        <v>69</v>
      </c>
      <c r="E922" s="4" t="s">
        <v>309</v>
      </c>
      <c r="F922" s="4">
        <v>3</v>
      </c>
      <c r="G922" s="4" t="s">
        <v>11</v>
      </c>
      <c r="H922" s="4" t="s">
        <v>17</v>
      </c>
      <c r="I922" s="4"/>
      <c r="J922" s="5">
        <v>96.9</v>
      </c>
      <c r="K922" s="65"/>
      <c r="L922" s="38">
        <v>5.5949999999999998</v>
      </c>
      <c r="M922" s="127" t="s">
        <v>110</v>
      </c>
      <c r="N922" s="1" t="s">
        <v>13</v>
      </c>
      <c r="O922" s="22">
        <v>5.5979999999999999</v>
      </c>
      <c r="P922" s="1" t="s">
        <v>7</v>
      </c>
      <c r="Q922" s="3" t="s">
        <v>205</v>
      </c>
      <c r="R922" s="22">
        <v>5.9109999999999996</v>
      </c>
      <c r="S922" s="22">
        <v>5.8769999999999998</v>
      </c>
      <c r="T922" s="22">
        <v>5.98</v>
      </c>
      <c r="U922" s="22">
        <v>5.6109999999999998</v>
      </c>
      <c r="V922" s="22">
        <v>5.6980000000000004</v>
      </c>
      <c r="W922" s="35"/>
      <c r="X922" s="35"/>
      <c r="Y922" s="35"/>
      <c r="Z922" s="22">
        <v>5.609</v>
      </c>
      <c r="AA922" s="35"/>
      <c r="AB922" s="22">
        <v>5.798</v>
      </c>
      <c r="AC922" s="22">
        <v>5.8230000000000004</v>
      </c>
      <c r="AD922" s="22">
        <v>5.8410000000000002</v>
      </c>
      <c r="AE922" s="22">
        <v>5.6120000000000001</v>
      </c>
      <c r="AF922" s="22">
        <v>5.8209999999999997</v>
      </c>
      <c r="AG922" s="22">
        <v>5.32</v>
      </c>
      <c r="AH922" s="6">
        <f t="shared" ref="AH922:AH929" si="112">IF((AF922&lt;&gt;0)*AND(AG922&lt;&gt;0),AVERAGE(AF922:AG922),"")</f>
        <v>5.5705</v>
      </c>
      <c r="AI922" s="7">
        <v>5.57</v>
      </c>
      <c r="AJ922" s="7">
        <v>5.62</v>
      </c>
      <c r="AK922" s="7">
        <v>5.2</v>
      </c>
      <c r="AL922" s="56">
        <v>5.62</v>
      </c>
      <c r="AM922" s="56">
        <v>5.57</v>
      </c>
      <c r="AN922" s="7">
        <v>5.77</v>
      </c>
      <c r="AO922" s="7">
        <v>5.73</v>
      </c>
      <c r="AP922" s="3"/>
      <c r="AQ922" s="8"/>
    </row>
    <row r="923" spans="1:43">
      <c r="A923" s="1">
        <f t="shared" si="111"/>
        <v>921</v>
      </c>
      <c r="B923" s="19"/>
      <c r="C923" s="1">
        <v>6</v>
      </c>
      <c r="D923" s="4">
        <f t="shared" si="108"/>
        <v>69</v>
      </c>
      <c r="E923" s="4" t="s">
        <v>310</v>
      </c>
      <c r="F923" s="4">
        <v>3</v>
      </c>
      <c r="G923" s="4" t="s">
        <v>11</v>
      </c>
      <c r="H923" s="4" t="s">
        <v>17</v>
      </c>
      <c r="I923" s="4"/>
      <c r="J923" s="5">
        <v>97.6</v>
      </c>
      <c r="K923" s="65"/>
      <c r="L923" s="38">
        <v>6.617</v>
      </c>
      <c r="M923" s="127" t="s">
        <v>110</v>
      </c>
      <c r="N923" s="4" t="s">
        <v>13</v>
      </c>
      <c r="O923" s="22">
        <v>6.6120000000000001</v>
      </c>
      <c r="P923" s="1" t="s">
        <v>7</v>
      </c>
      <c r="Q923" s="3" t="s">
        <v>205</v>
      </c>
      <c r="R923" s="22">
        <v>6.7130000000000001</v>
      </c>
      <c r="S923" s="22">
        <v>6.7619999999999996</v>
      </c>
      <c r="T923" s="22">
        <v>6.758</v>
      </c>
      <c r="U923" s="22">
        <v>6.6070000000000002</v>
      </c>
      <c r="V923" s="22">
        <v>6.5949999999999998</v>
      </c>
      <c r="W923" s="35"/>
      <c r="X923" s="35"/>
      <c r="Y923" s="35"/>
      <c r="Z923" s="22">
        <v>6.6269999999999998</v>
      </c>
      <c r="AA923" s="35"/>
      <c r="AB923" s="22">
        <v>6.7990000000000004</v>
      </c>
      <c r="AC923" s="22">
        <v>6.9020000000000001</v>
      </c>
      <c r="AD923" s="22">
        <v>6.8559999999999999</v>
      </c>
      <c r="AE923" s="22">
        <v>6.6219999999999999</v>
      </c>
      <c r="AF923" s="22">
        <v>6.6340000000000003</v>
      </c>
      <c r="AG923" s="22">
        <v>6.2670000000000003</v>
      </c>
      <c r="AH923" s="6">
        <f t="shared" si="112"/>
        <v>6.4504999999999999</v>
      </c>
      <c r="AI923" s="7">
        <v>7.7</v>
      </c>
      <c r="AJ923" s="7">
        <v>6.62</v>
      </c>
      <c r="AK923" s="7">
        <v>6.12</v>
      </c>
      <c r="AL923" s="56">
        <v>6.76</v>
      </c>
      <c r="AM923" s="56">
        <v>6.68</v>
      </c>
      <c r="AN923" s="7">
        <v>6.47</v>
      </c>
      <c r="AO923" s="7">
        <v>6.36</v>
      </c>
      <c r="AP923" s="3"/>
      <c r="AQ923" s="8"/>
    </row>
    <row r="924" spans="1:43">
      <c r="A924" s="1">
        <f t="shared" si="111"/>
        <v>922</v>
      </c>
      <c r="B924" s="31" t="s">
        <v>84</v>
      </c>
      <c r="C924" s="1">
        <v>1</v>
      </c>
      <c r="D924" s="4">
        <f t="shared" si="108"/>
        <v>12</v>
      </c>
      <c r="E924" s="4" t="s">
        <v>128</v>
      </c>
      <c r="F924" s="4">
        <v>1</v>
      </c>
      <c r="G924" s="4" t="s">
        <v>14</v>
      </c>
      <c r="H924" s="4" t="s">
        <v>15</v>
      </c>
      <c r="I924" s="4"/>
      <c r="J924" s="5">
        <v>93.4</v>
      </c>
      <c r="K924" s="63">
        <v>5.3999999999999999E-2</v>
      </c>
      <c r="L924" s="38">
        <v>7.6260000000000003</v>
      </c>
      <c r="M924" s="127" t="s">
        <v>103</v>
      </c>
      <c r="N924" s="4" t="s">
        <v>13</v>
      </c>
      <c r="O924" s="6">
        <v>7.6719999999999997</v>
      </c>
      <c r="P924" s="4" t="s">
        <v>184</v>
      </c>
      <c r="Q924" s="3" t="s">
        <v>205</v>
      </c>
      <c r="R924" s="22">
        <v>7.1680000000000001</v>
      </c>
      <c r="S924" s="22">
        <v>7.234</v>
      </c>
      <c r="T924" s="6">
        <v>7.577</v>
      </c>
      <c r="U924" s="22">
        <v>7.5640000000000001</v>
      </c>
      <c r="V924" s="22">
        <v>7.5970000000000004</v>
      </c>
      <c r="W924" s="22">
        <v>7.5960000000000001</v>
      </c>
      <c r="X924" s="22">
        <v>7.5970000000000004</v>
      </c>
      <c r="Y924" s="22">
        <v>7.6050000000000004</v>
      </c>
      <c r="Z924" s="22">
        <v>7.6050000000000004</v>
      </c>
      <c r="AA924" s="22">
        <v>7.5910000000000002</v>
      </c>
      <c r="AB924" s="6">
        <v>7.4009999999999998</v>
      </c>
      <c r="AC924" s="6">
        <v>7.452</v>
      </c>
      <c r="AD924" s="6">
        <v>7.3789999999999996</v>
      </c>
      <c r="AE924" s="6">
        <v>7.23</v>
      </c>
      <c r="AF924" s="6">
        <v>7.181</v>
      </c>
      <c r="AG924" s="6">
        <v>7.8419999999999996</v>
      </c>
      <c r="AH924" s="6">
        <f t="shared" si="112"/>
        <v>7.5114999999999998</v>
      </c>
      <c r="AI924" s="11"/>
      <c r="AJ924" s="11"/>
      <c r="AK924" s="11"/>
      <c r="AL924" s="11"/>
      <c r="AM924" s="11"/>
      <c r="AN924" s="11"/>
      <c r="AO924" s="11"/>
      <c r="AP924" s="3"/>
      <c r="AQ924" s="8"/>
    </row>
    <row r="925" spans="1:43">
      <c r="A925" s="1">
        <f t="shared" si="111"/>
        <v>923</v>
      </c>
      <c r="B925" s="31"/>
      <c r="C925" s="1">
        <v>1</v>
      </c>
      <c r="D925" s="4">
        <f t="shared" si="108"/>
        <v>12</v>
      </c>
      <c r="E925" s="4" t="s">
        <v>131</v>
      </c>
      <c r="F925" s="4">
        <v>1</v>
      </c>
      <c r="G925" s="4" t="s">
        <v>14</v>
      </c>
      <c r="H925" s="4" t="s">
        <v>16</v>
      </c>
      <c r="I925" s="4"/>
      <c r="J925" s="5">
        <v>93.6</v>
      </c>
      <c r="K925" s="68"/>
      <c r="L925" s="38">
        <v>9.4969999999999999</v>
      </c>
      <c r="M925" s="127" t="s">
        <v>103</v>
      </c>
      <c r="N925" s="4" t="s">
        <v>13</v>
      </c>
      <c r="O925" s="6">
        <v>9.4489999999999998</v>
      </c>
      <c r="P925" s="4" t="s">
        <v>184</v>
      </c>
      <c r="Q925" s="3" t="s">
        <v>205</v>
      </c>
      <c r="R925" s="22">
        <v>8.9239999999999995</v>
      </c>
      <c r="S925" s="22">
        <v>8.8889999999999993</v>
      </c>
      <c r="T925" s="6">
        <v>9.3520000000000003</v>
      </c>
      <c r="U925" s="22">
        <v>9.3719999999999999</v>
      </c>
      <c r="V925" s="6">
        <v>9.3610000000000007</v>
      </c>
      <c r="W925" s="22">
        <v>9.375</v>
      </c>
      <c r="X925" s="22">
        <v>9.3770000000000007</v>
      </c>
      <c r="Y925" s="22">
        <v>9.3829999999999991</v>
      </c>
      <c r="Z925" s="22">
        <v>9.3819999999999997</v>
      </c>
      <c r="AA925" s="22">
        <v>9.3680000000000003</v>
      </c>
      <c r="AB925" s="6">
        <v>9.1219999999999999</v>
      </c>
      <c r="AC925" s="6">
        <v>9.1739999999999995</v>
      </c>
      <c r="AD925" s="6">
        <v>9.0790000000000006</v>
      </c>
      <c r="AE925" s="6">
        <v>8.9529999999999994</v>
      </c>
      <c r="AF925" s="6">
        <v>8.8379999999999992</v>
      </c>
      <c r="AG925" s="6">
        <v>9.6319999999999997</v>
      </c>
      <c r="AH925" s="6">
        <f t="shared" si="112"/>
        <v>9.2349999999999994</v>
      </c>
      <c r="AI925" s="11"/>
      <c r="AJ925" s="11"/>
      <c r="AK925" s="11"/>
      <c r="AL925" s="11"/>
      <c r="AM925" s="11"/>
      <c r="AN925" s="11"/>
      <c r="AO925" s="11"/>
      <c r="AP925" s="3"/>
      <c r="AQ925" s="8"/>
    </row>
    <row r="926" spans="1:43">
      <c r="A926" s="1">
        <f t="shared" si="111"/>
        <v>924</v>
      </c>
      <c r="B926" s="31"/>
      <c r="C926" s="1">
        <v>1</v>
      </c>
      <c r="D926" s="4">
        <f t="shared" si="108"/>
        <v>12</v>
      </c>
      <c r="E926" s="4" t="s">
        <v>118</v>
      </c>
      <c r="F926" s="4">
        <v>1</v>
      </c>
      <c r="G926" s="4" t="s">
        <v>14</v>
      </c>
      <c r="H926" s="4" t="s">
        <v>15</v>
      </c>
      <c r="I926" s="4"/>
      <c r="J926" s="5">
        <v>93.6</v>
      </c>
      <c r="K926" s="63">
        <v>0.1</v>
      </c>
      <c r="L926" s="38">
        <v>9.9870000000000001</v>
      </c>
      <c r="M926" s="127" t="s">
        <v>103</v>
      </c>
      <c r="N926" s="4" t="s">
        <v>13</v>
      </c>
      <c r="O926" s="6">
        <v>10.017000000000001</v>
      </c>
      <c r="P926" s="4" t="s">
        <v>184</v>
      </c>
      <c r="Q926" s="3" t="s">
        <v>205</v>
      </c>
      <c r="R926" s="22">
        <v>9.5250000000000004</v>
      </c>
      <c r="S926" s="22">
        <v>9.58</v>
      </c>
      <c r="T926" s="6">
        <v>9.91</v>
      </c>
      <c r="U926" s="22">
        <v>9.9160000000000004</v>
      </c>
      <c r="V926" s="22">
        <v>9.9570000000000007</v>
      </c>
      <c r="W926" s="22">
        <v>9.9559999999999995</v>
      </c>
      <c r="X926" s="22">
        <v>9.9580000000000002</v>
      </c>
      <c r="Y926" s="22">
        <v>9.9670000000000005</v>
      </c>
      <c r="Z926" s="22">
        <v>9.9659999999999993</v>
      </c>
      <c r="AA926" s="22">
        <v>9.9489999999999998</v>
      </c>
      <c r="AB926" s="6">
        <v>9.7579999999999991</v>
      </c>
      <c r="AC926" s="6">
        <v>9.8160000000000007</v>
      </c>
      <c r="AD926" s="6">
        <v>9.7379999999999995</v>
      </c>
      <c r="AE926" s="6">
        <v>9.5909999999999993</v>
      </c>
      <c r="AF926" s="6">
        <v>9.5229999999999997</v>
      </c>
      <c r="AG926" s="6">
        <v>10.222</v>
      </c>
      <c r="AH926" s="6">
        <f t="shared" si="112"/>
        <v>9.8724999999999987</v>
      </c>
      <c r="AI926" s="11"/>
      <c r="AJ926" s="11"/>
      <c r="AK926" s="11"/>
      <c r="AL926" s="11"/>
      <c r="AM926" s="11"/>
      <c r="AN926" s="11"/>
      <c r="AO926" s="11"/>
      <c r="AP926" s="3"/>
      <c r="AQ926" s="8"/>
    </row>
    <row r="927" spans="1:43">
      <c r="A927" s="1">
        <f>A926+1</f>
        <v>925</v>
      </c>
      <c r="B927" s="31"/>
      <c r="C927" s="1">
        <v>1</v>
      </c>
      <c r="D927" s="4">
        <f t="shared" si="108"/>
        <v>12</v>
      </c>
      <c r="E927" s="4" t="s">
        <v>129</v>
      </c>
      <c r="F927" s="4">
        <v>3</v>
      </c>
      <c r="G927" s="4" t="s">
        <v>14</v>
      </c>
      <c r="H927" s="4" t="s">
        <v>15</v>
      </c>
      <c r="I927" s="4"/>
      <c r="J927" s="5">
        <v>98.1</v>
      </c>
      <c r="K927" s="68"/>
      <c r="L927" s="38">
        <v>7.2480000000000002</v>
      </c>
      <c r="M927" s="127" t="s">
        <v>103</v>
      </c>
      <c r="N927" s="4" t="s">
        <v>13</v>
      </c>
      <c r="O927" s="6">
        <v>7.2969999999999997</v>
      </c>
      <c r="P927" s="4" t="s">
        <v>184</v>
      </c>
      <c r="Q927" s="3" t="s">
        <v>205</v>
      </c>
      <c r="R927" s="22">
        <v>6.9189999999999996</v>
      </c>
      <c r="S927" s="6">
        <v>6.907</v>
      </c>
      <c r="T927" s="6">
        <v>7.1840000000000002</v>
      </c>
      <c r="U927" s="22">
        <v>7.2359999999999998</v>
      </c>
      <c r="V927" s="22">
        <v>7.202</v>
      </c>
      <c r="W927" s="46"/>
      <c r="X927" s="46"/>
      <c r="Y927" s="46"/>
      <c r="Z927" s="22">
        <v>7.23</v>
      </c>
      <c r="AA927" s="22">
        <v>7.2149999999999999</v>
      </c>
      <c r="AB927" s="6">
        <v>7.1050000000000004</v>
      </c>
      <c r="AC927" s="6">
        <v>7.1550000000000002</v>
      </c>
      <c r="AD927" s="6">
        <v>7.0720000000000001</v>
      </c>
      <c r="AE927" s="6">
        <v>6.9480000000000004</v>
      </c>
      <c r="AF927" s="6">
        <v>6.8550000000000004</v>
      </c>
      <c r="AG927" s="6">
        <v>7.4139999999999997</v>
      </c>
      <c r="AH927" s="6">
        <f t="shared" si="112"/>
        <v>7.1345000000000001</v>
      </c>
      <c r="AI927" s="11"/>
      <c r="AJ927" s="11"/>
      <c r="AK927" s="11"/>
      <c r="AL927" s="11"/>
      <c r="AM927" s="11"/>
      <c r="AN927" s="11"/>
      <c r="AO927" s="11"/>
      <c r="AP927" s="3"/>
      <c r="AQ927" s="8"/>
    </row>
    <row r="928" spans="1:43">
      <c r="A928" s="1">
        <f t="shared" si="111"/>
        <v>926</v>
      </c>
      <c r="B928" s="31"/>
      <c r="C928" s="1">
        <v>1</v>
      </c>
      <c r="D928" s="4">
        <f t="shared" si="108"/>
        <v>12</v>
      </c>
      <c r="E928" s="4" t="s">
        <v>130</v>
      </c>
      <c r="F928" s="4">
        <v>3</v>
      </c>
      <c r="G928" s="4" t="s">
        <v>14</v>
      </c>
      <c r="H928" s="4" t="s">
        <v>16</v>
      </c>
      <c r="I928" s="4"/>
      <c r="J928" s="5">
        <v>98</v>
      </c>
      <c r="K928" s="68"/>
      <c r="L928" s="38">
        <v>9.2379999999999995</v>
      </c>
      <c r="M928" s="127" t="s">
        <v>103</v>
      </c>
      <c r="N928" s="4" t="s">
        <v>13</v>
      </c>
      <c r="O928" s="6">
        <v>9.282</v>
      </c>
      <c r="P928" s="4" t="s">
        <v>184</v>
      </c>
      <c r="Q928" s="3" t="s">
        <v>205</v>
      </c>
      <c r="R928" s="22">
        <v>8.9109999999999996</v>
      </c>
      <c r="S928" s="6">
        <v>8.7739999999999991</v>
      </c>
      <c r="T928" s="6">
        <v>9.1880000000000006</v>
      </c>
      <c r="U928" s="22">
        <v>9.2040000000000006</v>
      </c>
      <c r="V928" s="22">
        <v>9.1950000000000003</v>
      </c>
      <c r="W928" s="46"/>
      <c r="X928" s="46"/>
      <c r="Y928" s="46"/>
      <c r="Z928" s="22">
        <v>9.218</v>
      </c>
      <c r="AA928" s="22">
        <v>9.2029999999999994</v>
      </c>
      <c r="AB928" s="6">
        <v>9.0150000000000006</v>
      </c>
      <c r="AC928" s="6">
        <v>9.0670000000000002</v>
      </c>
      <c r="AD928" s="6">
        <v>8.9689999999999994</v>
      </c>
      <c r="AE928" s="6">
        <v>8.8520000000000003</v>
      </c>
      <c r="AF928" s="6">
        <v>8.7230000000000008</v>
      </c>
      <c r="AG928" s="6">
        <v>9.4329999999999998</v>
      </c>
      <c r="AH928" s="6">
        <f t="shared" si="112"/>
        <v>9.0779999999999994</v>
      </c>
      <c r="AI928" s="11"/>
      <c r="AJ928" s="11"/>
      <c r="AK928" s="11"/>
      <c r="AL928" s="11"/>
      <c r="AM928" s="11"/>
      <c r="AN928" s="11"/>
      <c r="AO928" s="11"/>
      <c r="AP928" s="3"/>
      <c r="AQ928" s="8"/>
    </row>
    <row r="929" spans="1:43">
      <c r="A929" s="1">
        <f t="shared" si="111"/>
        <v>927</v>
      </c>
      <c r="B929" s="19"/>
      <c r="C929" s="1">
        <v>1</v>
      </c>
      <c r="D929" s="4">
        <f t="shared" si="108"/>
        <v>12</v>
      </c>
      <c r="E929" s="4" t="s">
        <v>143</v>
      </c>
      <c r="F929" s="4">
        <v>3</v>
      </c>
      <c r="G929" s="4" t="s">
        <v>14</v>
      </c>
      <c r="H929" s="4" t="s">
        <v>15</v>
      </c>
      <c r="I929" s="4"/>
      <c r="J929" s="5">
        <v>98.2</v>
      </c>
      <c r="K929" s="68"/>
      <c r="L929" s="38">
        <v>9.5380000000000003</v>
      </c>
      <c r="M929" s="127" t="s">
        <v>103</v>
      </c>
      <c r="N929" s="4" t="s">
        <v>13</v>
      </c>
      <c r="O929" s="6">
        <v>9.577</v>
      </c>
      <c r="P929" s="4" t="s">
        <v>184</v>
      </c>
      <c r="Q929" s="3" t="s">
        <v>205</v>
      </c>
      <c r="R929" s="22">
        <v>9.2959999999999994</v>
      </c>
      <c r="S929" s="6">
        <v>9.2050000000000001</v>
      </c>
      <c r="T929" s="6">
        <v>9.4499999999999993</v>
      </c>
      <c r="U929" s="22">
        <v>9.5180000000000007</v>
      </c>
      <c r="V929" s="22">
        <v>9.4870000000000001</v>
      </c>
      <c r="W929" s="46"/>
      <c r="X929" s="46"/>
      <c r="Y929" s="46"/>
      <c r="Z929" s="22">
        <v>9.5220000000000002</v>
      </c>
      <c r="AA929" s="22">
        <v>9.5039999999999996</v>
      </c>
      <c r="AB929" s="6">
        <v>9.4269999999999996</v>
      </c>
      <c r="AC929" s="6">
        <v>9.4819999999999993</v>
      </c>
      <c r="AD929" s="6">
        <v>9.3889999999999993</v>
      </c>
      <c r="AE929" s="6">
        <v>9.2789999999999999</v>
      </c>
      <c r="AF929" s="6">
        <v>9.1519999999999992</v>
      </c>
      <c r="AG929" s="6">
        <v>9.7010000000000005</v>
      </c>
      <c r="AH929" s="6">
        <f t="shared" si="112"/>
        <v>9.4265000000000008</v>
      </c>
      <c r="AI929" s="11"/>
      <c r="AJ929" s="11"/>
      <c r="AK929" s="11"/>
      <c r="AL929" s="11"/>
      <c r="AM929" s="11"/>
      <c r="AN929" s="11"/>
      <c r="AO929" s="11"/>
      <c r="AP929" s="3"/>
      <c r="AQ929" s="8"/>
    </row>
    <row r="930" spans="1:43">
      <c r="E930" s="4"/>
      <c r="F930" s="4"/>
      <c r="G930" s="4"/>
      <c r="H930" s="4"/>
      <c r="I930" s="4"/>
      <c r="J930" s="17"/>
      <c r="K930" s="17"/>
      <c r="L930" s="7"/>
      <c r="M930" s="7"/>
    </row>
    <row r="931" spans="1:43">
      <c r="B931" s="18" t="s">
        <v>283</v>
      </c>
      <c r="C931" s="1">
        <f>COUNTIF(D3:D929,"=12")</f>
        <v>129</v>
      </c>
      <c r="D931" s="18"/>
      <c r="E931" s="18" t="s">
        <v>55</v>
      </c>
      <c r="F931" s="1">
        <f>COUNTIF(F3:F929,"=1")</f>
        <v>582</v>
      </c>
      <c r="G931" s="18" t="s">
        <v>12</v>
      </c>
      <c r="H931" s="1">
        <f>COUNTIF(H3:H929,"=npi")</f>
        <v>207</v>
      </c>
      <c r="J931" s="18" t="s">
        <v>56</v>
      </c>
      <c r="K931" s="18"/>
      <c r="L931" s="8">
        <f>MAX(L3:L929)</f>
        <v>14.009</v>
      </c>
      <c r="M931" s="8"/>
    </row>
    <row r="932" spans="1:43">
      <c r="B932" s="18" t="s">
        <v>526</v>
      </c>
      <c r="C932" s="1">
        <f>COUNTIF(D3:D929,"=35")</f>
        <v>318</v>
      </c>
      <c r="E932" s="18" t="s">
        <v>57</v>
      </c>
      <c r="F932" s="1">
        <f>COUNTIF(F3:F929,"=3")</f>
        <v>345</v>
      </c>
      <c r="G932" s="18" t="s">
        <v>58</v>
      </c>
      <c r="H932" s="1">
        <f>COUNTIF(H3:H929,"=ppi")</f>
        <v>386</v>
      </c>
      <c r="J932" s="18" t="s">
        <v>59</v>
      </c>
      <c r="K932" s="18"/>
      <c r="L932" s="8">
        <f>MIN(L3:L929)</f>
        <v>0.22500000000000001</v>
      </c>
      <c r="M932" s="8"/>
    </row>
    <row r="933" spans="1:43">
      <c r="B933" s="18" t="s">
        <v>527</v>
      </c>
      <c r="C933" s="1">
        <f>COUNTIF(D3:D929,"=69")</f>
        <v>338</v>
      </c>
      <c r="D933" s="18"/>
      <c r="E933" s="18" t="s">
        <v>60</v>
      </c>
      <c r="F933" s="1">
        <f>COUNTIF(G3:G929,"=V")</f>
        <v>659</v>
      </c>
      <c r="G933" s="18" t="s">
        <v>61</v>
      </c>
      <c r="H933" s="1">
        <f>COUNTIF(H3:H929,"=n3s")+COUNTIF(H3:H929,"=n4s")+COUNTIF(H3:H929,"=n3p")+COUNTIF(H3:H929,"=n4p")+COUNTIF(H3:H929,"=p3s")+COUNTIF(H3:H929,"=p4s")+COUNTIF(H3:H929,"=p3p")+COUNTIF(H3:H929,"=p4p")+COUNTIF(H3:H929,"=n.d.")</f>
        <v>263</v>
      </c>
      <c r="J933" s="18" t="s">
        <v>62</v>
      </c>
      <c r="K933" s="18"/>
      <c r="L933" s="1">
        <f>COUNTIF(N3:N929,"=Y")</f>
        <v>837</v>
      </c>
    </row>
    <row r="934" spans="1:43">
      <c r="B934" s="18" t="s">
        <v>532</v>
      </c>
      <c r="C934" s="1">
        <f>COUNTIF(D3:D929,"=1016")</f>
        <v>142</v>
      </c>
      <c r="E934" s="18" t="s">
        <v>64</v>
      </c>
      <c r="F934" s="1">
        <f>COUNTIF(G3:G929,"=R")</f>
        <v>259</v>
      </c>
      <c r="G934" s="18" t="s">
        <v>65</v>
      </c>
      <c r="H934" s="1">
        <f>COUNTIF(H3:H929,"=dou")</f>
        <v>28</v>
      </c>
      <c r="J934" s="18" t="s">
        <v>66</v>
      </c>
      <c r="K934" s="18"/>
      <c r="L934" s="1">
        <f>COUNTIF(N3:N929,"=N")</f>
        <v>90</v>
      </c>
    </row>
    <row r="935" spans="1:43">
      <c r="B935" s="18"/>
      <c r="J935" s="18" t="s">
        <v>67</v>
      </c>
      <c r="K935" s="18"/>
      <c r="L935" s="1">
        <f>COUNTIF(N3:N929,"=U")</f>
        <v>0</v>
      </c>
    </row>
    <row r="936" spans="1:43">
      <c r="B936" s="18" t="s">
        <v>68</v>
      </c>
      <c r="C936" s="1">
        <f>SUM(C931:C935)</f>
        <v>927</v>
      </c>
      <c r="E936" s="18" t="s">
        <v>68</v>
      </c>
      <c r="F936" s="1">
        <f>SUM(F931:F932)</f>
        <v>927</v>
      </c>
    </row>
    <row r="937" spans="1:43">
      <c r="E937" s="18"/>
    </row>
    <row r="938" spans="1:43">
      <c r="B938" s="18" t="s">
        <v>416</v>
      </c>
      <c r="C938" s="1">
        <f>COUNTIF(B3:B929,"*")</f>
        <v>120</v>
      </c>
      <c r="G938" s="18" t="s">
        <v>320</v>
      </c>
      <c r="H938" s="1">
        <f>COUNTIF(I3:I929,"=pd")</f>
        <v>21</v>
      </c>
    </row>
    <row r="939" spans="1:43">
      <c r="G939" s="18" t="s">
        <v>321</v>
      </c>
      <c r="H939" s="1">
        <f>COUNTIF(I3:I929,"=gd")</f>
        <v>28</v>
      </c>
    </row>
    <row r="940" spans="1:43">
      <c r="G940" s="18" t="s">
        <v>274</v>
      </c>
      <c r="H940" s="1">
        <f>COUNTIF(I3:I929,"=sCT")</f>
        <v>13</v>
      </c>
    </row>
    <row r="941" spans="1:43">
      <c r="G941" s="18" t="s">
        <v>208</v>
      </c>
      <c r="H941" s="1">
        <f>COUNTIF(I3:I929,"=wCT")</f>
        <v>15</v>
      </c>
    </row>
    <row r="942" spans="1:43">
      <c r="G942" s="18" t="s">
        <v>251</v>
      </c>
      <c r="H942" s="1">
        <f>COUNTIF(I3:I929,"=FL")</f>
        <v>10</v>
      </c>
    </row>
    <row r="943" spans="1:43">
      <c r="C943" s="1" t="s">
        <v>533</v>
      </c>
      <c r="D943" s="1" t="s">
        <v>534</v>
      </c>
      <c r="E943" s="1" t="s">
        <v>537</v>
      </c>
      <c r="F943" s="1" t="s">
        <v>535</v>
      </c>
      <c r="G943" s="1" t="s">
        <v>536</v>
      </c>
      <c r="H943" s="1" t="s">
        <v>123</v>
      </c>
      <c r="AP943" s="18"/>
    </row>
    <row r="944" spans="1:43">
      <c r="B944" s="18" t="s">
        <v>283</v>
      </c>
      <c r="C944" s="1">
        <f>COUNTIFS($D$3:$D$929,"12",$F$3:$F$929,"1",$G$3:$G$929,"V")</f>
        <v>45</v>
      </c>
      <c r="D944" s="1">
        <f>COUNTIFS($D$3:$D$929,"12",$F$3:$F$929,"1",$G$3:$G$929,"R")</f>
        <v>28</v>
      </c>
      <c r="E944" s="1">
        <f>COUNTIFS($D$3:$D$929,"12",$F$3:$F$929,"1",$G$3:$G$929,"M")</f>
        <v>2</v>
      </c>
      <c r="F944" s="1">
        <f>COUNTIFS($D$3:$D$929,"12",$F$3:$F$929,"3",$G$3:$G$929,"V")</f>
        <v>35</v>
      </c>
      <c r="G944" s="1">
        <f>COUNTIFS($D$3:$D$929,"12",$F$3:$F$929,"3",$G$3:$G$929,"R")</f>
        <v>19</v>
      </c>
      <c r="H944" s="1">
        <f>COUNTIFS($D$3:$D$929,"12",$F$3:$F$929,"3",$G$3:$G$929,"M")</f>
        <v>0</v>
      </c>
      <c r="I944" s="1">
        <f>SUM(C944:G944)</f>
        <v>129</v>
      </c>
      <c r="AP944" s="18"/>
    </row>
    <row r="945" spans="2:9">
      <c r="B945" s="18" t="s">
        <v>526</v>
      </c>
      <c r="C945" s="1">
        <f>COUNTIFS($D$3:$D$929,"35",$F$3:$F$929,"1",$G$3:$G$929,"V")</f>
        <v>112</v>
      </c>
      <c r="D945" s="1">
        <f>COUNTIFS($D$3:$D$929,"35",$F$3:$F$929,"1",$G$3:$G$929,"R")</f>
        <v>76</v>
      </c>
      <c r="E945" s="1">
        <f>COUNTIFS($D$3:$D$929,"35",$F$3:$F$929,"1",$G$3:$G$929,"M")</f>
        <v>2</v>
      </c>
      <c r="F945" s="1">
        <f>COUNTIFS($D$3:$D$929,"35",$F$3:$F$929,"3",$G$3:$G$929,"V")</f>
        <v>100</v>
      </c>
      <c r="G945" s="1">
        <f>COUNTIFS($D$3:$D$929,"35",$F$3:$F$929,"3",$G$3:$G$929,"R")</f>
        <v>28</v>
      </c>
      <c r="H945" s="1">
        <f>COUNTIFS($D$3:$D$929,"35",$F$3:$F$929,"3",$G$3:$G$929,"M")</f>
        <v>0</v>
      </c>
      <c r="I945" s="1">
        <f>SUM(C945:G945)</f>
        <v>318</v>
      </c>
    </row>
    <row r="946" spans="2:9">
      <c r="B946" s="18" t="s">
        <v>527</v>
      </c>
      <c r="C946" s="1">
        <f>COUNTIFS($D$3:$D$929,"69",$F$3:$F$929,"1",$G$3:$G$929,"V")</f>
        <v>145</v>
      </c>
      <c r="D946" s="1">
        <f>COUNTIFS($D$3:$D$929,"69",$F$3:$F$929,"1",$G$3:$G$929,"R")</f>
        <v>75</v>
      </c>
      <c r="E946" s="1">
        <f>COUNTIFS($D$3:$D$929,"69",$F$3:$F$929,"1",$G$3:$G$929,"M")</f>
        <v>3</v>
      </c>
      <c r="F946" s="1">
        <f>COUNTIFS($D$3:$D$929,"69",$F$3:$F$929,"3",$G$3:$G$929,"V")</f>
        <v>105</v>
      </c>
      <c r="G946" s="1">
        <f>COUNTIFS($D$3:$D$929,"69",$F$3:$F$929,"3",$G$3:$G$929,"R")</f>
        <v>10</v>
      </c>
      <c r="H946" s="1">
        <f>COUNTIFS($D$3:$D$929,"69",$F$3:$F$929,"3",$G$3:$G$929,"M")</f>
        <v>0</v>
      </c>
      <c r="I946" s="1">
        <f>SUM(C946:G946)</f>
        <v>338</v>
      </c>
    </row>
    <row r="947" spans="2:9">
      <c r="B947" s="18" t="s">
        <v>532</v>
      </c>
      <c r="C947" s="1">
        <f>COUNTIFS($D$3:$D$929,"1016",$F$3:$F$929,"1",$G$3:$G$929,"V")</f>
        <v>74</v>
      </c>
      <c r="D947" s="1">
        <f>COUNTIFS($D$3:$D$929,"1016",$F$3:$F$929,"1",$G$3:$G$929,"R")</f>
        <v>19</v>
      </c>
      <c r="E947" s="1">
        <f>COUNTIFS($D$3:$D$929,"1016",$F$3:$F$929,"1",$G$3:$G$929,"M")</f>
        <v>1</v>
      </c>
      <c r="F947" s="1">
        <f>COUNTIFS($D$3:$D$929,"1016",$F$3:$F$929,"3",$G$3:$G$929,"V")</f>
        <v>43</v>
      </c>
      <c r="G947" s="1">
        <f>COUNTIFS($D$3:$D$929,"1016",$F$3:$F$929,"3",$G$3:$G$929,"R")</f>
        <v>4</v>
      </c>
      <c r="H947" s="1">
        <f>COUNTIFS($D$3:$D$929,"1016",$F$3:$F$929,"3",$G$3:$G$929,"M")</f>
        <v>1</v>
      </c>
      <c r="I947" s="1">
        <f>SUM(C947:G947)</f>
        <v>141</v>
      </c>
    </row>
    <row r="948" spans="2:9">
      <c r="C948" s="1">
        <f t="shared" ref="C948:H948" si="113">SUM(C944:C947)</f>
        <v>376</v>
      </c>
      <c r="D948" s="1">
        <f t="shared" si="113"/>
        <v>198</v>
      </c>
      <c r="E948" s="1">
        <f t="shared" si="113"/>
        <v>8</v>
      </c>
      <c r="F948" s="1">
        <f t="shared" si="113"/>
        <v>283</v>
      </c>
      <c r="G948" s="1">
        <f t="shared" si="113"/>
        <v>61</v>
      </c>
      <c r="H948" s="1">
        <f t="shared" si="113"/>
        <v>1</v>
      </c>
    </row>
    <row r="949" spans="2:9">
      <c r="C949" s="1">
        <f>SUM(C948:E948)</f>
        <v>582</v>
      </c>
      <c r="F949" s="1">
        <f>SUM(F948:G948)</f>
        <v>344</v>
      </c>
    </row>
  </sheetData>
  <mergeCells count="2">
    <mergeCell ref="B1:N1"/>
    <mergeCell ref="R1:AH1"/>
  </mergeCells>
  <phoneticPr fontId="17" type="noConversion"/>
  <conditionalFormatting sqref="J3:J929">
    <cfRule type="cellIs" dxfId="8" priority="2" operator="lessThan">
      <formula>65</formula>
    </cfRule>
    <cfRule type="cellIs" dxfId="7" priority="3" operator="between">
      <formula>65</formula>
      <formula>85</formula>
    </cfRule>
    <cfRule type="cellIs" dxfId="6" priority="4" operator="greaterThan">
      <formula>85</formula>
    </cfRule>
  </conditionalFormatting>
  <pageMargins left="0.7" right="0.7" top="0.75" bottom="0.75" header="0.3" footer="0.3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F67E3D-0F5A-C640-9CB6-4D76A6224572}">
  <dimension ref="A1:AD300"/>
  <sheetViews>
    <sheetView topLeftCell="B145" zoomScale="90" zoomScaleNormal="90" workbookViewId="0">
      <selection activeCell="I157" sqref="I157:N166"/>
    </sheetView>
  </sheetViews>
  <sheetFormatPr baseColWidth="10" defaultRowHeight="16"/>
  <cols>
    <col min="1" max="1" width="4" customWidth="1"/>
    <col min="3" max="3" width="3.1640625" customWidth="1"/>
    <col min="4" max="4" width="4" customWidth="1"/>
    <col min="5" max="5" width="10.33203125" customWidth="1"/>
    <col min="6" max="6" width="4.5" customWidth="1"/>
    <col min="7" max="7" width="2.83203125" customWidth="1"/>
    <col min="8" max="8" width="3.6640625" customWidth="1"/>
    <col min="9" max="9" width="6.5" customWidth="1"/>
    <col min="10" max="10" width="7.1640625" customWidth="1"/>
    <col min="11" max="11" width="34.33203125" customWidth="1"/>
    <col min="12" max="12" width="3.1640625" customWidth="1"/>
    <col min="13" max="13" width="6.1640625" customWidth="1"/>
    <col min="14" max="14" width="8.83203125" customWidth="1"/>
    <col min="15" max="15" width="4.33203125" customWidth="1"/>
    <col min="16" max="30" width="6.83203125" customWidth="1"/>
    <col min="31" max="31" width="2.1640625" customWidth="1"/>
    <col min="32" max="32" width="2.33203125" customWidth="1"/>
  </cols>
  <sheetData>
    <row r="1" spans="1:30">
      <c r="A1" s="1"/>
      <c r="B1" s="136" t="s">
        <v>0</v>
      </c>
      <c r="C1" s="136"/>
      <c r="D1" s="136"/>
      <c r="E1" s="136"/>
      <c r="F1" s="136"/>
      <c r="G1" s="136"/>
      <c r="H1" s="136"/>
      <c r="I1" s="136"/>
      <c r="J1" s="136"/>
      <c r="K1" s="136"/>
      <c r="L1" s="136"/>
      <c r="M1" s="29"/>
      <c r="N1" s="29"/>
      <c r="O1" s="1"/>
      <c r="P1" s="137"/>
      <c r="Q1" s="137"/>
      <c r="R1" s="137"/>
      <c r="S1" s="137"/>
      <c r="T1" s="137"/>
      <c r="U1" s="137"/>
      <c r="V1" s="137"/>
      <c r="W1" s="137"/>
      <c r="X1" s="138"/>
      <c r="Y1" s="138"/>
      <c r="Z1" s="138"/>
      <c r="AA1" s="138"/>
      <c r="AB1" s="138"/>
      <c r="AC1" s="138"/>
      <c r="AD1" s="138"/>
    </row>
    <row r="2" spans="1:30" ht="105">
      <c r="A2" s="1"/>
      <c r="B2" s="20" t="s">
        <v>1</v>
      </c>
      <c r="C2" s="20" t="s">
        <v>2</v>
      </c>
      <c r="D2" s="20" t="s">
        <v>104</v>
      </c>
      <c r="E2" s="20" t="s">
        <v>3</v>
      </c>
      <c r="F2" s="20" t="s">
        <v>562</v>
      </c>
      <c r="G2" s="20" t="s">
        <v>4</v>
      </c>
      <c r="H2" s="20" t="s">
        <v>209</v>
      </c>
      <c r="I2" s="21" t="s">
        <v>346</v>
      </c>
      <c r="J2" s="20" t="s">
        <v>5</v>
      </c>
      <c r="K2" s="98" t="s">
        <v>469</v>
      </c>
      <c r="L2" s="20" t="s">
        <v>531</v>
      </c>
      <c r="M2" s="20" t="s">
        <v>201</v>
      </c>
      <c r="N2" s="20" t="s">
        <v>202</v>
      </c>
      <c r="O2" s="3"/>
      <c r="P2" s="20" t="s">
        <v>468</v>
      </c>
      <c r="Q2" s="20" t="s">
        <v>470</v>
      </c>
      <c r="R2" s="20" t="s">
        <v>471</v>
      </c>
      <c r="S2" s="20" t="s">
        <v>474</v>
      </c>
      <c r="T2" s="20" t="s">
        <v>472</v>
      </c>
      <c r="U2" s="20" t="s">
        <v>473</v>
      </c>
      <c r="V2" s="20" t="s">
        <v>476</v>
      </c>
      <c r="W2" s="20" t="s">
        <v>475</v>
      </c>
      <c r="X2" s="20" t="s">
        <v>196</v>
      </c>
      <c r="Y2" s="20" t="s">
        <v>198</v>
      </c>
      <c r="Z2" s="20" t="s">
        <v>197</v>
      </c>
      <c r="AA2" s="20" t="s">
        <v>191</v>
      </c>
      <c r="AB2" s="20" t="s">
        <v>190</v>
      </c>
      <c r="AC2" s="20" t="s">
        <v>200</v>
      </c>
      <c r="AD2" s="20" t="s">
        <v>199</v>
      </c>
    </row>
    <row r="3" spans="1:30">
      <c r="A3" s="1">
        <v>1</v>
      </c>
      <c r="B3" s="2" t="s">
        <v>523</v>
      </c>
      <c r="C3" s="4">
        <v>2</v>
      </c>
      <c r="D3" s="4">
        <f>_xlfn.SWITCH(C3,1,12,2,12,3,35,4,35,5,35)</f>
        <v>12</v>
      </c>
      <c r="E3" s="4" t="s">
        <v>465</v>
      </c>
      <c r="F3" s="4">
        <v>2</v>
      </c>
      <c r="G3" s="4" t="s">
        <v>11</v>
      </c>
      <c r="H3" s="4"/>
      <c r="I3" s="1">
        <v>3.0000000000000001E-3</v>
      </c>
      <c r="J3" s="38">
        <v>0.95499999999999996</v>
      </c>
      <c r="K3" s="7" t="s">
        <v>220</v>
      </c>
      <c r="L3" s="4" t="s">
        <v>13</v>
      </c>
      <c r="M3" s="22">
        <v>0.95</v>
      </c>
      <c r="N3" s="1" t="s">
        <v>184</v>
      </c>
      <c r="O3" s="3" t="s">
        <v>205</v>
      </c>
      <c r="P3" s="22">
        <v>1.29</v>
      </c>
      <c r="Q3" s="22">
        <v>0.91300000000000003</v>
      </c>
      <c r="R3" s="22">
        <v>1.2569999999999999</v>
      </c>
      <c r="S3" s="22">
        <v>1.2130000000000001</v>
      </c>
      <c r="T3" s="22">
        <v>1.1870000000000001</v>
      </c>
      <c r="U3" s="22">
        <v>1.1599999999999999</v>
      </c>
      <c r="V3" s="22">
        <v>1.0429999999999999</v>
      </c>
      <c r="W3" s="22">
        <v>1.0289999999999999</v>
      </c>
      <c r="X3" s="121">
        <v>1.052</v>
      </c>
      <c r="Y3" s="121">
        <v>0.89700000000000002</v>
      </c>
      <c r="Z3" s="121">
        <v>0.91400000000000003</v>
      </c>
      <c r="AA3" s="121">
        <v>0.96199999999999997</v>
      </c>
      <c r="AB3" s="121">
        <v>0.96399999999999997</v>
      </c>
      <c r="AC3" s="121">
        <v>0.94399999999999995</v>
      </c>
      <c r="AD3" s="121">
        <v>0.94799999999999995</v>
      </c>
    </row>
    <row r="4" spans="1:30">
      <c r="A4" s="1">
        <f>A3+1</f>
        <v>2</v>
      </c>
      <c r="B4" s="20"/>
      <c r="C4" s="4">
        <v>2</v>
      </c>
      <c r="D4" s="4">
        <f t="shared" ref="D4:D67" si="0">_xlfn.SWITCH(C4,1,12,2,12,3,35,4,35,5,35)</f>
        <v>12</v>
      </c>
      <c r="E4" s="4" t="s">
        <v>484</v>
      </c>
      <c r="F4" s="4">
        <v>2</v>
      </c>
      <c r="G4" s="4" t="s">
        <v>11</v>
      </c>
      <c r="H4" s="4" t="s">
        <v>321</v>
      </c>
      <c r="I4" s="1">
        <v>8.8999999999999996E-2</v>
      </c>
      <c r="J4" s="38">
        <v>2.3639999999999999</v>
      </c>
      <c r="K4" s="7" t="s">
        <v>220</v>
      </c>
      <c r="L4" s="4" t="s">
        <v>13</v>
      </c>
      <c r="M4" s="22">
        <v>2.3730000000000002</v>
      </c>
      <c r="N4" s="1" t="s">
        <v>184</v>
      </c>
      <c r="O4" s="3"/>
      <c r="P4" s="41"/>
      <c r="Q4" s="22">
        <v>1.6639999999999999</v>
      </c>
      <c r="R4" s="41"/>
      <c r="S4" s="41"/>
      <c r="T4" s="22">
        <v>4.4720000000000004</v>
      </c>
      <c r="U4" s="22">
        <v>4.2949999999999999</v>
      </c>
      <c r="V4" s="22">
        <v>2.9990000000000001</v>
      </c>
      <c r="W4" s="22">
        <v>2.9159999999999999</v>
      </c>
      <c r="X4" s="121">
        <v>1.99</v>
      </c>
      <c r="Y4" s="121">
        <v>2.1840000000000002</v>
      </c>
      <c r="Z4" s="121">
        <v>2.2509999999999999</v>
      </c>
      <c r="AA4" s="121">
        <v>2.206</v>
      </c>
      <c r="AB4" s="121">
        <v>2.2120000000000002</v>
      </c>
      <c r="AC4" s="121">
        <v>2.2549999999999999</v>
      </c>
      <c r="AD4" s="121">
        <v>2.2799999999999998</v>
      </c>
    </row>
    <row r="5" spans="1:30">
      <c r="A5" s="1">
        <f t="shared" ref="A5:A17" si="1">A4+1</f>
        <v>3</v>
      </c>
      <c r="B5" s="20"/>
      <c r="C5" s="4">
        <v>2</v>
      </c>
      <c r="D5" s="4">
        <f t="shared" si="0"/>
        <v>12</v>
      </c>
      <c r="E5" s="4" t="s">
        <v>465</v>
      </c>
      <c r="F5" s="4">
        <v>2</v>
      </c>
      <c r="G5" s="4" t="s">
        <v>11</v>
      </c>
      <c r="H5" s="4" t="s">
        <v>320</v>
      </c>
      <c r="I5" s="1">
        <v>3.0000000000000001E-3</v>
      </c>
      <c r="J5" s="38">
        <v>3.4089999999999998</v>
      </c>
      <c r="K5" s="7" t="s">
        <v>220</v>
      </c>
      <c r="L5" s="4" t="s">
        <v>13</v>
      </c>
      <c r="M5" s="22">
        <v>3.41</v>
      </c>
      <c r="N5" s="1" t="s">
        <v>184</v>
      </c>
      <c r="O5" s="3"/>
      <c r="P5" s="41"/>
      <c r="Q5" s="22">
        <v>3.0790000000000002</v>
      </c>
      <c r="R5" s="41"/>
      <c r="S5" s="41"/>
      <c r="T5" s="22">
        <v>4.3570000000000002</v>
      </c>
      <c r="U5" s="22">
        <v>4.2969999999999997</v>
      </c>
      <c r="V5" s="22">
        <v>3.702</v>
      </c>
      <c r="W5" s="22">
        <v>3.6629999999999998</v>
      </c>
      <c r="X5" s="121">
        <v>3.8929999999999998</v>
      </c>
      <c r="Y5" s="121">
        <v>3.27</v>
      </c>
      <c r="Z5" s="121">
        <v>3.5579999999999998</v>
      </c>
      <c r="AA5" s="121">
        <v>3.5920000000000001</v>
      </c>
      <c r="AB5" s="121">
        <v>3.49</v>
      </c>
      <c r="AC5" s="121">
        <v>3.4710000000000001</v>
      </c>
      <c r="AD5" s="121">
        <v>3.5630000000000002</v>
      </c>
    </row>
    <row r="6" spans="1:30">
      <c r="A6" s="1">
        <f t="shared" si="1"/>
        <v>4</v>
      </c>
      <c r="B6" s="20"/>
      <c r="C6" s="4">
        <v>2</v>
      </c>
      <c r="D6" s="4">
        <f t="shared" si="0"/>
        <v>12</v>
      </c>
      <c r="E6" s="4" t="s">
        <v>484</v>
      </c>
      <c r="F6" s="4">
        <v>2</v>
      </c>
      <c r="G6" s="4" t="s">
        <v>11</v>
      </c>
      <c r="H6" s="4"/>
      <c r="I6" s="1">
        <v>0.121</v>
      </c>
      <c r="J6" s="38">
        <v>3.544</v>
      </c>
      <c r="K6" s="7" t="s">
        <v>220</v>
      </c>
      <c r="L6" s="4" t="s">
        <v>13</v>
      </c>
      <c r="M6" s="22">
        <v>3.5489999999999999</v>
      </c>
      <c r="N6" s="1" t="s">
        <v>184</v>
      </c>
      <c r="O6" s="3"/>
      <c r="P6" s="22">
        <v>3.6160000000000001</v>
      </c>
      <c r="Q6" s="22">
        <v>3.371</v>
      </c>
      <c r="R6" s="22">
        <v>3.6120000000000001</v>
      </c>
      <c r="S6" s="22">
        <v>3.617</v>
      </c>
      <c r="T6" s="22">
        <v>3.5760000000000001</v>
      </c>
      <c r="U6" s="22">
        <v>3.5739999999999998</v>
      </c>
      <c r="V6" s="22">
        <v>3.569</v>
      </c>
      <c r="W6" s="22">
        <v>3.5659999999999998</v>
      </c>
      <c r="X6" s="121">
        <v>3.63</v>
      </c>
      <c r="Y6" s="121">
        <v>3.3149999999999999</v>
      </c>
      <c r="Z6" s="121">
        <v>3.6059999999999999</v>
      </c>
      <c r="AA6" s="121">
        <v>3.5990000000000002</v>
      </c>
      <c r="AB6" s="121">
        <v>3.532</v>
      </c>
      <c r="AC6" s="121">
        <v>3.4980000000000002</v>
      </c>
      <c r="AD6" s="121">
        <v>3.605</v>
      </c>
    </row>
    <row r="7" spans="1:30">
      <c r="A7" s="1">
        <f t="shared" si="1"/>
        <v>5</v>
      </c>
      <c r="B7" s="20"/>
      <c r="C7" s="4">
        <v>2</v>
      </c>
      <c r="D7" s="4">
        <f t="shared" si="0"/>
        <v>12</v>
      </c>
      <c r="E7" s="4" t="s">
        <v>464</v>
      </c>
      <c r="F7" s="4">
        <v>2</v>
      </c>
      <c r="G7" s="4" t="s">
        <v>11</v>
      </c>
      <c r="H7" s="4" t="s">
        <v>320</v>
      </c>
      <c r="I7" s="33"/>
      <c r="J7" s="38">
        <v>3.9870000000000001</v>
      </c>
      <c r="K7" s="7" t="s">
        <v>220</v>
      </c>
      <c r="L7" s="4" t="s">
        <v>13</v>
      </c>
      <c r="M7" s="22">
        <v>4</v>
      </c>
      <c r="N7" s="1" t="s">
        <v>184</v>
      </c>
      <c r="O7" s="3"/>
      <c r="P7" s="22">
        <v>4.7290000000000001</v>
      </c>
      <c r="Q7" s="22">
        <v>3.8650000000000002</v>
      </c>
      <c r="R7" s="22">
        <v>4.6680000000000001</v>
      </c>
      <c r="S7" s="22">
        <v>4.6289999999999996</v>
      </c>
      <c r="T7" s="22">
        <v>4.508</v>
      </c>
      <c r="U7" s="22">
        <v>4.49</v>
      </c>
      <c r="V7" s="22">
        <v>4.2939999999999996</v>
      </c>
      <c r="W7" s="22">
        <v>4.2859999999999996</v>
      </c>
      <c r="X7" s="22">
        <v>3.8839999999999999</v>
      </c>
      <c r="Y7" s="22">
        <v>3.7759999999999998</v>
      </c>
      <c r="Z7" s="22">
        <v>3.996</v>
      </c>
      <c r="AA7" s="121">
        <v>4.04</v>
      </c>
      <c r="AB7" s="121">
        <v>4</v>
      </c>
      <c r="AC7" s="121">
        <v>3.9849999999999999</v>
      </c>
      <c r="AD7" s="121">
        <v>4.0359999999999996</v>
      </c>
    </row>
    <row r="8" spans="1:30">
      <c r="A8" s="1">
        <f t="shared" si="1"/>
        <v>6</v>
      </c>
      <c r="B8" s="20"/>
      <c r="C8" s="4">
        <v>2</v>
      </c>
      <c r="D8" s="4">
        <f t="shared" si="0"/>
        <v>12</v>
      </c>
      <c r="E8" s="4" t="s">
        <v>464</v>
      </c>
      <c r="F8" s="4">
        <v>2</v>
      </c>
      <c r="G8" s="4" t="s">
        <v>11</v>
      </c>
      <c r="H8" s="4" t="s">
        <v>320</v>
      </c>
      <c r="I8" s="33"/>
      <c r="J8" s="38">
        <v>4.532</v>
      </c>
      <c r="K8" s="7" t="s">
        <v>220</v>
      </c>
      <c r="L8" s="4" t="s">
        <v>13</v>
      </c>
      <c r="M8" s="22">
        <v>4.5419999999999998</v>
      </c>
      <c r="N8" s="1" t="s">
        <v>184</v>
      </c>
      <c r="O8" s="3"/>
      <c r="P8" s="41"/>
      <c r="Q8" s="22">
        <v>4.4969999999999999</v>
      </c>
      <c r="R8" s="41"/>
      <c r="S8" s="41"/>
      <c r="T8" s="41"/>
      <c r="U8" s="41"/>
      <c r="V8" s="22">
        <v>5.1369999999999996</v>
      </c>
      <c r="W8" s="22">
        <v>5.1100000000000003</v>
      </c>
      <c r="X8" s="121">
        <v>4.5119999999999996</v>
      </c>
      <c r="Y8" s="121">
        <v>4.383</v>
      </c>
      <c r="Z8" s="121">
        <v>4.6440000000000001</v>
      </c>
      <c r="AA8" s="121">
        <v>4.6449999999999996</v>
      </c>
      <c r="AB8" s="121">
        <v>4.5830000000000002</v>
      </c>
      <c r="AC8" s="121">
        <v>4.5460000000000003</v>
      </c>
      <c r="AD8" s="121">
        <v>4.6340000000000003</v>
      </c>
    </row>
    <row r="9" spans="1:30">
      <c r="A9" s="1">
        <f t="shared" si="1"/>
        <v>7</v>
      </c>
      <c r="B9" s="20"/>
      <c r="C9" s="4">
        <v>2</v>
      </c>
      <c r="D9" s="4">
        <f t="shared" si="0"/>
        <v>12</v>
      </c>
      <c r="E9" s="4" t="s">
        <v>465</v>
      </c>
      <c r="F9" s="4">
        <v>2</v>
      </c>
      <c r="G9" s="4" t="s">
        <v>11</v>
      </c>
      <c r="H9" s="4"/>
      <c r="I9" s="1">
        <v>9.5000000000000001E-2</v>
      </c>
      <c r="J9" s="38">
        <v>4.5720000000000001</v>
      </c>
      <c r="K9" s="7" t="s">
        <v>220</v>
      </c>
      <c r="L9" s="4" t="s">
        <v>13</v>
      </c>
      <c r="M9" s="22">
        <v>4.5679999999999996</v>
      </c>
      <c r="N9" s="1" t="s">
        <v>184</v>
      </c>
      <c r="O9" s="3"/>
      <c r="P9" s="22">
        <v>4.6420000000000003</v>
      </c>
      <c r="Q9" s="22">
        <v>4.4359999999999999</v>
      </c>
      <c r="R9" s="41"/>
      <c r="S9" s="41"/>
      <c r="T9" s="22">
        <v>4.7750000000000004</v>
      </c>
      <c r="U9" s="22">
        <v>4.7430000000000003</v>
      </c>
      <c r="V9" s="22">
        <v>4.6210000000000004</v>
      </c>
      <c r="W9" s="22">
        <v>4.6159999999999997</v>
      </c>
      <c r="X9" s="121">
        <v>5.4660000000000002</v>
      </c>
      <c r="Y9" s="121">
        <v>4.4749999999999996</v>
      </c>
      <c r="Z9" s="121">
        <v>4.8460000000000001</v>
      </c>
      <c r="AA9" s="121">
        <v>4.8230000000000004</v>
      </c>
      <c r="AB9" s="121">
        <v>4.6520000000000001</v>
      </c>
      <c r="AC9" s="121">
        <v>4.681</v>
      </c>
      <c r="AD9" s="121">
        <v>4.8170000000000002</v>
      </c>
    </row>
    <row r="10" spans="1:30">
      <c r="A10" s="1">
        <f t="shared" si="1"/>
        <v>8</v>
      </c>
      <c r="B10" s="20"/>
      <c r="C10" s="4">
        <v>2</v>
      </c>
      <c r="D10" s="4">
        <f t="shared" si="0"/>
        <v>12</v>
      </c>
      <c r="E10" s="4" t="s">
        <v>466</v>
      </c>
      <c r="F10" s="4">
        <v>2</v>
      </c>
      <c r="G10" s="4" t="s">
        <v>207</v>
      </c>
      <c r="H10" s="4"/>
      <c r="I10" s="1">
        <v>7.0000000000000001E-3</v>
      </c>
      <c r="J10" s="38">
        <v>4.7969999999999997</v>
      </c>
      <c r="K10" s="7" t="s">
        <v>220</v>
      </c>
      <c r="L10" s="4" t="s">
        <v>13</v>
      </c>
      <c r="M10" s="22">
        <v>4.806</v>
      </c>
      <c r="N10" s="1" t="s">
        <v>184</v>
      </c>
      <c r="O10" s="3"/>
      <c r="P10" s="22">
        <v>5.2969999999999997</v>
      </c>
      <c r="Q10" s="41"/>
      <c r="R10" s="22">
        <v>5.24</v>
      </c>
      <c r="S10" s="22">
        <v>5.2149999999999999</v>
      </c>
      <c r="T10" s="22">
        <v>5.0960000000000001</v>
      </c>
      <c r="U10" s="22">
        <v>5.0830000000000002</v>
      </c>
      <c r="V10" s="22">
        <v>4.9130000000000003</v>
      </c>
      <c r="W10" s="22">
        <v>4.907</v>
      </c>
      <c r="X10" s="22">
        <v>5.0350000000000001</v>
      </c>
      <c r="Y10" s="22">
        <v>4.7690000000000001</v>
      </c>
      <c r="Z10" s="22">
        <v>5.0510000000000002</v>
      </c>
      <c r="AA10" s="121">
        <v>5.0490000000000004</v>
      </c>
      <c r="AB10" s="121">
        <v>4.9779999999999998</v>
      </c>
      <c r="AC10" s="121">
        <v>4.9720000000000004</v>
      </c>
      <c r="AD10" s="121">
        <v>5.0599999999999996</v>
      </c>
    </row>
    <row r="11" spans="1:30">
      <c r="A11" s="1">
        <f t="shared" si="1"/>
        <v>9</v>
      </c>
      <c r="B11" s="20"/>
      <c r="C11" s="4">
        <v>2</v>
      </c>
      <c r="D11" s="4">
        <f t="shared" si="0"/>
        <v>12</v>
      </c>
      <c r="E11" s="4" t="s">
        <v>466</v>
      </c>
      <c r="F11" s="4">
        <v>2</v>
      </c>
      <c r="G11" s="4" t="s">
        <v>14</v>
      </c>
      <c r="H11" s="4" t="s">
        <v>321</v>
      </c>
      <c r="I11" s="1" t="s">
        <v>170</v>
      </c>
      <c r="J11" s="38">
        <v>5.1710000000000003</v>
      </c>
      <c r="K11" s="7" t="s">
        <v>220</v>
      </c>
      <c r="L11" s="4" t="s">
        <v>13</v>
      </c>
      <c r="M11" s="22">
        <v>5.1710000000000003</v>
      </c>
      <c r="N11" s="1" t="s">
        <v>184</v>
      </c>
      <c r="O11" s="3"/>
      <c r="P11" s="41"/>
      <c r="Q11" s="41"/>
      <c r="R11" s="41"/>
      <c r="S11" s="41"/>
      <c r="T11" s="41"/>
      <c r="U11" s="41"/>
      <c r="V11" s="41"/>
      <c r="W11" s="41"/>
      <c r="X11" s="22">
        <v>4.91</v>
      </c>
      <c r="Y11" s="22">
        <v>5.0519999999999996</v>
      </c>
      <c r="Z11" s="121">
        <v>5.1849999999999996</v>
      </c>
      <c r="AA11" s="121">
        <v>5.165</v>
      </c>
      <c r="AB11" s="121">
        <v>5.1470000000000002</v>
      </c>
      <c r="AC11" s="121">
        <v>5.1859999999999999</v>
      </c>
      <c r="AD11" s="121">
        <v>5.2270000000000003</v>
      </c>
    </row>
    <row r="12" spans="1:30">
      <c r="A12" s="1">
        <f t="shared" si="1"/>
        <v>10</v>
      </c>
      <c r="B12" s="20"/>
      <c r="C12" s="4">
        <v>2</v>
      </c>
      <c r="D12" s="4">
        <f t="shared" si="0"/>
        <v>12</v>
      </c>
      <c r="E12" s="4" t="s">
        <v>466</v>
      </c>
      <c r="F12" s="4">
        <v>2</v>
      </c>
      <c r="G12" s="4" t="s">
        <v>14</v>
      </c>
      <c r="H12" s="4"/>
      <c r="I12" s="1">
        <v>4.0000000000000001E-3</v>
      </c>
      <c r="J12" s="38">
        <v>5.4749999999999996</v>
      </c>
      <c r="K12" s="7" t="s">
        <v>220</v>
      </c>
      <c r="L12" s="4" t="s">
        <v>13</v>
      </c>
      <c r="M12" s="22">
        <v>5.47</v>
      </c>
      <c r="N12" s="1" t="s">
        <v>184</v>
      </c>
      <c r="O12" s="3"/>
      <c r="P12" s="22">
        <v>5.4509999999999996</v>
      </c>
      <c r="Q12" s="41"/>
      <c r="R12" s="22">
        <v>5.4370000000000003</v>
      </c>
      <c r="S12" s="22">
        <v>5.4359999999999999</v>
      </c>
      <c r="T12" s="22">
        <v>5.5609999999999999</v>
      </c>
      <c r="U12" s="22">
        <v>5.5609999999999999</v>
      </c>
      <c r="V12" s="22">
        <v>5.516</v>
      </c>
      <c r="W12" s="22">
        <v>5.5090000000000003</v>
      </c>
      <c r="X12" s="121">
        <v>5.734</v>
      </c>
      <c r="Y12" s="121">
        <v>5.3319999999999999</v>
      </c>
      <c r="Z12" s="121">
        <v>5.6589999999999998</v>
      </c>
      <c r="AA12" s="121">
        <v>5.6550000000000002</v>
      </c>
      <c r="AB12" s="121">
        <v>5.5439999999999996</v>
      </c>
      <c r="AC12" s="121">
        <v>5.508</v>
      </c>
      <c r="AD12" s="121">
        <v>5.625</v>
      </c>
    </row>
    <row r="13" spans="1:30">
      <c r="A13" s="1">
        <f t="shared" si="1"/>
        <v>11</v>
      </c>
      <c r="B13" s="20"/>
      <c r="C13" s="4">
        <v>2</v>
      </c>
      <c r="D13" s="4">
        <f t="shared" si="0"/>
        <v>12</v>
      </c>
      <c r="E13" s="4" t="s">
        <v>466</v>
      </c>
      <c r="F13" s="4">
        <v>2</v>
      </c>
      <c r="G13" s="4" t="s">
        <v>14</v>
      </c>
      <c r="H13" s="4"/>
      <c r="I13" s="1">
        <v>0.20599999999999999</v>
      </c>
      <c r="J13" s="38">
        <v>5.577</v>
      </c>
      <c r="K13" s="7" t="s">
        <v>220</v>
      </c>
      <c r="L13" s="4" t="s">
        <v>13</v>
      </c>
      <c r="M13" s="22">
        <v>5.569</v>
      </c>
      <c r="N13" s="1" t="s">
        <v>184</v>
      </c>
      <c r="O13" s="3"/>
      <c r="P13" s="22">
        <v>5.5960000000000001</v>
      </c>
      <c r="Q13" s="41"/>
      <c r="R13" s="22">
        <v>5.57</v>
      </c>
      <c r="S13" s="22">
        <v>5.5670000000000002</v>
      </c>
      <c r="T13" s="22">
        <v>5.6260000000000003</v>
      </c>
      <c r="U13" s="22">
        <v>5.625</v>
      </c>
      <c r="V13" s="22">
        <v>5.5549999999999997</v>
      </c>
      <c r="W13" s="22">
        <v>5.5510000000000002</v>
      </c>
      <c r="X13" s="22">
        <v>5.34</v>
      </c>
      <c r="Y13" s="22">
        <v>5.29</v>
      </c>
      <c r="Z13" s="22">
        <v>5.4720000000000004</v>
      </c>
      <c r="AA13" s="121">
        <v>5.46</v>
      </c>
      <c r="AB13" s="121">
        <v>5.4219999999999997</v>
      </c>
      <c r="AC13" s="121">
        <v>5.4580000000000002</v>
      </c>
      <c r="AD13" s="121">
        <v>5.5090000000000003</v>
      </c>
    </row>
    <row r="14" spans="1:30">
      <c r="A14" s="1">
        <f t="shared" si="1"/>
        <v>12</v>
      </c>
      <c r="B14" s="20"/>
      <c r="C14" s="4">
        <v>2</v>
      </c>
      <c r="D14" s="4">
        <f t="shared" si="0"/>
        <v>12</v>
      </c>
      <c r="E14" s="4" t="s">
        <v>467</v>
      </c>
      <c r="F14" s="4">
        <v>4</v>
      </c>
      <c r="G14" s="4" t="s">
        <v>11</v>
      </c>
      <c r="H14" s="4"/>
      <c r="I14" s="33"/>
      <c r="J14" s="38">
        <v>2.085</v>
      </c>
      <c r="K14" s="7" t="s">
        <v>220</v>
      </c>
      <c r="L14" s="4" t="s">
        <v>13</v>
      </c>
      <c r="M14" s="22">
        <v>2.0960000000000001</v>
      </c>
      <c r="N14" s="1" t="s">
        <v>184</v>
      </c>
      <c r="O14" s="3"/>
      <c r="P14" s="22">
        <v>2.0289999999999999</v>
      </c>
      <c r="Q14" s="22">
        <v>2.0590000000000002</v>
      </c>
      <c r="R14" s="22">
        <v>2.0299999999999998</v>
      </c>
      <c r="S14" s="22">
        <v>2.0310000000000001</v>
      </c>
      <c r="T14" s="22">
        <v>2.1659999999999999</v>
      </c>
      <c r="U14" s="22">
        <v>2.1659999999999999</v>
      </c>
      <c r="V14" s="22">
        <v>2.1560000000000001</v>
      </c>
      <c r="W14" s="22">
        <v>2.1539999999999999</v>
      </c>
      <c r="X14" s="121">
        <v>1.6910000000000001</v>
      </c>
      <c r="Y14" s="121">
        <v>1.9259999999999999</v>
      </c>
      <c r="Z14" s="121">
        <v>1.984</v>
      </c>
      <c r="AA14" s="121">
        <v>1.9370000000000001</v>
      </c>
      <c r="AB14" s="121">
        <v>1.9470000000000001</v>
      </c>
      <c r="AC14" s="121">
        <v>1.984</v>
      </c>
      <c r="AD14" s="122">
        <v>2.0099999999999998</v>
      </c>
    </row>
    <row r="15" spans="1:30">
      <c r="A15" s="1">
        <f t="shared" si="1"/>
        <v>13</v>
      </c>
      <c r="B15" s="20"/>
      <c r="C15" s="4">
        <v>2</v>
      </c>
      <c r="D15" s="4">
        <f t="shared" si="0"/>
        <v>12</v>
      </c>
      <c r="E15" s="4" t="s">
        <v>522</v>
      </c>
      <c r="F15" s="4">
        <v>4</v>
      </c>
      <c r="G15" s="4" t="s">
        <v>11</v>
      </c>
      <c r="H15" s="4"/>
      <c r="I15" s="33"/>
      <c r="J15" s="38">
        <v>2.5750000000000002</v>
      </c>
      <c r="K15" s="7" t="s">
        <v>220</v>
      </c>
      <c r="L15" s="4" t="s">
        <v>13</v>
      </c>
      <c r="M15" s="22">
        <v>2.5819999999999999</v>
      </c>
      <c r="N15" s="1" t="s">
        <v>184</v>
      </c>
      <c r="O15" s="3"/>
      <c r="P15" s="22">
        <v>2.9009999999999998</v>
      </c>
      <c r="Q15" s="22">
        <v>2.2229999999999999</v>
      </c>
      <c r="R15" s="22">
        <v>2.887</v>
      </c>
      <c r="S15" s="22">
        <v>2.879</v>
      </c>
      <c r="T15" s="22">
        <v>2.875</v>
      </c>
      <c r="U15" s="22">
        <v>2.863</v>
      </c>
      <c r="V15" s="22">
        <v>2.74</v>
      </c>
      <c r="W15" s="22">
        <v>2.7250000000000001</v>
      </c>
      <c r="X15" s="121">
        <v>2.48</v>
      </c>
      <c r="Y15" s="121">
        <v>2.4990000000000001</v>
      </c>
      <c r="Z15" s="121">
        <v>2.5550000000000002</v>
      </c>
      <c r="AA15" s="121">
        <v>2.5550000000000002</v>
      </c>
      <c r="AB15" s="121">
        <v>2.5659999999999998</v>
      </c>
      <c r="AC15" s="121">
        <v>2.5390000000000001</v>
      </c>
      <c r="AD15" s="122">
        <v>2.5630000000000002</v>
      </c>
    </row>
    <row r="16" spans="1:30">
      <c r="A16" s="1">
        <f t="shared" si="1"/>
        <v>14</v>
      </c>
      <c r="B16" s="20"/>
      <c r="C16" s="4">
        <v>2</v>
      </c>
      <c r="D16" s="4">
        <f t="shared" si="0"/>
        <v>12</v>
      </c>
      <c r="E16" s="4" t="s">
        <v>489</v>
      </c>
      <c r="F16" s="4">
        <v>4</v>
      </c>
      <c r="G16" s="4" t="s">
        <v>207</v>
      </c>
      <c r="H16" s="4"/>
      <c r="I16" s="33"/>
      <c r="J16" s="38">
        <v>4.7030000000000003</v>
      </c>
      <c r="K16" s="7" t="s">
        <v>220</v>
      </c>
      <c r="L16" s="4" t="s">
        <v>13</v>
      </c>
      <c r="M16" s="22">
        <v>4.7119999999999997</v>
      </c>
      <c r="N16" s="1" t="s">
        <v>184</v>
      </c>
      <c r="O16" s="3"/>
      <c r="P16" s="22">
        <v>4.8819999999999997</v>
      </c>
      <c r="Q16" s="41"/>
      <c r="R16" s="22">
        <v>4.8559999999999999</v>
      </c>
      <c r="S16" s="22">
        <v>4.8529999999999998</v>
      </c>
      <c r="T16" s="22">
        <v>4.9109999999999996</v>
      </c>
      <c r="U16" s="22">
        <v>4.9080000000000004</v>
      </c>
      <c r="V16" s="22">
        <v>4.8319999999999999</v>
      </c>
      <c r="W16" s="22">
        <v>4.827</v>
      </c>
      <c r="X16" s="22">
        <v>4.4409999999999998</v>
      </c>
      <c r="Y16" s="22">
        <v>4.5490000000000004</v>
      </c>
      <c r="Z16" s="22">
        <v>4.6379999999999999</v>
      </c>
      <c r="AA16" s="22">
        <v>4.6210000000000004</v>
      </c>
      <c r="AB16" s="22">
        <v>4.6070000000000002</v>
      </c>
      <c r="AC16" s="22">
        <v>4.6390000000000002</v>
      </c>
      <c r="AD16" s="22">
        <v>4.6689999999999996</v>
      </c>
    </row>
    <row r="17" spans="1:30">
      <c r="A17" s="1">
        <f t="shared" si="1"/>
        <v>15</v>
      </c>
      <c r="B17" s="2" t="s">
        <v>463</v>
      </c>
      <c r="C17" s="4">
        <v>3</v>
      </c>
      <c r="D17" s="4">
        <f t="shared" si="0"/>
        <v>35</v>
      </c>
      <c r="E17" s="4" t="s">
        <v>464</v>
      </c>
      <c r="F17" s="4">
        <v>2</v>
      </c>
      <c r="G17" s="4" t="s">
        <v>11</v>
      </c>
      <c r="H17" s="4"/>
      <c r="I17" s="63">
        <v>1E-3</v>
      </c>
      <c r="J17" s="37">
        <v>3.4180000000000001</v>
      </c>
      <c r="K17" s="7" t="s">
        <v>109</v>
      </c>
      <c r="L17" s="4" t="s">
        <v>13</v>
      </c>
      <c r="M17" s="33"/>
      <c r="N17" s="33"/>
      <c r="O17" s="3" t="s">
        <v>205</v>
      </c>
      <c r="P17" s="22">
        <v>4.3380000000000001</v>
      </c>
      <c r="Q17" s="22">
        <v>3.3839999999999999</v>
      </c>
      <c r="R17" s="22">
        <v>4.0730000000000004</v>
      </c>
      <c r="S17" s="22">
        <v>3.5979999999999999</v>
      </c>
      <c r="T17" s="22">
        <v>3.6970000000000001</v>
      </c>
      <c r="U17" s="22">
        <v>3.4830000000000001</v>
      </c>
      <c r="V17" s="22">
        <v>3.4830000000000001</v>
      </c>
      <c r="W17" s="22">
        <v>3.4369999999999998</v>
      </c>
      <c r="X17" s="121">
        <v>3.6659999999999999</v>
      </c>
      <c r="Y17" s="121">
        <v>3.2770000000000001</v>
      </c>
      <c r="Z17" s="121">
        <v>3.45</v>
      </c>
      <c r="AA17" s="121">
        <v>3.55</v>
      </c>
      <c r="AB17" s="121">
        <v>3.54</v>
      </c>
      <c r="AC17" s="121">
        <v>3.38</v>
      </c>
      <c r="AD17" s="122">
        <v>3.4220000000000002</v>
      </c>
    </row>
    <row r="18" spans="1:30">
      <c r="A18" s="1">
        <f t="shared" ref="A18" si="2">A17+1</f>
        <v>16</v>
      </c>
      <c r="B18" s="19"/>
      <c r="C18" s="4">
        <v>3</v>
      </c>
      <c r="D18" s="4">
        <f t="shared" si="0"/>
        <v>35</v>
      </c>
      <c r="E18" s="4" t="s">
        <v>465</v>
      </c>
      <c r="F18" s="4">
        <v>2</v>
      </c>
      <c r="G18" s="4" t="s">
        <v>14</v>
      </c>
      <c r="H18" s="4"/>
      <c r="I18" s="33"/>
      <c r="J18" s="38">
        <v>4.9500000000000011</v>
      </c>
      <c r="K18" s="7" t="s">
        <v>109</v>
      </c>
      <c r="L18" s="4" t="s">
        <v>13</v>
      </c>
      <c r="M18" s="33"/>
      <c r="N18" s="33"/>
      <c r="O18" s="3" t="s">
        <v>205</v>
      </c>
      <c r="P18" s="22">
        <v>5.32</v>
      </c>
      <c r="Q18" s="22">
        <v>5.04</v>
      </c>
      <c r="R18" s="22">
        <v>5.101</v>
      </c>
      <c r="S18" s="22">
        <v>4.88</v>
      </c>
      <c r="T18" s="22">
        <v>5.1150000000000002</v>
      </c>
      <c r="U18" s="22">
        <v>5.01</v>
      </c>
      <c r="V18" s="22">
        <v>4.9669999999999996</v>
      </c>
      <c r="W18" s="22">
        <v>4.9509999999999996</v>
      </c>
      <c r="X18" s="121">
        <v>4.6029999999999998</v>
      </c>
      <c r="Y18" s="121">
        <v>5.1890000000000001</v>
      </c>
      <c r="Z18" s="121">
        <v>5.1120000000000001</v>
      </c>
      <c r="AA18" s="121">
        <v>4.9909999999999997</v>
      </c>
      <c r="AB18" s="121">
        <v>4.9960000000000004</v>
      </c>
      <c r="AC18" s="121">
        <v>5.0010000000000003</v>
      </c>
      <c r="AD18" s="122">
        <v>5.0010000000000003</v>
      </c>
    </row>
    <row r="19" spans="1:30">
      <c r="A19" s="1">
        <f t="shared" ref="A19:A85" si="3">A18+1</f>
        <v>17</v>
      </c>
      <c r="B19" s="2"/>
      <c r="C19" s="4">
        <v>3</v>
      </c>
      <c r="D19" s="4">
        <f t="shared" si="0"/>
        <v>35</v>
      </c>
      <c r="E19" s="4" t="s">
        <v>465</v>
      </c>
      <c r="F19" s="4">
        <v>2</v>
      </c>
      <c r="G19" s="4" t="s">
        <v>14</v>
      </c>
      <c r="H19" s="4"/>
      <c r="I19" s="33"/>
      <c r="J19" s="37">
        <v>5.5030000000000001</v>
      </c>
      <c r="K19" s="7" t="s">
        <v>109</v>
      </c>
      <c r="L19" s="1" t="s">
        <v>13</v>
      </c>
      <c r="M19" s="33"/>
      <c r="N19" s="33"/>
      <c r="O19" s="3" t="s">
        <v>205</v>
      </c>
      <c r="P19" s="22">
        <v>5.8739999999999997</v>
      </c>
      <c r="Q19" s="22">
        <v>5.5979999999999999</v>
      </c>
      <c r="R19" s="22">
        <v>5.649</v>
      </c>
      <c r="S19" s="22">
        <v>5.4219999999999997</v>
      </c>
      <c r="T19" s="22">
        <v>5.6719999999999997</v>
      </c>
      <c r="U19" s="22">
        <v>5.5650000000000004</v>
      </c>
      <c r="V19" s="22">
        <v>5.52</v>
      </c>
      <c r="W19" s="22">
        <v>5.5049999999999999</v>
      </c>
      <c r="X19" s="121">
        <v>4.7919999999999998</v>
      </c>
      <c r="Y19" s="121">
        <v>5.7110000000000003</v>
      </c>
      <c r="Z19" s="121">
        <v>5.5819999999999999</v>
      </c>
      <c r="AA19" s="121">
        <v>5.6230000000000002</v>
      </c>
      <c r="AB19" s="121">
        <v>5.6340000000000003</v>
      </c>
      <c r="AC19" s="121">
        <v>5.5209999999999999</v>
      </c>
      <c r="AD19" s="122">
        <v>5.4989999999999997</v>
      </c>
    </row>
    <row r="20" spans="1:30">
      <c r="A20" s="1">
        <f t="shared" si="3"/>
        <v>18</v>
      </c>
      <c r="B20" s="19"/>
      <c r="C20" s="4">
        <v>3</v>
      </c>
      <c r="D20" s="4">
        <f t="shared" si="0"/>
        <v>35</v>
      </c>
      <c r="E20" s="4" t="s">
        <v>466</v>
      </c>
      <c r="F20" s="4">
        <v>2</v>
      </c>
      <c r="G20" s="4" t="s">
        <v>14</v>
      </c>
      <c r="H20" s="4"/>
      <c r="I20" s="63">
        <v>2.5000000000000001E-2</v>
      </c>
      <c r="J20" s="37">
        <v>5.604000000000001</v>
      </c>
      <c r="K20" s="7" t="s">
        <v>109</v>
      </c>
      <c r="L20" s="1" t="s">
        <v>13</v>
      </c>
      <c r="M20" s="33"/>
      <c r="N20" s="33"/>
      <c r="O20" s="3" t="s">
        <v>205</v>
      </c>
      <c r="P20" s="22">
        <v>5.9320000000000004</v>
      </c>
      <c r="Q20" s="22">
        <v>5.6980000000000004</v>
      </c>
      <c r="R20" s="22">
        <v>5.7160000000000002</v>
      </c>
      <c r="S20" s="22">
        <v>5.5060000000000002</v>
      </c>
      <c r="T20" s="22">
        <v>5.7690000000000001</v>
      </c>
      <c r="U20" s="22">
        <v>5.6669999999999998</v>
      </c>
      <c r="V20" s="22">
        <v>5.6230000000000002</v>
      </c>
      <c r="W20" s="22">
        <v>5.6059999999999999</v>
      </c>
      <c r="X20" s="121">
        <v>5.1879999999999997</v>
      </c>
      <c r="Y20" s="121">
        <v>5.875</v>
      </c>
      <c r="Z20" s="121">
        <v>5.7859999999999996</v>
      </c>
      <c r="AA20" s="121">
        <v>5.6559999999999997</v>
      </c>
      <c r="AB20" s="121">
        <v>5.6609999999999996</v>
      </c>
      <c r="AC20" s="121">
        <v>5.665</v>
      </c>
      <c r="AD20" s="122">
        <v>5.665</v>
      </c>
    </row>
    <row r="21" spans="1:30">
      <c r="A21" s="1">
        <f t="shared" si="3"/>
        <v>19</v>
      </c>
      <c r="B21" s="19"/>
      <c r="C21" s="4">
        <v>3</v>
      </c>
      <c r="D21" s="4">
        <f t="shared" si="0"/>
        <v>35</v>
      </c>
      <c r="E21" s="4" t="s">
        <v>464</v>
      </c>
      <c r="F21" s="4">
        <v>2</v>
      </c>
      <c r="G21" s="4" t="s">
        <v>207</v>
      </c>
      <c r="H21" s="4"/>
      <c r="I21" s="63">
        <v>0.25600000000000001</v>
      </c>
      <c r="J21" s="37">
        <v>5.7349999999999994</v>
      </c>
      <c r="K21" s="7" t="s">
        <v>109</v>
      </c>
      <c r="L21" s="1" t="s">
        <v>13</v>
      </c>
      <c r="M21" s="33"/>
      <c r="N21" s="33"/>
      <c r="O21" s="3" t="s">
        <v>205</v>
      </c>
      <c r="P21" s="22">
        <v>5.9320000000000004</v>
      </c>
      <c r="Q21" s="22">
        <v>5.6660000000000004</v>
      </c>
      <c r="R21" s="22">
        <v>5.83</v>
      </c>
      <c r="S21" s="22">
        <v>5.6920000000000002</v>
      </c>
      <c r="T21" s="22">
        <v>5.8529999999999998</v>
      </c>
      <c r="U21" s="22">
        <v>5.7869999999999999</v>
      </c>
      <c r="V21" s="22">
        <v>5.7469999999999999</v>
      </c>
      <c r="W21" s="22">
        <v>5.7389999999999999</v>
      </c>
      <c r="X21" s="121">
        <v>5.6180000000000003</v>
      </c>
      <c r="Y21" s="121">
        <v>6.1219999999999999</v>
      </c>
      <c r="Z21" s="121">
        <v>6.1040000000000001</v>
      </c>
      <c r="AA21" s="121">
        <v>6.0110000000000001</v>
      </c>
      <c r="AB21" s="121">
        <v>5.9889999999999999</v>
      </c>
      <c r="AC21" s="121">
        <v>5.9909999999999997</v>
      </c>
      <c r="AD21" s="121">
        <v>6.0039999999999996</v>
      </c>
    </row>
    <row r="22" spans="1:30">
      <c r="A22" s="1">
        <f t="shared" si="3"/>
        <v>20</v>
      </c>
      <c r="B22" s="19"/>
      <c r="C22" s="4">
        <v>3</v>
      </c>
      <c r="D22" s="4">
        <f t="shared" si="0"/>
        <v>35</v>
      </c>
      <c r="E22" s="4" t="s">
        <v>465</v>
      </c>
      <c r="F22" s="4">
        <v>2</v>
      </c>
      <c r="G22" s="4" t="s">
        <v>207</v>
      </c>
      <c r="H22" s="4"/>
      <c r="I22" s="119"/>
      <c r="J22" s="37">
        <v>6.2450000000000001</v>
      </c>
      <c r="K22" s="7" t="s">
        <v>109</v>
      </c>
      <c r="L22" s="1" t="s">
        <v>13</v>
      </c>
      <c r="M22" s="33"/>
      <c r="N22" s="33"/>
      <c r="O22" s="3" t="s">
        <v>205</v>
      </c>
      <c r="P22" s="22">
        <v>6.8150000000000004</v>
      </c>
      <c r="Q22" s="22">
        <v>6.4370000000000003</v>
      </c>
      <c r="R22" s="22">
        <v>6.6539999999999999</v>
      </c>
      <c r="S22" s="22">
        <v>6.3849999999999998</v>
      </c>
      <c r="T22" s="22">
        <v>6.508</v>
      </c>
      <c r="U22" s="22">
        <v>6.3780000000000001</v>
      </c>
      <c r="V22" s="22">
        <v>6.298</v>
      </c>
      <c r="W22" s="22">
        <v>6.2590000000000003</v>
      </c>
      <c r="X22" s="121">
        <v>8.0869999999999997</v>
      </c>
      <c r="Y22" s="121">
        <v>6.056</v>
      </c>
      <c r="Z22" s="121">
        <v>6.24</v>
      </c>
      <c r="AA22" s="121">
        <v>5.8280000000000003</v>
      </c>
      <c r="AB22" s="121">
        <v>5.7809999999999997</v>
      </c>
      <c r="AC22" s="121">
        <v>6.4859999999999998</v>
      </c>
      <c r="AD22" s="121">
        <v>6.5250000000000004</v>
      </c>
    </row>
    <row r="23" spans="1:30">
      <c r="A23" s="1">
        <f t="shared" si="3"/>
        <v>21</v>
      </c>
      <c r="B23" s="19"/>
      <c r="C23" s="4">
        <v>3</v>
      </c>
      <c r="D23" s="4">
        <f t="shared" si="0"/>
        <v>35</v>
      </c>
      <c r="E23" s="4" t="s">
        <v>465</v>
      </c>
      <c r="F23" s="4">
        <v>2</v>
      </c>
      <c r="G23" s="4" t="s">
        <v>14</v>
      </c>
      <c r="H23" s="4"/>
      <c r="I23" s="119"/>
      <c r="J23" s="37">
        <v>6.4209999999999985</v>
      </c>
      <c r="K23" s="7" t="s">
        <v>109</v>
      </c>
      <c r="L23" s="1" t="s">
        <v>13</v>
      </c>
      <c r="M23" s="33"/>
      <c r="N23" s="33"/>
      <c r="O23" s="3" t="s">
        <v>205</v>
      </c>
      <c r="P23" s="22">
        <v>6.7220000000000004</v>
      </c>
      <c r="Q23" s="22">
        <v>6.5289999999999999</v>
      </c>
      <c r="R23" s="22">
        <v>6.5069999999999997</v>
      </c>
      <c r="S23" s="22">
        <v>6.2830000000000004</v>
      </c>
      <c r="T23" s="22">
        <v>6.5940000000000003</v>
      </c>
      <c r="U23" s="22">
        <v>6.4829999999999997</v>
      </c>
      <c r="V23" s="22">
        <v>6.4379999999999997</v>
      </c>
      <c r="W23" s="22">
        <v>6.4219999999999997</v>
      </c>
      <c r="X23" s="121">
        <v>5.8250000000000002</v>
      </c>
      <c r="Y23" s="121">
        <v>6.6369999999999996</v>
      </c>
      <c r="Z23" s="121">
        <v>6.53</v>
      </c>
      <c r="AA23" s="121">
        <v>6.492</v>
      </c>
      <c r="AB23" s="121">
        <v>6.4820000000000002</v>
      </c>
      <c r="AC23" s="121">
        <v>6.45</v>
      </c>
      <c r="AD23" s="121">
        <v>6.4349999999999996</v>
      </c>
    </row>
    <row r="24" spans="1:30">
      <c r="A24" s="1">
        <f t="shared" si="3"/>
        <v>22</v>
      </c>
      <c r="B24" s="19"/>
      <c r="C24" s="4">
        <v>3</v>
      </c>
      <c r="D24" s="4">
        <f t="shared" si="0"/>
        <v>35</v>
      </c>
      <c r="E24" s="4" t="s">
        <v>466</v>
      </c>
      <c r="F24" s="4">
        <v>2</v>
      </c>
      <c r="G24" s="4" t="s">
        <v>14</v>
      </c>
      <c r="H24" s="4"/>
      <c r="I24" s="63">
        <v>0</v>
      </c>
      <c r="J24" s="37">
        <v>6.4930000000000012</v>
      </c>
      <c r="K24" s="7" t="s">
        <v>109</v>
      </c>
      <c r="L24" s="1" t="s">
        <v>13</v>
      </c>
      <c r="M24" s="33"/>
      <c r="N24" s="33"/>
      <c r="O24" s="3" t="s">
        <v>205</v>
      </c>
      <c r="P24" s="22">
        <v>6.8330000000000002</v>
      </c>
      <c r="Q24" s="22">
        <v>6.6120000000000001</v>
      </c>
      <c r="R24" s="22">
        <v>6.6139999999999999</v>
      </c>
      <c r="S24" s="22">
        <v>6.4009999999999998</v>
      </c>
      <c r="T24" s="22">
        <v>6.6779999999999999</v>
      </c>
      <c r="U24" s="22">
        <v>6.5730000000000004</v>
      </c>
      <c r="V24" s="22">
        <v>6.524</v>
      </c>
      <c r="W24" s="22">
        <v>6.4989999999999997</v>
      </c>
      <c r="X24" s="121">
        <v>5.9349999999999996</v>
      </c>
      <c r="Y24" s="121">
        <v>6.7590000000000003</v>
      </c>
      <c r="Z24" s="121">
        <v>6.6520000000000001</v>
      </c>
      <c r="AA24" s="121">
        <v>6.577</v>
      </c>
      <c r="AB24" s="121">
        <v>6.5679999999999996</v>
      </c>
      <c r="AC24" s="121">
        <v>6.5620000000000003</v>
      </c>
      <c r="AD24" s="121">
        <v>6.55</v>
      </c>
    </row>
    <row r="25" spans="1:30">
      <c r="A25" s="1">
        <f t="shared" si="3"/>
        <v>23</v>
      </c>
      <c r="B25" s="19"/>
      <c r="C25" s="4">
        <v>3</v>
      </c>
      <c r="D25" s="4">
        <f t="shared" si="0"/>
        <v>35</v>
      </c>
      <c r="E25" s="4" t="s">
        <v>464</v>
      </c>
      <c r="F25" s="4">
        <v>2</v>
      </c>
      <c r="G25" s="4" t="s">
        <v>207</v>
      </c>
      <c r="H25" s="4"/>
      <c r="I25" s="63">
        <v>5.3999999999999999E-2</v>
      </c>
      <c r="J25" s="37">
        <v>6.5379999999999994</v>
      </c>
      <c r="K25" s="7" t="s">
        <v>109</v>
      </c>
      <c r="L25" s="1" t="s">
        <v>13</v>
      </c>
      <c r="M25" s="33"/>
      <c r="N25" s="33"/>
      <c r="O25" s="3" t="s">
        <v>205</v>
      </c>
      <c r="P25" s="22">
        <v>6.8170000000000002</v>
      </c>
      <c r="Q25" s="22">
        <v>6.54</v>
      </c>
      <c r="R25" s="22">
        <v>6.665</v>
      </c>
      <c r="S25" s="22">
        <v>6.5279999999999996</v>
      </c>
      <c r="T25" s="22">
        <v>6.68</v>
      </c>
      <c r="U25" s="22">
        <v>6.6210000000000004</v>
      </c>
      <c r="V25" s="22">
        <v>6.5579999999999998</v>
      </c>
      <c r="W25" s="22">
        <v>6.5469999999999997</v>
      </c>
      <c r="X25" s="121">
        <v>6.6740000000000004</v>
      </c>
      <c r="Y25" s="121">
        <v>6.9690000000000003</v>
      </c>
      <c r="Z25" s="121">
        <v>7.0019999999999998</v>
      </c>
      <c r="AA25" s="121">
        <v>6.883</v>
      </c>
      <c r="AB25" s="121">
        <v>6.8449999999999998</v>
      </c>
      <c r="AC25" s="121">
        <v>6.9219999999999997</v>
      </c>
      <c r="AD25" s="121">
        <v>6.944</v>
      </c>
    </row>
    <row r="26" spans="1:30">
      <c r="A26" s="1">
        <f t="shared" si="3"/>
        <v>24</v>
      </c>
      <c r="B26" s="31"/>
      <c r="C26" s="4">
        <v>3</v>
      </c>
      <c r="D26" s="4">
        <f t="shared" si="0"/>
        <v>35</v>
      </c>
      <c r="E26" s="4" t="s">
        <v>466</v>
      </c>
      <c r="F26" s="4">
        <v>2</v>
      </c>
      <c r="G26" s="4" t="s">
        <v>11</v>
      </c>
      <c r="H26" s="4"/>
      <c r="I26" s="63">
        <v>1E-3</v>
      </c>
      <c r="J26" s="38">
        <v>6.5609999999999999</v>
      </c>
      <c r="K26" s="7" t="s">
        <v>109</v>
      </c>
      <c r="L26" s="4" t="s">
        <v>13</v>
      </c>
      <c r="M26" s="33"/>
      <c r="N26" s="33"/>
      <c r="O26" s="3" t="s">
        <v>205</v>
      </c>
      <c r="P26" s="22">
        <v>7.05</v>
      </c>
      <c r="Q26" s="22">
        <v>6.702</v>
      </c>
      <c r="R26" s="22">
        <v>6.8890000000000002</v>
      </c>
      <c r="S26" s="22">
        <v>6.6289999999999996</v>
      </c>
      <c r="T26" s="22">
        <v>6.7919999999999998</v>
      </c>
      <c r="U26" s="22">
        <v>6.6630000000000003</v>
      </c>
      <c r="V26" s="22">
        <v>6.593</v>
      </c>
      <c r="W26" s="22">
        <v>6.5679999999999996</v>
      </c>
      <c r="X26" s="121">
        <v>7.9939999999999998</v>
      </c>
      <c r="Y26" s="121">
        <v>6.3739999999999997</v>
      </c>
      <c r="Z26" s="121">
        <v>6.5129999999999999</v>
      </c>
      <c r="AA26" s="121">
        <v>6.3029999999999999</v>
      </c>
      <c r="AB26" s="121">
        <v>6.2750000000000004</v>
      </c>
      <c r="AC26" s="121">
        <v>6.7949999999999999</v>
      </c>
      <c r="AD26" s="121">
        <v>6.8070000000000004</v>
      </c>
    </row>
    <row r="27" spans="1:30">
      <c r="A27" s="1">
        <f t="shared" si="3"/>
        <v>25</v>
      </c>
      <c r="B27" s="31"/>
      <c r="C27" s="4">
        <v>3</v>
      </c>
      <c r="D27" s="4">
        <f t="shared" si="0"/>
        <v>35</v>
      </c>
      <c r="E27" s="4" t="s">
        <v>467</v>
      </c>
      <c r="F27" s="4">
        <v>4</v>
      </c>
      <c r="G27" s="4" t="s">
        <v>11</v>
      </c>
      <c r="H27" s="4"/>
      <c r="I27" s="119"/>
      <c r="J27" s="38">
        <v>6.0120000000000005</v>
      </c>
      <c r="K27" s="7" t="s">
        <v>109</v>
      </c>
      <c r="L27" s="4" t="s">
        <v>13</v>
      </c>
      <c r="M27" s="33"/>
      <c r="N27" s="33"/>
      <c r="O27" s="3" t="s">
        <v>205</v>
      </c>
      <c r="P27" s="22">
        <v>7.12</v>
      </c>
      <c r="Q27" s="22">
        <v>5.4779999999999998</v>
      </c>
      <c r="R27" s="22">
        <v>7.08</v>
      </c>
      <c r="S27" s="22">
        <v>6.8689999999999998</v>
      </c>
      <c r="T27" s="22">
        <v>6.6130000000000004</v>
      </c>
      <c r="U27" s="22">
        <v>6.5229999999999997</v>
      </c>
      <c r="V27" s="22">
        <v>6.2089999999999996</v>
      </c>
      <c r="W27" s="22">
        <v>6.1529999999999996</v>
      </c>
      <c r="X27" s="121">
        <v>5.5030000000000001</v>
      </c>
      <c r="Y27" s="121">
        <v>5.8959999999999999</v>
      </c>
      <c r="Z27" s="121">
        <v>6.0030000000000001</v>
      </c>
      <c r="AA27" s="121">
        <v>6.1870000000000003</v>
      </c>
      <c r="AB27" s="121">
        <v>6.1849999999999996</v>
      </c>
      <c r="AC27" s="121">
        <v>5.8369999999999997</v>
      </c>
      <c r="AD27" s="122">
        <v>5.8810000000000002</v>
      </c>
    </row>
    <row r="28" spans="1:30">
      <c r="A28" s="1">
        <f t="shared" si="3"/>
        <v>26</v>
      </c>
      <c r="B28" s="31" t="s">
        <v>477</v>
      </c>
      <c r="C28" s="4">
        <v>2</v>
      </c>
      <c r="D28" s="4">
        <f t="shared" si="0"/>
        <v>12</v>
      </c>
      <c r="E28" s="4" t="s">
        <v>478</v>
      </c>
      <c r="F28" s="4">
        <v>2</v>
      </c>
      <c r="G28" s="4" t="s">
        <v>11</v>
      </c>
      <c r="I28" s="63">
        <v>0.36199999999999999</v>
      </c>
      <c r="J28" s="120">
        <v>4.145999999999999</v>
      </c>
      <c r="K28" s="7" t="s">
        <v>204</v>
      </c>
      <c r="L28" s="4" t="s">
        <v>13</v>
      </c>
      <c r="M28" s="22">
        <v>4.134999999999998</v>
      </c>
      <c r="N28" s="1" t="s">
        <v>184</v>
      </c>
      <c r="P28" s="22">
        <v>4.21</v>
      </c>
      <c r="Q28" s="22">
        <v>4.1100000000000003</v>
      </c>
      <c r="R28" s="22">
        <v>4.1980000000000004</v>
      </c>
      <c r="S28" s="22">
        <v>4.1959999999999997</v>
      </c>
      <c r="T28" s="22">
        <v>4.1760000000000002</v>
      </c>
      <c r="U28" s="22">
        <v>4.1749999999999998</v>
      </c>
      <c r="V28" s="22">
        <v>4.1440000000000001</v>
      </c>
      <c r="W28" s="22">
        <v>4.1440000000000001</v>
      </c>
      <c r="X28" s="22">
        <v>4.2279999999999998</v>
      </c>
      <c r="Y28" s="22">
        <v>4.1609999999999996</v>
      </c>
      <c r="Z28" s="22">
        <v>4.1710000000000003</v>
      </c>
      <c r="AA28" s="22">
        <v>4.181</v>
      </c>
      <c r="AB28" s="22">
        <v>4.1740000000000004</v>
      </c>
      <c r="AC28" s="22">
        <v>4.1630000000000003</v>
      </c>
      <c r="AD28" s="22">
        <v>4.1660000000000004</v>
      </c>
    </row>
    <row r="29" spans="1:30">
      <c r="A29" s="1">
        <f t="shared" si="3"/>
        <v>27</v>
      </c>
      <c r="B29" s="31"/>
      <c r="C29" s="4">
        <v>2</v>
      </c>
      <c r="D29" s="4">
        <f t="shared" si="0"/>
        <v>12</v>
      </c>
      <c r="E29" s="4" t="s">
        <v>479</v>
      </c>
      <c r="F29" s="4">
        <v>2</v>
      </c>
      <c r="G29" s="4" t="s">
        <v>14</v>
      </c>
      <c r="I29" s="63">
        <v>6.3E-2</v>
      </c>
      <c r="J29" s="120">
        <v>6.2080000000000011</v>
      </c>
      <c r="K29" s="7" t="s">
        <v>204</v>
      </c>
      <c r="L29" s="4" t="s">
        <v>13</v>
      </c>
      <c r="M29" s="22">
        <v>6.2060000000000004</v>
      </c>
      <c r="N29" s="1" t="s">
        <v>184</v>
      </c>
      <c r="P29" s="22">
        <v>6.3470000000000004</v>
      </c>
      <c r="Q29" s="22">
        <v>6.2130000000000001</v>
      </c>
      <c r="R29" s="22">
        <v>6.3070000000000004</v>
      </c>
      <c r="S29" s="22">
        <v>6.306</v>
      </c>
      <c r="T29" s="22">
        <v>6.2969999999999997</v>
      </c>
      <c r="U29" s="22">
        <v>6.2969999999999997</v>
      </c>
      <c r="V29" s="22">
        <v>6.1909999999999998</v>
      </c>
      <c r="W29" s="22">
        <v>6.1909999999999998</v>
      </c>
      <c r="X29" s="22">
        <v>6.202</v>
      </c>
      <c r="Y29" s="22">
        <v>6.1719999999999997</v>
      </c>
      <c r="Z29" s="22">
        <v>6.1870000000000003</v>
      </c>
      <c r="AA29" s="22">
        <v>6.2149999999999999</v>
      </c>
      <c r="AB29" s="22">
        <v>6.218</v>
      </c>
      <c r="AC29" s="22">
        <v>6.2110000000000003</v>
      </c>
      <c r="AD29" s="22">
        <v>6.2089999999999996</v>
      </c>
    </row>
    <row r="30" spans="1:30">
      <c r="A30" s="1">
        <f t="shared" si="3"/>
        <v>28</v>
      </c>
      <c r="B30" s="31"/>
      <c r="C30" s="4">
        <v>2</v>
      </c>
      <c r="D30" s="4">
        <f t="shared" si="0"/>
        <v>12</v>
      </c>
      <c r="E30" s="4" t="s">
        <v>479</v>
      </c>
      <c r="F30" s="4">
        <v>2</v>
      </c>
      <c r="G30" s="4" t="s">
        <v>14</v>
      </c>
      <c r="I30" s="63">
        <v>0.12</v>
      </c>
      <c r="J30" s="120">
        <v>6.2990000000000004</v>
      </c>
      <c r="K30" s="7" t="s">
        <v>204</v>
      </c>
      <c r="L30" s="4" t="s">
        <v>13</v>
      </c>
      <c r="M30" s="22">
        <v>6.2860000000000005</v>
      </c>
      <c r="N30" s="1" t="s">
        <v>184</v>
      </c>
      <c r="P30" s="22">
        <v>6.3840000000000003</v>
      </c>
      <c r="Q30" s="22">
        <v>6.2859999999999996</v>
      </c>
      <c r="R30" s="22">
        <v>6.335</v>
      </c>
      <c r="S30" s="22">
        <v>6.3330000000000002</v>
      </c>
      <c r="T30" s="22">
        <v>6.34</v>
      </c>
      <c r="U30" s="22">
        <v>6.3390000000000004</v>
      </c>
      <c r="V30" s="22">
        <v>6.2880000000000003</v>
      </c>
      <c r="W30" s="22">
        <v>6.2880000000000003</v>
      </c>
      <c r="X30" s="22">
        <v>6.0529999999999999</v>
      </c>
      <c r="Y30" s="22">
        <v>6.2110000000000003</v>
      </c>
      <c r="Z30" s="22">
        <v>6.1980000000000004</v>
      </c>
      <c r="AA30" s="22">
        <v>6.19</v>
      </c>
      <c r="AB30" s="22">
        <v>6.2210000000000001</v>
      </c>
      <c r="AC30" s="22">
        <v>6.2320000000000002</v>
      </c>
      <c r="AD30" s="22">
        <v>6.2249999999999996</v>
      </c>
    </row>
    <row r="31" spans="1:30">
      <c r="A31" s="1">
        <f t="shared" si="3"/>
        <v>29</v>
      </c>
      <c r="B31" s="31"/>
      <c r="C31" s="4">
        <v>2</v>
      </c>
      <c r="D31" s="4">
        <f t="shared" si="0"/>
        <v>12</v>
      </c>
      <c r="E31" s="4" t="s">
        <v>478</v>
      </c>
      <c r="F31" s="4">
        <v>2</v>
      </c>
      <c r="G31" s="4" t="s">
        <v>14</v>
      </c>
      <c r="I31" s="63">
        <v>3.0000000000000001E-3</v>
      </c>
      <c r="J31" s="120">
        <v>7.1310000000000011</v>
      </c>
      <c r="K31" s="7" t="s">
        <v>204</v>
      </c>
      <c r="L31" s="4" t="s">
        <v>13</v>
      </c>
      <c r="M31" s="22">
        <v>7.1440000000000001</v>
      </c>
      <c r="N31" s="1" t="s">
        <v>184</v>
      </c>
      <c r="P31" s="22">
        <v>7.2290000000000001</v>
      </c>
      <c r="Q31" s="22">
        <v>7.13</v>
      </c>
      <c r="R31" s="22">
        <v>7.1870000000000003</v>
      </c>
      <c r="S31" s="22">
        <v>7.1849999999999996</v>
      </c>
      <c r="T31" s="22">
        <v>7.1920000000000002</v>
      </c>
      <c r="U31" s="22">
        <v>7.1909999999999998</v>
      </c>
      <c r="V31" s="22">
        <v>7.1130000000000004</v>
      </c>
      <c r="W31" s="22">
        <v>7.1130000000000004</v>
      </c>
      <c r="X31" s="22">
        <v>7.0039999999999996</v>
      </c>
      <c r="Y31" s="22">
        <v>7.0810000000000004</v>
      </c>
      <c r="Z31" s="22">
        <v>7.0819999999999999</v>
      </c>
      <c r="AA31" s="22">
        <v>7.0789999999999997</v>
      </c>
      <c r="AB31" s="22">
        <v>7.0910000000000002</v>
      </c>
      <c r="AC31" s="22">
        <v>7.0979999999999999</v>
      </c>
      <c r="AD31" s="22">
        <v>7.0970000000000004</v>
      </c>
    </row>
    <row r="32" spans="1:30">
      <c r="A32" s="1">
        <f t="shared" si="3"/>
        <v>30</v>
      </c>
      <c r="B32" s="31"/>
      <c r="C32" s="4">
        <v>2</v>
      </c>
      <c r="D32" s="4">
        <f t="shared" si="0"/>
        <v>12</v>
      </c>
      <c r="E32" s="4" t="s">
        <v>479</v>
      </c>
      <c r="F32" s="4">
        <v>2</v>
      </c>
      <c r="G32" s="4" t="s">
        <v>14</v>
      </c>
      <c r="I32" s="63">
        <v>0.05</v>
      </c>
      <c r="J32" s="120">
        <v>7.7640000000000002</v>
      </c>
      <c r="K32" s="7" t="s">
        <v>204</v>
      </c>
      <c r="L32" s="4" t="s">
        <v>13</v>
      </c>
      <c r="M32" s="22">
        <v>7.72</v>
      </c>
      <c r="N32" s="1" t="s">
        <v>184</v>
      </c>
      <c r="P32" s="22">
        <v>7.89</v>
      </c>
      <c r="Q32" s="22">
        <v>7.7649999999999997</v>
      </c>
      <c r="R32" s="22">
        <v>7.8390000000000004</v>
      </c>
      <c r="S32" s="22">
        <v>7.8380000000000001</v>
      </c>
      <c r="T32" s="22">
        <v>7.8380000000000001</v>
      </c>
      <c r="U32" s="22">
        <v>7.8380000000000001</v>
      </c>
      <c r="V32" s="22">
        <v>7.7450000000000001</v>
      </c>
      <c r="W32" s="22">
        <v>7.7450000000000001</v>
      </c>
      <c r="X32" s="22">
        <v>7.5839999999999996</v>
      </c>
      <c r="Y32" s="22">
        <v>7.6909999999999998</v>
      </c>
      <c r="Z32" s="22">
        <v>7.6840000000000002</v>
      </c>
      <c r="AA32" s="22">
        <v>7.6909999999999998</v>
      </c>
      <c r="AB32" s="22">
        <v>7.7149999999999999</v>
      </c>
      <c r="AC32" s="22">
        <v>7.7169999999999996</v>
      </c>
      <c r="AD32" s="22">
        <v>7.7110000000000003</v>
      </c>
    </row>
    <row r="33" spans="1:30">
      <c r="A33" s="1">
        <f t="shared" si="3"/>
        <v>31</v>
      </c>
      <c r="B33" s="31" t="s">
        <v>480</v>
      </c>
      <c r="C33" s="4">
        <v>1</v>
      </c>
      <c r="D33" s="4">
        <f t="shared" si="0"/>
        <v>12</v>
      </c>
      <c r="E33" s="4" t="s">
        <v>478</v>
      </c>
      <c r="F33" s="4">
        <v>2</v>
      </c>
      <c r="G33" s="4" t="s">
        <v>11</v>
      </c>
      <c r="I33" s="63">
        <v>9.4E-2</v>
      </c>
      <c r="J33" s="120">
        <v>2.488</v>
      </c>
      <c r="K33" s="7" t="s">
        <v>189</v>
      </c>
      <c r="L33" s="4" t="s">
        <v>13</v>
      </c>
      <c r="M33" s="22">
        <v>2.48</v>
      </c>
      <c r="N33" s="1" t="s">
        <v>184</v>
      </c>
      <c r="P33" s="22">
        <v>2.5960000000000001</v>
      </c>
      <c r="Q33" s="22">
        <v>2.4449999999999998</v>
      </c>
      <c r="R33" s="22">
        <v>2.5859999999999999</v>
      </c>
      <c r="S33" s="22">
        <v>2.573</v>
      </c>
      <c r="T33" s="22">
        <v>2.5089999999999999</v>
      </c>
      <c r="U33" s="22">
        <v>2.5070000000000001</v>
      </c>
      <c r="V33" s="22">
        <v>2.496</v>
      </c>
      <c r="W33" s="22">
        <v>2.496</v>
      </c>
      <c r="X33" s="121">
        <v>2.585</v>
      </c>
      <c r="Y33" s="121">
        <v>2.5019999999999998</v>
      </c>
      <c r="Z33" s="121">
        <v>2.5270000000000001</v>
      </c>
      <c r="AA33" s="121">
        <v>2.512</v>
      </c>
      <c r="AB33" s="121">
        <v>2.5089999999999999</v>
      </c>
      <c r="AC33" s="121">
        <v>2.508</v>
      </c>
      <c r="AD33" s="122">
        <v>2.5209999999999999</v>
      </c>
    </row>
    <row r="34" spans="1:30">
      <c r="A34" s="1">
        <f t="shared" si="3"/>
        <v>32</v>
      </c>
      <c r="B34" s="31"/>
      <c r="C34" s="4">
        <v>1</v>
      </c>
      <c r="D34" s="4">
        <f t="shared" si="0"/>
        <v>12</v>
      </c>
      <c r="E34" s="4" t="s">
        <v>479</v>
      </c>
      <c r="F34" s="4">
        <v>2</v>
      </c>
      <c r="G34" s="4" t="s">
        <v>14</v>
      </c>
      <c r="I34" s="63">
        <v>4.8000000000000001E-2</v>
      </c>
      <c r="J34" s="120">
        <v>5.5220000000000002</v>
      </c>
      <c r="K34" s="7" t="s">
        <v>189</v>
      </c>
      <c r="L34" s="4" t="s">
        <v>13</v>
      </c>
      <c r="M34" s="22">
        <v>5.5310000000000006</v>
      </c>
      <c r="N34" s="1" t="s">
        <v>184</v>
      </c>
      <c r="P34" s="22">
        <v>5.6</v>
      </c>
      <c r="Q34" s="22">
        <v>5.4809999999999999</v>
      </c>
      <c r="R34" s="22">
        <v>5.585</v>
      </c>
      <c r="S34" s="22">
        <v>5.58</v>
      </c>
      <c r="T34" s="22">
        <v>5.5369999999999999</v>
      </c>
      <c r="U34" s="22">
        <v>5.5359999999999996</v>
      </c>
      <c r="V34" s="22">
        <v>5.5270000000000001</v>
      </c>
      <c r="W34" s="22">
        <v>5.5270000000000001</v>
      </c>
      <c r="X34" s="121">
        <v>5.3970000000000002</v>
      </c>
      <c r="Y34" s="121">
        <v>5.5129999999999999</v>
      </c>
      <c r="Z34" s="121">
        <v>5.5149999999999997</v>
      </c>
      <c r="AA34" s="121">
        <v>5.4950000000000001</v>
      </c>
      <c r="AB34" s="121">
        <v>5.4829999999999997</v>
      </c>
      <c r="AC34" s="121">
        <v>5.524</v>
      </c>
      <c r="AD34" s="122">
        <v>5.5270000000000001</v>
      </c>
    </row>
    <row r="35" spans="1:30">
      <c r="A35" s="1">
        <f t="shared" si="3"/>
        <v>33</v>
      </c>
      <c r="B35" s="31"/>
      <c r="C35" s="4">
        <v>1</v>
      </c>
      <c r="D35" s="4">
        <f t="shared" si="0"/>
        <v>12</v>
      </c>
      <c r="E35" s="4" t="s">
        <v>479</v>
      </c>
      <c r="F35" s="4">
        <v>2</v>
      </c>
      <c r="G35" s="4" t="s">
        <v>207</v>
      </c>
      <c r="I35" s="63">
        <v>4.0000000000000001E-3</v>
      </c>
      <c r="J35" s="120">
        <v>5.7110000000000003</v>
      </c>
      <c r="K35" s="7" t="s">
        <v>189</v>
      </c>
      <c r="L35" s="4" t="s">
        <v>13</v>
      </c>
      <c r="M35" s="22">
        <v>5.7170000000000005</v>
      </c>
      <c r="N35" s="1" t="s">
        <v>184</v>
      </c>
      <c r="P35" s="22">
        <v>6.6829999999999998</v>
      </c>
      <c r="Q35" s="22">
        <v>5.5590000000000002</v>
      </c>
      <c r="R35" s="22">
        <v>6.6559999999999997</v>
      </c>
      <c r="S35" s="22">
        <v>6.6769999999999996</v>
      </c>
      <c r="T35" s="22">
        <v>5.8259999999999996</v>
      </c>
      <c r="U35" s="22">
        <v>5.835</v>
      </c>
      <c r="V35" s="22">
        <v>5.7560000000000002</v>
      </c>
      <c r="W35" s="22">
        <v>5.76</v>
      </c>
      <c r="X35" s="121">
        <v>5.52</v>
      </c>
      <c r="Y35" s="121">
        <v>5.7089999999999996</v>
      </c>
      <c r="Z35" s="121">
        <v>5.7679999999999998</v>
      </c>
      <c r="AA35" s="121">
        <v>5.7439999999999998</v>
      </c>
      <c r="AB35" s="121">
        <v>5.73</v>
      </c>
      <c r="AC35" s="121">
        <v>5.7779999999999996</v>
      </c>
      <c r="AD35" s="122">
        <v>5.806</v>
      </c>
    </row>
    <row r="36" spans="1:30">
      <c r="A36" s="1">
        <f t="shared" si="3"/>
        <v>34</v>
      </c>
      <c r="B36" s="31"/>
      <c r="C36" s="4">
        <v>1</v>
      </c>
      <c r="D36" s="4">
        <f t="shared" si="0"/>
        <v>12</v>
      </c>
      <c r="E36" s="4" t="s">
        <v>479</v>
      </c>
      <c r="F36" s="4">
        <v>2</v>
      </c>
      <c r="G36" s="4" t="s">
        <v>14</v>
      </c>
      <c r="I36" s="63">
        <v>3.5999999999999997E-2</v>
      </c>
      <c r="J36" s="120">
        <v>6.1829999999999998</v>
      </c>
      <c r="K36" s="7" t="s">
        <v>189</v>
      </c>
      <c r="L36" s="4" t="s">
        <v>13</v>
      </c>
      <c r="M36" s="22">
        <v>6.1890000000000001</v>
      </c>
      <c r="N36" s="1" t="s">
        <v>184</v>
      </c>
      <c r="P36" s="22">
        <v>6.2169999999999996</v>
      </c>
      <c r="Q36" s="22">
        <v>6.1379999999999999</v>
      </c>
      <c r="R36" s="22">
        <v>6.2</v>
      </c>
      <c r="S36" s="22">
        <v>6.1970000000000001</v>
      </c>
      <c r="T36" s="22">
        <v>6.2149999999999999</v>
      </c>
      <c r="U36" s="22">
        <v>6.218</v>
      </c>
      <c r="V36" s="22">
        <v>6.194</v>
      </c>
      <c r="W36" s="22">
        <v>6.1950000000000003</v>
      </c>
      <c r="X36" s="121">
        <v>6.0039999999999996</v>
      </c>
      <c r="Y36" s="121">
        <v>6.1340000000000003</v>
      </c>
      <c r="Z36" s="121">
        <v>6.1440000000000001</v>
      </c>
      <c r="AA36" s="121">
        <v>6.125</v>
      </c>
      <c r="AB36" s="121">
        <v>6.11</v>
      </c>
      <c r="AC36" s="121">
        <v>6.1580000000000004</v>
      </c>
      <c r="AD36" s="122">
        <v>6.1639999999999997</v>
      </c>
    </row>
    <row r="37" spans="1:30">
      <c r="A37" s="1">
        <f t="shared" si="3"/>
        <v>35</v>
      </c>
      <c r="B37" s="31"/>
      <c r="C37" s="4">
        <v>1</v>
      </c>
      <c r="D37" s="4">
        <f t="shared" si="0"/>
        <v>12</v>
      </c>
      <c r="E37" s="4" t="s">
        <v>478</v>
      </c>
      <c r="F37" s="4">
        <v>2</v>
      </c>
      <c r="G37" s="4" t="s">
        <v>14</v>
      </c>
      <c r="I37" s="63">
        <v>2.4E-2</v>
      </c>
      <c r="J37" s="120">
        <v>6.3760000000000003</v>
      </c>
      <c r="K37" s="7" t="s">
        <v>189</v>
      </c>
      <c r="L37" s="4" t="s">
        <v>13</v>
      </c>
      <c r="M37" s="22">
        <v>6.3890000000000002</v>
      </c>
      <c r="N37" s="1" t="s">
        <v>184</v>
      </c>
      <c r="P37" s="22">
        <v>6.4589999999999996</v>
      </c>
      <c r="Q37" s="22">
        <v>6.3460000000000001</v>
      </c>
      <c r="R37" s="22">
        <v>6.4409999999999998</v>
      </c>
      <c r="S37" s="22">
        <v>6.4379999999999997</v>
      </c>
      <c r="T37" s="22">
        <v>6.3920000000000003</v>
      </c>
      <c r="U37" s="22">
        <v>6.3920000000000003</v>
      </c>
      <c r="V37" s="22">
        <v>6.3819999999999997</v>
      </c>
      <c r="W37" s="22">
        <v>6.3819999999999997</v>
      </c>
      <c r="X37" s="121">
        <v>6.2160000000000002</v>
      </c>
      <c r="Y37" s="121">
        <v>6.3520000000000003</v>
      </c>
      <c r="Z37" s="121">
        <v>6.3490000000000002</v>
      </c>
      <c r="AA37" s="121">
        <v>6.335</v>
      </c>
      <c r="AB37" s="121">
        <v>6.3319999999999999</v>
      </c>
      <c r="AC37" s="121">
        <v>6.3639999999999999</v>
      </c>
      <c r="AD37" s="122">
        <v>6.3639999999999999</v>
      </c>
    </row>
    <row r="38" spans="1:30">
      <c r="A38" s="1">
        <f t="shared" si="3"/>
        <v>36</v>
      </c>
      <c r="B38" s="31"/>
      <c r="C38" s="4">
        <v>1</v>
      </c>
      <c r="D38" s="4">
        <f t="shared" si="0"/>
        <v>12</v>
      </c>
      <c r="E38" s="4" t="s">
        <v>479</v>
      </c>
      <c r="F38" s="4">
        <v>2</v>
      </c>
      <c r="G38" s="4" t="s">
        <v>14</v>
      </c>
      <c r="I38" s="63">
        <v>0.29899999999999999</v>
      </c>
      <c r="J38" s="120">
        <v>7.165</v>
      </c>
      <c r="K38" s="7" t="s">
        <v>189</v>
      </c>
      <c r="L38" s="4" t="s">
        <v>13</v>
      </c>
      <c r="M38" s="22">
        <v>7.0720000000000001</v>
      </c>
      <c r="N38" s="1" t="s">
        <v>184</v>
      </c>
      <c r="P38" s="22">
        <v>7.2750000000000004</v>
      </c>
      <c r="Q38" s="22">
        <v>7.1079999999999997</v>
      </c>
      <c r="R38" s="22">
        <v>7.2690000000000001</v>
      </c>
      <c r="S38" s="22">
        <v>7.2750000000000004</v>
      </c>
      <c r="T38" s="22">
        <v>7.1820000000000004</v>
      </c>
      <c r="U38" s="22">
        <v>7.1829999999999998</v>
      </c>
      <c r="V38" s="22">
        <v>7.17</v>
      </c>
      <c r="W38" s="22">
        <v>7.17</v>
      </c>
      <c r="X38" s="121">
        <v>7.1660000000000004</v>
      </c>
      <c r="Y38" s="121">
        <v>7.1379999999999999</v>
      </c>
      <c r="Z38" s="121">
        <v>7.1719999999999997</v>
      </c>
      <c r="AA38" s="121">
        <v>7.1379999999999999</v>
      </c>
      <c r="AB38" s="121">
        <v>7.11</v>
      </c>
      <c r="AC38" s="121">
        <v>7.16</v>
      </c>
      <c r="AD38" s="122">
        <v>7.1760000000000002</v>
      </c>
    </row>
    <row r="39" spans="1:30">
      <c r="A39" s="1">
        <f t="shared" si="3"/>
        <v>37</v>
      </c>
      <c r="B39" s="31"/>
      <c r="C39" s="4">
        <v>1</v>
      </c>
      <c r="D39" s="4">
        <f t="shared" si="0"/>
        <v>12</v>
      </c>
      <c r="E39" s="4" t="s">
        <v>478</v>
      </c>
      <c r="F39" s="4">
        <v>2</v>
      </c>
      <c r="G39" s="4" t="s">
        <v>14</v>
      </c>
      <c r="I39" s="63">
        <v>0.23300000000000001</v>
      </c>
      <c r="J39" s="120">
        <v>7.2770000000000001</v>
      </c>
      <c r="K39" s="7" t="s">
        <v>189</v>
      </c>
      <c r="L39" s="4" t="s">
        <v>13</v>
      </c>
      <c r="M39" s="22">
        <v>7.2239999999999993</v>
      </c>
      <c r="N39" s="1" t="s">
        <v>184</v>
      </c>
      <c r="P39" s="22">
        <v>7.8150000000000004</v>
      </c>
      <c r="Q39" s="33"/>
      <c r="R39" s="22">
        <v>7.7990000000000004</v>
      </c>
      <c r="S39" s="22">
        <v>7.7939999999999996</v>
      </c>
      <c r="T39" s="22">
        <v>7.4619999999999997</v>
      </c>
      <c r="U39" s="22">
        <v>7.4710000000000001</v>
      </c>
      <c r="V39" s="22">
        <v>7.3620000000000001</v>
      </c>
      <c r="W39" s="22">
        <v>7.37</v>
      </c>
      <c r="X39" s="121">
        <v>7.2110000000000003</v>
      </c>
      <c r="Y39" s="121">
        <v>7.2290000000000001</v>
      </c>
      <c r="Z39" s="121">
        <v>7.3120000000000003</v>
      </c>
      <c r="AA39" s="121">
        <v>7.298</v>
      </c>
      <c r="AB39" s="121">
        <v>7.2839999999999998</v>
      </c>
      <c r="AC39" s="121">
        <v>7.2830000000000004</v>
      </c>
      <c r="AD39" s="122">
        <v>7.3220000000000001</v>
      </c>
    </row>
    <row r="40" spans="1:30">
      <c r="A40" s="1">
        <f t="shared" si="3"/>
        <v>38</v>
      </c>
      <c r="B40" s="31"/>
      <c r="C40" s="4">
        <v>1</v>
      </c>
      <c r="D40" s="4">
        <f t="shared" si="0"/>
        <v>12</v>
      </c>
      <c r="E40" s="4" t="s">
        <v>479</v>
      </c>
      <c r="F40" s="4">
        <v>2</v>
      </c>
      <c r="G40" s="4" t="s">
        <v>14</v>
      </c>
      <c r="I40" s="63">
        <v>5.0000000000000001E-3</v>
      </c>
      <c r="J40" s="120">
        <v>7.5259999999999998</v>
      </c>
      <c r="K40" s="7" t="s">
        <v>189</v>
      </c>
      <c r="L40" s="4" t="s">
        <v>13</v>
      </c>
      <c r="M40" s="22">
        <v>7.4469999999999992</v>
      </c>
      <c r="N40" s="1" t="s">
        <v>184</v>
      </c>
      <c r="P40" s="22">
        <v>7.6689999999999996</v>
      </c>
      <c r="Q40" s="22">
        <v>7.4880000000000004</v>
      </c>
      <c r="R40" s="22">
        <v>7.6470000000000002</v>
      </c>
      <c r="S40" s="22">
        <v>7.6449999999999996</v>
      </c>
      <c r="T40" s="22">
        <v>7.55</v>
      </c>
      <c r="U40" s="22">
        <v>7.55</v>
      </c>
      <c r="V40" s="22">
        <v>7.5350000000000001</v>
      </c>
      <c r="W40" s="22">
        <v>7.5350000000000001</v>
      </c>
      <c r="X40" s="121">
        <v>7.2290000000000001</v>
      </c>
      <c r="Y40" s="121">
        <v>7.4249999999999998</v>
      </c>
      <c r="Z40" s="121">
        <v>7.4089999999999998</v>
      </c>
      <c r="AA40" s="121">
        <v>7.4119999999999999</v>
      </c>
      <c r="AB40" s="121">
        <v>7.4139999999999997</v>
      </c>
      <c r="AC40" s="121">
        <v>7.4459999999999997</v>
      </c>
      <c r="AD40" s="122">
        <v>7.4370000000000003</v>
      </c>
    </row>
    <row r="41" spans="1:30">
      <c r="A41" s="1">
        <f t="shared" si="3"/>
        <v>39</v>
      </c>
      <c r="B41" s="31"/>
      <c r="C41" s="4">
        <v>1</v>
      </c>
      <c r="D41" s="4">
        <f t="shared" si="0"/>
        <v>12</v>
      </c>
      <c r="E41" s="4" t="s">
        <v>481</v>
      </c>
      <c r="F41" s="4">
        <v>2</v>
      </c>
      <c r="G41" s="4" t="s">
        <v>14</v>
      </c>
      <c r="I41" s="119"/>
      <c r="J41" s="120">
        <v>7.7450000000000001</v>
      </c>
      <c r="K41" s="7" t="s">
        <v>189</v>
      </c>
      <c r="L41" s="4" t="s">
        <v>13</v>
      </c>
      <c r="M41" s="22">
        <v>7.657</v>
      </c>
      <c r="N41" s="1" t="s">
        <v>184</v>
      </c>
      <c r="P41" s="22">
        <v>7.9779999999999998</v>
      </c>
      <c r="Q41" s="22">
        <v>7.6420000000000003</v>
      </c>
      <c r="R41" s="22">
        <v>7.9630000000000001</v>
      </c>
      <c r="S41" s="22">
        <v>7.9589999999999996</v>
      </c>
      <c r="T41" s="22">
        <v>7.8040000000000003</v>
      </c>
      <c r="U41" s="22">
        <v>7.8070000000000004</v>
      </c>
      <c r="V41" s="22">
        <v>7.7720000000000002</v>
      </c>
      <c r="W41" s="22">
        <v>7.774</v>
      </c>
      <c r="X41" s="121">
        <v>7.73</v>
      </c>
      <c r="Y41" s="121">
        <v>7.8140000000000001</v>
      </c>
      <c r="Z41" s="121">
        <v>7.8090000000000002</v>
      </c>
      <c r="AA41" s="121">
        <v>7.81</v>
      </c>
      <c r="AB41" s="121">
        <v>7.8109999999999999</v>
      </c>
      <c r="AC41" s="121">
        <v>7.8220000000000001</v>
      </c>
      <c r="AD41" s="122">
        <v>7.82</v>
      </c>
    </row>
    <row r="42" spans="1:30">
      <c r="A42" s="1">
        <f t="shared" si="3"/>
        <v>40</v>
      </c>
      <c r="B42" s="31"/>
      <c r="C42" s="4">
        <v>1</v>
      </c>
      <c r="D42" s="4">
        <f t="shared" si="0"/>
        <v>12</v>
      </c>
      <c r="E42" s="4" t="s">
        <v>478</v>
      </c>
      <c r="F42" s="4">
        <v>2</v>
      </c>
      <c r="G42" s="4" t="s">
        <v>11</v>
      </c>
      <c r="I42" s="63">
        <v>0.45</v>
      </c>
      <c r="J42" s="120">
        <v>7.7679999999999998</v>
      </c>
      <c r="K42" s="7" t="s">
        <v>189</v>
      </c>
      <c r="L42" s="4" t="s">
        <v>13</v>
      </c>
      <c r="M42" s="22">
        <v>7.7270000000000012</v>
      </c>
      <c r="N42" s="1" t="s">
        <v>184</v>
      </c>
      <c r="P42" s="22">
        <v>8.1319999999999997</v>
      </c>
      <c r="Q42" s="33"/>
      <c r="R42" s="22">
        <v>8.1270000000000007</v>
      </c>
      <c r="S42" s="22">
        <v>8.125</v>
      </c>
      <c r="T42" s="22">
        <v>7.8339999999999996</v>
      </c>
      <c r="U42" s="22">
        <v>7.8360000000000003</v>
      </c>
      <c r="V42" s="22">
        <v>7.79</v>
      </c>
      <c r="W42" s="22">
        <v>7.7910000000000004</v>
      </c>
      <c r="X42" s="121">
        <v>7.8170000000000002</v>
      </c>
      <c r="Y42" s="121">
        <v>7.6909999999999998</v>
      </c>
      <c r="Z42" s="121">
        <v>7.827</v>
      </c>
      <c r="AA42" s="121">
        <v>7.8019999999999996</v>
      </c>
      <c r="AB42" s="121">
        <v>7.7759999999999998</v>
      </c>
      <c r="AC42" s="121">
        <v>7.7779999999999996</v>
      </c>
      <c r="AD42" s="122">
        <v>7.8339999999999996</v>
      </c>
    </row>
    <row r="43" spans="1:30">
      <c r="A43" s="1">
        <f t="shared" si="3"/>
        <v>41</v>
      </c>
      <c r="B43" s="31"/>
      <c r="C43" s="4">
        <v>1</v>
      </c>
      <c r="D43" s="4">
        <f t="shared" si="0"/>
        <v>12</v>
      </c>
      <c r="E43" s="4" t="s">
        <v>483</v>
      </c>
      <c r="F43" s="4">
        <v>4</v>
      </c>
      <c r="G43" s="4" t="s">
        <v>11</v>
      </c>
      <c r="I43" s="119"/>
      <c r="J43" s="120">
        <v>5.8760000000000003</v>
      </c>
      <c r="K43" s="7" t="s">
        <v>189</v>
      </c>
      <c r="L43" s="4" t="s">
        <v>13</v>
      </c>
      <c r="M43" s="22">
        <v>5.89</v>
      </c>
      <c r="N43" s="1" t="s">
        <v>184</v>
      </c>
      <c r="P43" s="22">
        <v>6.6040000000000001</v>
      </c>
      <c r="Q43" s="22">
        <v>5.5359999999999996</v>
      </c>
      <c r="R43" s="22">
        <v>6.5919999999999996</v>
      </c>
      <c r="S43" s="22">
        <v>6.5919999999999996</v>
      </c>
      <c r="T43" s="22">
        <v>6.01</v>
      </c>
      <c r="U43" s="22">
        <v>6.016</v>
      </c>
      <c r="V43" s="22">
        <v>5.9379999999999997</v>
      </c>
      <c r="W43" s="22">
        <v>5.9409999999999998</v>
      </c>
      <c r="X43" s="121">
        <v>5.49</v>
      </c>
      <c r="Y43" s="121">
        <v>5.7949999999999999</v>
      </c>
      <c r="Z43" s="121">
        <v>5.8259999999999996</v>
      </c>
      <c r="AA43" s="121">
        <v>5.8079999999999998</v>
      </c>
      <c r="AB43" s="121">
        <v>5.8120000000000003</v>
      </c>
      <c r="AC43" s="121">
        <v>5.84</v>
      </c>
      <c r="AD43" s="122">
        <v>5.8579999999999997</v>
      </c>
    </row>
    <row r="44" spans="1:30">
      <c r="A44" s="1">
        <f t="shared" si="3"/>
        <v>42</v>
      </c>
      <c r="B44" s="31" t="s">
        <v>482</v>
      </c>
      <c r="C44" s="4">
        <v>1</v>
      </c>
      <c r="D44" s="4">
        <f t="shared" si="0"/>
        <v>12</v>
      </c>
      <c r="E44" s="4" t="s">
        <v>464</v>
      </c>
      <c r="F44" s="4">
        <v>2</v>
      </c>
      <c r="G44" s="4" t="s">
        <v>11</v>
      </c>
      <c r="I44" s="63">
        <v>3.0000000000000001E-3</v>
      </c>
      <c r="J44" s="120">
        <v>1.1839999999999999</v>
      </c>
      <c r="K44" s="7" t="s">
        <v>103</v>
      </c>
      <c r="L44" s="4" t="s">
        <v>13</v>
      </c>
      <c r="M44" s="22">
        <v>1.179</v>
      </c>
      <c r="N44" s="1" t="s">
        <v>434</v>
      </c>
      <c r="P44" s="22">
        <v>1.3129999999999999</v>
      </c>
      <c r="Q44" s="22">
        <v>1.115</v>
      </c>
      <c r="R44" s="22">
        <v>1.3009999999999999</v>
      </c>
      <c r="S44" s="22">
        <v>1.2909999999999999</v>
      </c>
      <c r="T44" s="22">
        <v>1.2010000000000001</v>
      </c>
      <c r="U44" s="22">
        <v>1.1990000000000001</v>
      </c>
      <c r="V44" s="22">
        <v>1.1910000000000001</v>
      </c>
      <c r="W44" s="22">
        <v>1.19</v>
      </c>
      <c r="X44" s="121">
        <v>1.228</v>
      </c>
      <c r="Y44" s="121">
        <v>1.171</v>
      </c>
      <c r="Z44" s="121">
        <v>1.1850000000000001</v>
      </c>
      <c r="AA44" s="121">
        <v>1.1850000000000001</v>
      </c>
      <c r="AB44" s="121">
        <v>1.1859999999999999</v>
      </c>
      <c r="AC44" s="121">
        <v>1.1830000000000001</v>
      </c>
      <c r="AD44" s="122">
        <v>1.1879999999999999</v>
      </c>
    </row>
    <row r="45" spans="1:30">
      <c r="A45" s="1">
        <f t="shared" si="3"/>
        <v>43</v>
      </c>
      <c r="B45" s="31"/>
      <c r="C45" s="4">
        <v>1</v>
      </c>
      <c r="D45" s="4">
        <f t="shared" si="0"/>
        <v>12</v>
      </c>
      <c r="E45" s="4" t="s">
        <v>465</v>
      </c>
      <c r="F45" s="4">
        <v>2</v>
      </c>
      <c r="G45" s="4" t="s">
        <v>14</v>
      </c>
      <c r="I45" s="63">
        <v>6.4000000000000001E-2</v>
      </c>
      <c r="J45" s="37">
        <v>5.72</v>
      </c>
      <c r="K45" s="7" t="s">
        <v>103</v>
      </c>
      <c r="L45" s="4" t="s">
        <v>13</v>
      </c>
      <c r="M45" s="22">
        <v>5.72</v>
      </c>
      <c r="N45" s="1" t="s">
        <v>434</v>
      </c>
      <c r="P45" s="22">
        <v>5.9470000000000001</v>
      </c>
      <c r="Q45" s="22">
        <v>5.6829999999999998</v>
      </c>
      <c r="R45" s="22">
        <v>5.9029999999999996</v>
      </c>
      <c r="S45" s="22">
        <v>5.89</v>
      </c>
      <c r="T45" s="22">
        <v>5.7519999999999998</v>
      </c>
      <c r="U45" s="22">
        <v>5.7489999999999997</v>
      </c>
      <c r="V45" s="22">
        <v>5.73</v>
      </c>
      <c r="W45" s="22">
        <v>5.7279999999999998</v>
      </c>
      <c r="X45" s="121">
        <v>5.2839999999999998</v>
      </c>
      <c r="Y45" s="121">
        <v>5.6740000000000004</v>
      </c>
      <c r="Z45" s="121">
        <v>5.6509999999999998</v>
      </c>
      <c r="AA45" s="121">
        <v>5.6260000000000003</v>
      </c>
      <c r="AB45" s="121">
        <v>5.6280000000000001</v>
      </c>
      <c r="AC45" s="121">
        <v>5.702</v>
      </c>
      <c r="AD45" s="122">
        <v>5.6920000000000002</v>
      </c>
    </row>
    <row r="46" spans="1:30">
      <c r="A46" s="1">
        <f t="shared" si="3"/>
        <v>44</v>
      </c>
      <c r="B46" s="31"/>
      <c r="C46" s="4">
        <v>1</v>
      </c>
      <c r="D46" s="4">
        <f t="shared" si="0"/>
        <v>12</v>
      </c>
      <c r="E46" s="4" t="s">
        <v>466</v>
      </c>
      <c r="F46" s="4">
        <v>2</v>
      </c>
      <c r="G46" s="4" t="s">
        <v>11</v>
      </c>
      <c r="I46" s="63">
        <v>0</v>
      </c>
      <c r="J46" s="37">
        <v>6.3840000000000003</v>
      </c>
      <c r="K46" s="7" t="s">
        <v>103</v>
      </c>
      <c r="L46" s="4" t="s">
        <v>13</v>
      </c>
      <c r="M46" s="22">
        <v>6.3819999999999997</v>
      </c>
      <c r="N46" s="1" t="s">
        <v>434</v>
      </c>
      <c r="P46" s="22">
        <v>7.0270000000000001</v>
      </c>
      <c r="Q46" s="22">
        <v>6.2859999999999996</v>
      </c>
      <c r="R46" s="22">
        <v>6.9930000000000003</v>
      </c>
      <c r="S46" s="22">
        <v>6.9610000000000003</v>
      </c>
      <c r="T46" s="22">
        <v>6.5270000000000001</v>
      </c>
      <c r="U46" s="22">
        <v>6.5149999999999997</v>
      </c>
      <c r="V46" s="22">
        <v>6.4379999999999997</v>
      </c>
      <c r="W46" s="22">
        <v>6.4329999999999998</v>
      </c>
      <c r="X46" s="121">
        <v>6.181</v>
      </c>
      <c r="Y46" s="121">
        <v>6.3570000000000002</v>
      </c>
      <c r="Z46" s="121">
        <v>6.3739999999999997</v>
      </c>
      <c r="AA46" s="121">
        <v>6.4029999999999996</v>
      </c>
      <c r="AB46" s="121">
        <v>6.3920000000000003</v>
      </c>
      <c r="AC46" s="121">
        <v>6.41</v>
      </c>
      <c r="AD46" s="122">
        <v>6.4139999999999997</v>
      </c>
    </row>
    <row r="47" spans="1:30">
      <c r="A47" s="1">
        <f t="shared" si="3"/>
        <v>45</v>
      </c>
      <c r="B47" s="31"/>
      <c r="C47" s="4">
        <v>1</v>
      </c>
      <c r="D47" s="4">
        <f t="shared" si="0"/>
        <v>12</v>
      </c>
      <c r="E47" s="4" t="s">
        <v>484</v>
      </c>
      <c r="F47" s="4">
        <v>2</v>
      </c>
      <c r="G47" s="4" t="s">
        <v>11</v>
      </c>
      <c r="I47" s="119"/>
      <c r="J47" s="37">
        <v>6.4130000000000003</v>
      </c>
      <c r="K47" s="7" t="s">
        <v>103</v>
      </c>
      <c r="L47" s="4" t="s">
        <v>13</v>
      </c>
      <c r="M47" s="22">
        <v>6.4139999999999997</v>
      </c>
      <c r="N47" s="1" t="s">
        <v>434</v>
      </c>
      <c r="P47" s="22">
        <v>6.77</v>
      </c>
      <c r="Q47" s="22">
        <v>6.3070000000000004</v>
      </c>
      <c r="R47" s="22">
        <v>6.7640000000000002</v>
      </c>
      <c r="S47" s="22">
        <v>6.7569999999999997</v>
      </c>
      <c r="T47" s="22">
        <v>6.5090000000000003</v>
      </c>
      <c r="U47" s="22">
        <v>6.508</v>
      </c>
      <c r="V47" s="22">
        <v>6.4580000000000002</v>
      </c>
      <c r="W47" s="22">
        <v>6.4569999999999999</v>
      </c>
      <c r="X47" s="121">
        <v>6.157</v>
      </c>
      <c r="Y47" s="121">
        <v>6.2670000000000003</v>
      </c>
      <c r="Z47" s="121">
        <v>6.3689999999999998</v>
      </c>
      <c r="AA47" s="121">
        <v>6.4059999999999997</v>
      </c>
      <c r="AB47" s="121">
        <v>6.4029999999999996</v>
      </c>
      <c r="AC47" s="121">
        <v>6.39</v>
      </c>
      <c r="AD47" s="122">
        <v>6.423</v>
      </c>
    </row>
    <row r="48" spans="1:30">
      <c r="A48" s="1">
        <f t="shared" si="3"/>
        <v>46</v>
      </c>
      <c r="B48" s="31"/>
      <c r="C48" s="4">
        <v>1</v>
      </c>
      <c r="D48" s="4">
        <f t="shared" si="0"/>
        <v>12</v>
      </c>
      <c r="E48" s="4" t="s">
        <v>466</v>
      </c>
      <c r="F48" s="4">
        <v>2</v>
      </c>
      <c r="G48" s="4" t="s">
        <v>14</v>
      </c>
      <c r="I48" s="63">
        <v>2E-3</v>
      </c>
      <c r="J48" s="37">
        <v>6.5860000000000003</v>
      </c>
      <c r="K48" s="7" t="s">
        <v>103</v>
      </c>
      <c r="L48" s="4" t="s">
        <v>13</v>
      </c>
      <c r="M48" s="22">
        <v>6.5839999999999996</v>
      </c>
      <c r="N48" s="1" t="s">
        <v>434</v>
      </c>
      <c r="P48" s="22">
        <v>6.7889999999999997</v>
      </c>
      <c r="Q48" s="22">
        <v>6.55</v>
      </c>
      <c r="R48" s="22">
        <v>6.742</v>
      </c>
      <c r="S48" s="22">
        <v>6.7290000000000001</v>
      </c>
      <c r="T48" s="22">
        <v>6.617</v>
      </c>
      <c r="U48" s="22">
        <v>6.6139999999999999</v>
      </c>
      <c r="V48" s="22">
        <v>6.5949999999999998</v>
      </c>
      <c r="W48" s="22">
        <v>6.5940000000000003</v>
      </c>
      <c r="X48" s="121">
        <v>6.0179999999999998</v>
      </c>
      <c r="Y48" s="121">
        <v>6.5359999999999996</v>
      </c>
      <c r="Z48" s="121">
        <v>6.4850000000000003</v>
      </c>
      <c r="AA48" s="121">
        <v>6.4619999999999997</v>
      </c>
      <c r="AB48" s="121">
        <v>6.4749999999999996</v>
      </c>
      <c r="AC48" s="121">
        <v>6.55</v>
      </c>
      <c r="AD48" s="122">
        <v>6.5289999999999999</v>
      </c>
    </row>
    <row r="49" spans="1:30">
      <c r="A49" s="1">
        <f t="shared" si="3"/>
        <v>47</v>
      </c>
      <c r="B49" s="31"/>
      <c r="C49" s="4">
        <v>1</v>
      </c>
      <c r="D49" s="4">
        <f t="shared" si="0"/>
        <v>12</v>
      </c>
      <c r="E49" s="4" t="s">
        <v>465</v>
      </c>
      <c r="F49" s="4">
        <v>2</v>
      </c>
      <c r="G49" s="4" t="s">
        <v>14</v>
      </c>
      <c r="I49" s="63">
        <v>2E-3</v>
      </c>
      <c r="J49" s="37">
        <v>6.7480000000000002</v>
      </c>
      <c r="K49" s="7" t="s">
        <v>103</v>
      </c>
      <c r="L49" s="4" t="s">
        <v>13</v>
      </c>
      <c r="M49" s="22">
        <v>6.7380000000000004</v>
      </c>
      <c r="N49" s="1" t="s">
        <v>434</v>
      </c>
      <c r="P49" s="22">
        <v>6.9470000000000001</v>
      </c>
      <c r="Q49" s="22">
        <v>6.7110000000000003</v>
      </c>
      <c r="R49" s="22">
        <v>6.9</v>
      </c>
      <c r="S49" s="22">
        <v>6.89</v>
      </c>
      <c r="T49" s="22">
        <v>6.7770000000000001</v>
      </c>
      <c r="U49" s="22">
        <v>6.7750000000000004</v>
      </c>
      <c r="V49" s="22">
        <v>6.7569999999999997</v>
      </c>
      <c r="W49" s="22">
        <v>6.7560000000000002</v>
      </c>
      <c r="X49" s="121">
        <v>6.14</v>
      </c>
      <c r="Y49" s="121">
        <v>6.6529999999999996</v>
      </c>
      <c r="Z49" s="121">
        <v>6.6130000000000004</v>
      </c>
      <c r="AA49" s="121">
        <v>6.6070000000000002</v>
      </c>
      <c r="AB49" s="121">
        <v>6.6180000000000003</v>
      </c>
      <c r="AC49" s="121">
        <v>6.6929999999999996</v>
      </c>
      <c r="AD49" s="122">
        <v>6.6740000000000004</v>
      </c>
    </row>
    <row r="50" spans="1:30">
      <c r="A50" s="1">
        <f t="shared" si="3"/>
        <v>48</v>
      </c>
      <c r="B50" s="31"/>
      <c r="C50" s="4">
        <v>1</v>
      </c>
      <c r="D50" s="4">
        <f t="shared" si="0"/>
        <v>12</v>
      </c>
      <c r="E50" s="4" t="s">
        <v>464</v>
      </c>
      <c r="F50" s="4">
        <v>2</v>
      </c>
      <c r="G50" s="4" t="s">
        <v>14</v>
      </c>
      <c r="I50" s="63">
        <v>3.0000000000000001E-3</v>
      </c>
      <c r="J50" s="37">
        <v>6.8730000000000002</v>
      </c>
      <c r="K50" s="7" t="s">
        <v>103</v>
      </c>
      <c r="L50" s="4" t="s">
        <v>13</v>
      </c>
      <c r="M50" s="22">
        <v>6.8539999999999992</v>
      </c>
      <c r="N50" s="1" t="s">
        <v>434</v>
      </c>
      <c r="P50" s="22">
        <v>7.0730000000000004</v>
      </c>
      <c r="Q50" s="22">
        <v>6.8369999999999997</v>
      </c>
      <c r="R50" s="22">
        <v>7.0289999999999999</v>
      </c>
      <c r="S50" s="22">
        <v>7.0179999999999998</v>
      </c>
      <c r="T50" s="22">
        <v>6.899</v>
      </c>
      <c r="U50" s="22">
        <v>6.8970000000000002</v>
      </c>
      <c r="V50" s="22">
        <v>6.88</v>
      </c>
      <c r="W50" s="22">
        <v>6.8789999999999996</v>
      </c>
      <c r="X50" s="121">
        <v>6.4480000000000004</v>
      </c>
      <c r="Y50" s="121">
        <v>6.827</v>
      </c>
      <c r="Z50" s="121">
        <v>6.8109999999999999</v>
      </c>
      <c r="AA50" s="121">
        <v>6.7770000000000001</v>
      </c>
      <c r="AB50" s="121">
        <v>6.7720000000000002</v>
      </c>
      <c r="AC50" s="121">
        <v>6.8490000000000002</v>
      </c>
      <c r="AD50" s="122">
        <v>6.8449999999999998</v>
      </c>
    </row>
    <row r="51" spans="1:30">
      <c r="A51" s="1">
        <f t="shared" si="3"/>
        <v>49</v>
      </c>
      <c r="B51" s="31"/>
      <c r="C51" s="4">
        <v>1</v>
      </c>
      <c r="D51" s="4">
        <f t="shared" si="0"/>
        <v>12</v>
      </c>
      <c r="E51" s="4" t="s">
        <v>484</v>
      </c>
      <c r="F51" s="4">
        <v>2</v>
      </c>
      <c r="G51" s="4" t="s">
        <v>11</v>
      </c>
      <c r="H51" s="1" t="s">
        <v>321</v>
      </c>
      <c r="I51" s="119"/>
      <c r="J51" s="37">
        <v>6.9480000000000004</v>
      </c>
      <c r="K51" s="7" t="s">
        <v>204</v>
      </c>
      <c r="L51" s="4" t="s">
        <v>13</v>
      </c>
      <c r="M51" s="22">
        <v>6.9459999999999997</v>
      </c>
      <c r="N51" s="1" t="s">
        <v>7</v>
      </c>
      <c r="P51" s="41"/>
      <c r="Q51" s="41"/>
      <c r="R51" s="41"/>
      <c r="S51" s="41"/>
      <c r="T51" s="22">
        <v>8.2119999999999997</v>
      </c>
      <c r="U51" s="22">
        <v>8.1159999999999997</v>
      </c>
      <c r="V51" s="22">
        <v>7.4109999999999996</v>
      </c>
      <c r="W51" s="22">
        <v>7.3680000000000003</v>
      </c>
      <c r="X51" s="121">
        <v>7.202</v>
      </c>
      <c r="Y51" s="121">
        <v>6.8280000000000003</v>
      </c>
      <c r="Z51" s="121">
        <v>7.0179999999999998</v>
      </c>
      <c r="AA51" s="121">
        <v>7.0179999999999998</v>
      </c>
      <c r="AB51" s="121">
        <v>6.9859999999999998</v>
      </c>
      <c r="AC51" s="121">
        <v>6.9610000000000003</v>
      </c>
      <c r="AD51" s="122">
        <v>7.0289999999999999</v>
      </c>
    </row>
    <row r="52" spans="1:30">
      <c r="A52" s="1">
        <f t="shared" si="3"/>
        <v>50</v>
      </c>
      <c r="B52" s="31"/>
      <c r="C52" s="4">
        <v>1</v>
      </c>
      <c r="D52" s="4">
        <f t="shared" si="0"/>
        <v>12</v>
      </c>
      <c r="E52" s="4" t="s">
        <v>484</v>
      </c>
      <c r="F52" s="4">
        <v>4</v>
      </c>
      <c r="G52" s="4" t="s">
        <v>11</v>
      </c>
      <c r="H52" t="s">
        <v>320</v>
      </c>
      <c r="I52" s="119"/>
      <c r="J52" s="37">
        <v>5.3550000000000004</v>
      </c>
      <c r="K52" s="7" t="s">
        <v>103</v>
      </c>
      <c r="L52" s="4" t="s">
        <v>13</v>
      </c>
      <c r="M52" s="22">
        <v>5.3730000000000002</v>
      </c>
      <c r="N52" s="1" t="s">
        <v>434</v>
      </c>
      <c r="P52" s="22">
        <v>5.9729999999999999</v>
      </c>
      <c r="Q52" s="22">
        <v>5.165</v>
      </c>
      <c r="R52" s="22">
        <v>5.98</v>
      </c>
      <c r="S52" s="22">
        <v>5.9850000000000003</v>
      </c>
      <c r="T52" s="22">
        <v>5.6280000000000001</v>
      </c>
      <c r="U52" s="22">
        <v>5.617</v>
      </c>
      <c r="V52" s="22">
        <v>5.5069999999999997</v>
      </c>
      <c r="W52" s="22">
        <v>5.4960000000000004</v>
      </c>
      <c r="X52" s="121">
        <v>5.23</v>
      </c>
      <c r="Y52" s="121">
        <v>5.23</v>
      </c>
      <c r="Z52" s="121">
        <v>5.3470000000000004</v>
      </c>
      <c r="AA52" s="121">
        <v>5.3559999999999999</v>
      </c>
      <c r="AB52" s="121">
        <v>5.3479999999999999</v>
      </c>
      <c r="AC52" s="121">
        <v>5.34</v>
      </c>
      <c r="AD52" s="122">
        <v>5.3810000000000002</v>
      </c>
    </row>
    <row r="53" spans="1:30">
      <c r="A53" s="1">
        <f t="shared" si="3"/>
        <v>51</v>
      </c>
      <c r="B53" s="31" t="s">
        <v>520</v>
      </c>
      <c r="C53" s="4">
        <v>3</v>
      </c>
      <c r="D53" s="4">
        <f t="shared" si="0"/>
        <v>35</v>
      </c>
      <c r="E53" s="4" t="s">
        <v>295</v>
      </c>
      <c r="F53" s="4">
        <v>2</v>
      </c>
      <c r="G53" s="4" t="s">
        <v>11</v>
      </c>
      <c r="I53" s="63">
        <v>7.0999999999999994E-2</v>
      </c>
      <c r="J53" s="37">
        <v>2.2919999999999998</v>
      </c>
      <c r="K53" s="7" t="s">
        <v>204</v>
      </c>
      <c r="L53" s="4" t="s">
        <v>13</v>
      </c>
      <c r="M53" s="22">
        <v>2.2839999999999998</v>
      </c>
      <c r="N53" s="1" t="s">
        <v>184</v>
      </c>
      <c r="P53" s="22">
        <v>2.69</v>
      </c>
      <c r="Q53" s="22">
        <v>2.0539999999999998</v>
      </c>
      <c r="R53" s="22">
        <v>2.6044999999999998</v>
      </c>
      <c r="S53" s="22">
        <v>2.5554999999999999</v>
      </c>
      <c r="T53" s="22">
        <v>2.5389999999999997</v>
      </c>
      <c r="U53" s="22">
        <v>2.427</v>
      </c>
      <c r="V53" s="22">
        <v>2.3410000000000002</v>
      </c>
      <c r="W53" s="22">
        <v>2.2960000000000003</v>
      </c>
      <c r="X53" s="121">
        <v>2.6040000000000001</v>
      </c>
      <c r="Y53" s="121">
        <v>2.2679999999999998</v>
      </c>
      <c r="Z53" s="121">
        <v>2.3090000000000002</v>
      </c>
      <c r="AA53" s="121">
        <v>2.35</v>
      </c>
      <c r="AB53" s="121">
        <v>2.282</v>
      </c>
      <c r="AC53" s="121">
        <v>2.3260000000000001</v>
      </c>
      <c r="AD53" s="122">
        <v>2.3359999999999999</v>
      </c>
    </row>
    <row r="54" spans="1:30">
      <c r="A54" s="1">
        <f t="shared" si="3"/>
        <v>52</v>
      </c>
      <c r="B54" s="31"/>
      <c r="C54" s="4">
        <v>3</v>
      </c>
      <c r="D54" s="4">
        <f t="shared" si="0"/>
        <v>35</v>
      </c>
      <c r="E54" s="4" t="s">
        <v>88</v>
      </c>
      <c r="F54" s="4">
        <v>2</v>
      </c>
      <c r="G54" s="4" t="s">
        <v>11</v>
      </c>
      <c r="I54" s="63">
        <v>4.0000000000000001E-3</v>
      </c>
      <c r="J54" s="37">
        <v>3.0369999999999999</v>
      </c>
      <c r="K54" s="7" t="s">
        <v>204</v>
      </c>
      <c r="L54" s="4" t="s">
        <v>13</v>
      </c>
      <c r="M54" s="22">
        <v>3.0390000000000001</v>
      </c>
      <c r="N54" s="1" t="s">
        <v>184</v>
      </c>
      <c r="P54" s="22">
        <v>3.5779999999999998</v>
      </c>
      <c r="Q54" s="22">
        <v>3.1120000000000001</v>
      </c>
      <c r="R54" s="22">
        <v>3.2989999999999999</v>
      </c>
      <c r="S54" s="22">
        <v>3.1589999999999998</v>
      </c>
      <c r="T54" s="22">
        <v>3.2989999999999999</v>
      </c>
      <c r="U54" s="22">
        <v>3.1619999999999999</v>
      </c>
      <c r="V54" s="22">
        <v>3.0659999999999998</v>
      </c>
      <c r="W54" s="22">
        <v>3.0489999999999999</v>
      </c>
      <c r="X54" s="121">
        <v>3.444</v>
      </c>
      <c r="Y54" s="121">
        <v>2.9910000000000001</v>
      </c>
      <c r="Z54" s="121">
        <v>3.0129999999999999</v>
      </c>
      <c r="AA54" s="121">
        <v>3.0710000000000002</v>
      </c>
      <c r="AB54" s="121">
        <v>3.0249999999999999</v>
      </c>
      <c r="AC54" s="121">
        <v>3.0659999999999998</v>
      </c>
      <c r="AD54" s="122">
        <v>3.0680000000000001</v>
      </c>
    </row>
    <row r="55" spans="1:30">
      <c r="A55" s="1">
        <f t="shared" si="3"/>
        <v>53</v>
      </c>
      <c r="B55" s="31"/>
      <c r="C55" s="4">
        <v>3</v>
      </c>
      <c r="D55" s="4">
        <f t="shared" si="0"/>
        <v>35</v>
      </c>
      <c r="E55" s="4" t="s">
        <v>87</v>
      </c>
      <c r="F55" s="4">
        <v>2</v>
      </c>
      <c r="G55" s="4" t="s">
        <v>11</v>
      </c>
      <c r="I55" s="119"/>
      <c r="J55" s="37">
        <v>3.82</v>
      </c>
      <c r="K55" s="7" t="s">
        <v>204</v>
      </c>
      <c r="L55" s="4" t="s">
        <v>13</v>
      </c>
      <c r="M55" s="22">
        <v>3.8119999999999998</v>
      </c>
      <c r="N55" s="1" t="s">
        <v>184</v>
      </c>
      <c r="P55" s="22">
        <v>4.4359999999999999</v>
      </c>
      <c r="Q55" s="22">
        <v>3.9950000000000001</v>
      </c>
      <c r="R55" s="22">
        <v>4.165</v>
      </c>
      <c r="S55" s="22">
        <v>3.9740000000000002</v>
      </c>
      <c r="T55" s="22">
        <v>4.1559999999999997</v>
      </c>
      <c r="U55" s="22">
        <v>3.9950000000000001</v>
      </c>
      <c r="V55" s="22">
        <v>3.871</v>
      </c>
      <c r="W55" s="22">
        <v>3.8420000000000001</v>
      </c>
      <c r="X55" s="121">
        <v>4.2549999999999999</v>
      </c>
      <c r="Y55" s="121">
        <v>3.7730000000000001</v>
      </c>
      <c r="Z55" s="121">
        <v>3.8090000000000002</v>
      </c>
      <c r="AA55" s="121">
        <v>3.9009999999999998</v>
      </c>
      <c r="AB55" s="121">
        <v>3.823</v>
      </c>
      <c r="AC55" s="121">
        <v>3.86</v>
      </c>
      <c r="AD55" s="122">
        <v>3.8660000000000001</v>
      </c>
    </row>
    <row r="56" spans="1:30">
      <c r="A56" s="1">
        <f t="shared" si="3"/>
        <v>54</v>
      </c>
      <c r="B56" s="31" t="s">
        <v>485</v>
      </c>
      <c r="C56" s="4">
        <v>1</v>
      </c>
      <c r="D56" s="4">
        <f t="shared" si="0"/>
        <v>12</v>
      </c>
      <c r="E56" s="1" t="s">
        <v>481</v>
      </c>
      <c r="F56" s="1">
        <v>2</v>
      </c>
      <c r="G56" s="1" t="s">
        <v>11</v>
      </c>
      <c r="H56" s="1"/>
      <c r="I56" s="1">
        <v>1.7999999999999999E-2</v>
      </c>
      <c r="J56" s="37">
        <v>2.911</v>
      </c>
      <c r="K56" s="7" t="s">
        <v>189</v>
      </c>
      <c r="L56" s="4" t="s">
        <v>13</v>
      </c>
      <c r="M56" s="22">
        <v>2.8990000000000005</v>
      </c>
      <c r="N56" s="1" t="s">
        <v>434</v>
      </c>
      <c r="O56" s="1"/>
      <c r="P56" s="22">
        <v>3.3295000000000003</v>
      </c>
      <c r="Q56" s="41"/>
      <c r="R56" s="22">
        <v>3.3245</v>
      </c>
      <c r="S56" s="22">
        <v>3.2975000000000003</v>
      </c>
      <c r="T56" s="22">
        <v>3.2264999999999997</v>
      </c>
      <c r="U56" s="22">
        <v>3.21</v>
      </c>
      <c r="V56" s="22">
        <v>3.1150000000000002</v>
      </c>
      <c r="W56" s="22">
        <v>3.097</v>
      </c>
      <c r="X56" s="121">
        <v>3.2040000000000002</v>
      </c>
      <c r="Y56" s="121">
        <v>2.6949999999999998</v>
      </c>
      <c r="Z56" s="121">
        <v>2.8889999999999998</v>
      </c>
      <c r="AA56" s="121">
        <v>2.9590000000000001</v>
      </c>
      <c r="AB56" s="121">
        <v>2.952</v>
      </c>
      <c r="AC56" s="121">
        <v>2.867</v>
      </c>
      <c r="AD56" s="122">
        <v>2.92</v>
      </c>
    </row>
    <row r="57" spans="1:30">
      <c r="A57" s="1">
        <f t="shared" si="3"/>
        <v>55</v>
      </c>
      <c r="B57" s="31"/>
      <c r="C57" s="4">
        <v>1</v>
      </c>
      <c r="D57" s="4">
        <f t="shared" si="0"/>
        <v>12</v>
      </c>
      <c r="E57" s="4" t="s">
        <v>486</v>
      </c>
      <c r="F57" s="1">
        <v>2</v>
      </c>
      <c r="G57" s="1" t="s">
        <v>11</v>
      </c>
      <c r="H57" s="1"/>
      <c r="I57" s="119"/>
      <c r="J57" s="37">
        <v>3.2949999999999999</v>
      </c>
      <c r="K57" s="7" t="s">
        <v>189</v>
      </c>
      <c r="L57" s="4" t="s">
        <v>13</v>
      </c>
      <c r="M57" s="22">
        <v>3.2879999999999998</v>
      </c>
      <c r="N57" s="1" t="s">
        <v>434</v>
      </c>
      <c r="O57" s="1"/>
      <c r="P57" s="41"/>
      <c r="Q57" s="41"/>
      <c r="R57" s="41"/>
      <c r="S57" s="41"/>
      <c r="T57" s="22">
        <v>4.5789999999999997</v>
      </c>
      <c r="U57" s="22">
        <v>4.391</v>
      </c>
      <c r="V57" s="22">
        <v>3.6110000000000002</v>
      </c>
      <c r="W57" s="22">
        <v>3.5459999999999998</v>
      </c>
      <c r="X57" s="121">
        <v>3.2189999999999999</v>
      </c>
      <c r="Y57" s="121">
        <v>3.093</v>
      </c>
      <c r="Z57" s="121">
        <v>3.246</v>
      </c>
      <c r="AA57" s="121">
        <v>3.3140000000000001</v>
      </c>
      <c r="AB57" s="121">
        <v>3.3090000000000002</v>
      </c>
      <c r="AC57" s="121">
        <v>3.2610000000000001</v>
      </c>
      <c r="AD57" s="122">
        <v>3.3050000000000002</v>
      </c>
    </row>
    <row r="58" spans="1:30">
      <c r="A58" s="1">
        <f t="shared" si="3"/>
        <v>56</v>
      </c>
      <c r="B58" s="31"/>
      <c r="C58" s="4">
        <v>1</v>
      </c>
      <c r="D58" s="4">
        <f t="shared" si="0"/>
        <v>12</v>
      </c>
      <c r="E58" s="4" t="s">
        <v>479</v>
      </c>
      <c r="F58" s="1">
        <v>2</v>
      </c>
      <c r="G58" s="1" t="s">
        <v>11</v>
      </c>
      <c r="H58" s="1"/>
      <c r="I58" s="1">
        <v>5.0000000000000001E-3</v>
      </c>
      <c r="J58" s="37">
        <v>3.9820000000000002</v>
      </c>
      <c r="K58" s="7" t="s">
        <v>189</v>
      </c>
      <c r="L58" s="4" t="s">
        <v>13</v>
      </c>
      <c r="M58" s="22">
        <v>3.9660000000000002</v>
      </c>
      <c r="N58" s="1" t="s">
        <v>434</v>
      </c>
      <c r="O58" s="1"/>
      <c r="P58" s="41"/>
      <c r="Q58" s="41"/>
      <c r="R58" s="41"/>
      <c r="S58" s="41"/>
      <c r="T58" s="22">
        <v>5.4720000000000004</v>
      </c>
      <c r="U58" s="22">
        <v>5.3559999999999999</v>
      </c>
      <c r="V58" s="22">
        <v>4.4489999999999998</v>
      </c>
      <c r="W58" s="22">
        <v>4.4039999999999999</v>
      </c>
      <c r="X58" s="121">
        <v>4.2229999999999999</v>
      </c>
      <c r="Y58" s="121">
        <v>3.823</v>
      </c>
      <c r="Z58" s="121">
        <v>3.9980000000000002</v>
      </c>
      <c r="AA58" s="121">
        <v>4.1639999999999997</v>
      </c>
      <c r="AB58" s="121">
        <v>4.1289999999999996</v>
      </c>
      <c r="AC58" s="121">
        <v>3.976</v>
      </c>
      <c r="AD58" s="122">
        <v>4.0339999999999998</v>
      </c>
    </row>
    <row r="59" spans="1:30">
      <c r="A59" s="1">
        <f t="shared" si="3"/>
        <v>57</v>
      </c>
      <c r="B59" s="31"/>
      <c r="C59" s="4">
        <v>1</v>
      </c>
      <c r="D59" s="4">
        <f t="shared" si="0"/>
        <v>12</v>
      </c>
      <c r="E59" s="4" t="s">
        <v>479</v>
      </c>
      <c r="F59" s="1">
        <v>2</v>
      </c>
      <c r="G59" s="1" t="s">
        <v>14</v>
      </c>
      <c r="H59" s="1"/>
      <c r="I59" s="1">
        <v>3.9E-2</v>
      </c>
      <c r="J59" s="37">
        <v>6.4939999999999998</v>
      </c>
      <c r="K59" s="7" t="s">
        <v>189</v>
      </c>
      <c r="L59" s="4" t="s">
        <v>13</v>
      </c>
      <c r="M59" s="22">
        <v>6.5109999999999992</v>
      </c>
      <c r="N59" s="1" t="s">
        <v>434</v>
      </c>
      <c r="O59" s="1"/>
      <c r="P59" s="22">
        <v>6.8070000000000004</v>
      </c>
      <c r="Q59" s="22">
        <v>6.43</v>
      </c>
      <c r="R59" s="22">
        <v>6.7539999999999996</v>
      </c>
      <c r="S59" s="22">
        <v>6.7110000000000003</v>
      </c>
      <c r="T59" s="22">
        <v>6.548</v>
      </c>
      <c r="U59" s="22">
        <v>6.5330000000000004</v>
      </c>
      <c r="V59" s="22">
        <v>6.5</v>
      </c>
      <c r="W59" s="22">
        <v>6.4969999999999999</v>
      </c>
      <c r="X59" s="121">
        <v>6.0620000000000003</v>
      </c>
      <c r="Y59" s="121">
        <v>6.5179999999999998</v>
      </c>
      <c r="Z59" s="121">
        <v>6.5010000000000003</v>
      </c>
      <c r="AA59" s="121">
        <v>6.4619999999999997</v>
      </c>
      <c r="AB59" s="121">
        <v>6.4420000000000002</v>
      </c>
      <c r="AC59" s="121">
        <v>6.5140000000000002</v>
      </c>
      <c r="AD59" s="122">
        <v>6.5110000000000001</v>
      </c>
    </row>
    <row r="60" spans="1:30">
      <c r="A60" s="1">
        <f t="shared" si="3"/>
        <v>58</v>
      </c>
      <c r="B60" s="31"/>
      <c r="C60" s="4">
        <v>1</v>
      </c>
      <c r="D60" s="4">
        <f t="shared" si="0"/>
        <v>12</v>
      </c>
      <c r="E60" s="4" t="s">
        <v>487</v>
      </c>
      <c r="F60" s="1">
        <v>4</v>
      </c>
      <c r="G60" s="1" t="s">
        <v>11</v>
      </c>
      <c r="H60" s="1"/>
      <c r="I60" s="119"/>
      <c r="J60" s="37">
        <v>0.72</v>
      </c>
      <c r="K60" s="7" t="s">
        <v>189</v>
      </c>
      <c r="L60" s="4" t="s">
        <v>13</v>
      </c>
      <c r="M60" s="22">
        <v>0.74399999999999988</v>
      </c>
      <c r="N60" s="1" t="s">
        <v>434</v>
      </c>
      <c r="O60" s="1"/>
      <c r="P60" s="22">
        <v>1.2789999999999999</v>
      </c>
      <c r="Q60" s="22">
        <v>0.32500000000000001</v>
      </c>
      <c r="R60" s="22">
        <v>1.129</v>
      </c>
      <c r="S60" s="22">
        <v>1.284</v>
      </c>
      <c r="T60" s="22">
        <v>1.0349999999999999</v>
      </c>
      <c r="U60" s="22">
        <v>1.0029999999999999</v>
      </c>
      <c r="V60" s="22">
        <v>0.88100000000000001</v>
      </c>
      <c r="W60" s="22">
        <v>0.85499999999999998</v>
      </c>
      <c r="X60" s="121">
        <v>0.26100000000000001</v>
      </c>
      <c r="Y60" s="121">
        <v>0.51100000000000001</v>
      </c>
      <c r="Z60" s="121">
        <v>0.58799999999999997</v>
      </c>
      <c r="AA60" s="121">
        <v>0.66200000000000003</v>
      </c>
      <c r="AB60" s="121">
        <v>0.68300000000000005</v>
      </c>
      <c r="AC60" s="121">
        <v>0.67300000000000004</v>
      </c>
      <c r="AD60" s="122">
        <v>0.67900000000000005</v>
      </c>
    </row>
    <row r="61" spans="1:30">
      <c r="A61" s="1">
        <f t="shared" si="3"/>
        <v>59</v>
      </c>
      <c r="B61" s="31"/>
      <c r="C61" s="4">
        <v>1</v>
      </c>
      <c r="D61" s="4">
        <f t="shared" si="0"/>
        <v>12</v>
      </c>
      <c r="E61" s="1" t="s">
        <v>483</v>
      </c>
      <c r="F61" s="1">
        <v>4</v>
      </c>
      <c r="G61" s="1" t="s">
        <v>14</v>
      </c>
      <c r="H61" s="1"/>
      <c r="I61" s="119"/>
      <c r="J61" s="37">
        <v>7.6630000000000003</v>
      </c>
      <c r="K61" s="7" t="s">
        <v>189</v>
      </c>
      <c r="L61" s="4" t="s">
        <v>13</v>
      </c>
      <c r="M61" s="22">
        <v>7.697000000000001</v>
      </c>
      <c r="N61" s="1" t="s">
        <v>434</v>
      </c>
      <c r="O61" s="1"/>
      <c r="P61" s="22">
        <v>7.8639999999999999</v>
      </c>
      <c r="Q61" s="22">
        <v>7.9050000000000002</v>
      </c>
      <c r="R61" s="22">
        <v>7.843</v>
      </c>
      <c r="S61" s="22">
        <v>7.8440000000000003</v>
      </c>
      <c r="T61" s="22">
        <v>7.899</v>
      </c>
      <c r="U61" s="22">
        <v>7.8920000000000003</v>
      </c>
      <c r="V61" s="22">
        <v>7.8109999999999999</v>
      </c>
      <c r="W61" s="22">
        <v>7.8</v>
      </c>
      <c r="X61" s="121">
        <v>6.8819999999999997</v>
      </c>
      <c r="Y61" s="121">
        <v>7.4630000000000001</v>
      </c>
      <c r="Z61" s="121">
        <v>7.5019999999999998</v>
      </c>
      <c r="AA61" s="121">
        <v>7.55</v>
      </c>
      <c r="AB61" s="121">
        <v>7.5869999999999997</v>
      </c>
      <c r="AC61" s="121">
        <v>7.5860000000000003</v>
      </c>
      <c r="AD61" s="122">
        <v>7.5839999999999996</v>
      </c>
    </row>
    <row r="62" spans="1:30">
      <c r="A62" s="1">
        <f t="shared" si="3"/>
        <v>60</v>
      </c>
      <c r="B62" s="31" t="s">
        <v>488</v>
      </c>
      <c r="C62" s="4">
        <v>2</v>
      </c>
      <c r="D62" s="4">
        <f t="shared" si="0"/>
        <v>12</v>
      </c>
      <c r="E62" s="1" t="s">
        <v>466</v>
      </c>
      <c r="F62" s="1">
        <v>2</v>
      </c>
      <c r="G62" s="1" t="s">
        <v>11</v>
      </c>
      <c r="H62" s="1"/>
      <c r="I62" s="119"/>
      <c r="J62" s="37">
        <v>3.9740000000000011</v>
      </c>
      <c r="K62" s="1" t="s">
        <v>270</v>
      </c>
      <c r="L62" s="4" t="s">
        <v>13</v>
      </c>
      <c r="M62" s="22">
        <v>3.9620000000000011</v>
      </c>
      <c r="N62" s="1" t="s">
        <v>184</v>
      </c>
      <c r="O62" s="1"/>
      <c r="P62" s="22">
        <v>4.5739999999999998</v>
      </c>
      <c r="Q62" s="22">
        <v>3.7639999999999998</v>
      </c>
      <c r="R62" s="22">
        <v>4.1589999999999998</v>
      </c>
      <c r="S62" s="22">
        <v>4.4109999999999996</v>
      </c>
      <c r="T62" s="22">
        <v>4.1379999999999999</v>
      </c>
      <c r="U62" s="22">
        <v>4.016</v>
      </c>
      <c r="V62" s="22">
        <v>4.016</v>
      </c>
      <c r="W62" s="22">
        <v>3.99</v>
      </c>
      <c r="X62" s="121">
        <v>4.2889999999999997</v>
      </c>
      <c r="Y62" s="121">
        <v>4.1959999999999997</v>
      </c>
      <c r="Z62" s="121">
        <v>4.181</v>
      </c>
      <c r="AA62" s="121">
        <v>4.1379999999999999</v>
      </c>
      <c r="AB62" s="121">
        <v>4.12</v>
      </c>
      <c r="AC62" s="121">
        <v>4.1109999999999998</v>
      </c>
      <c r="AD62" s="122">
        <v>4.1189999999999998</v>
      </c>
    </row>
    <row r="63" spans="1:30">
      <c r="A63" s="1">
        <f t="shared" si="3"/>
        <v>61</v>
      </c>
      <c r="B63" s="31"/>
      <c r="C63" s="4">
        <v>2</v>
      </c>
      <c r="D63" s="4">
        <f t="shared" si="0"/>
        <v>12</v>
      </c>
      <c r="E63" s="1" t="s">
        <v>465</v>
      </c>
      <c r="F63" s="1">
        <v>2</v>
      </c>
      <c r="G63" s="1" t="s">
        <v>11</v>
      </c>
      <c r="H63" s="1"/>
      <c r="I63" s="1">
        <v>5.0000000000000001E-3</v>
      </c>
      <c r="J63" s="37">
        <v>4.383</v>
      </c>
      <c r="K63" s="1" t="s">
        <v>270</v>
      </c>
      <c r="L63" s="4" t="s">
        <v>13</v>
      </c>
      <c r="M63" s="22">
        <v>4.38</v>
      </c>
      <c r="N63" s="1" t="s">
        <v>184</v>
      </c>
      <c r="O63" s="1"/>
      <c r="P63" s="22">
        <v>4.4870000000000001</v>
      </c>
      <c r="Q63" s="22">
        <v>4.282</v>
      </c>
      <c r="R63" s="22">
        <v>4.4960000000000004</v>
      </c>
      <c r="S63" s="22">
        <v>4.5069999999999997</v>
      </c>
      <c r="T63" s="22">
        <v>4.4260000000000002</v>
      </c>
      <c r="U63" s="22">
        <v>4.42</v>
      </c>
      <c r="V63" s="22">
        <v>4.4029999999999996</v>
      </c>
      <c r="W63" s="22">
        <v>4.399</v>
      </c>
      <c r="X63" s="121">
        <v>4.4640000000000004</v>
      </c>
      <c r="Y63" s="121">
        <v>4.3540000000000001</v>
      </c>
      <c r="Z63" s="121">
        <v>4.3579999999999997</v>
      </c>
      <c r="AA63" s="121">
        <v>4.4160000000000004</v>
      </c>
      <c r="AB63" s="121">
        <v>4.4089999999999998</v>
      </c>
      <c r="AC63" s="121">
        <v>4.383</v>
      </c>
      <c r="AD63" s="122">
        <v>4.38</v>
      </c>
    </row>
    <row r="64" spans="1:30">
      <c r="A64" s="1">
        <f t="shared" si="3"/>
        <v>62</v>
      </c>
      <c r="B64" s="31"/>
      <c r="C64" s="4">
        <v>2</v>
      </c>
      <c r="D64" s="4">
        <f t="shared" si="0"/>
        <v>12</v>
      </c>
      <c r="E64" s="1" t="s">
        <v>466</v>
      </c>
      <c r="F64" s="1">
        <v>2</v>
      </c>
      <c r="G64" s="1" t="s">
        <v>11</v>
      </c>
      <c r="H64" s="1"/>
      <c r="I64" s="119"/>
      <c r="J64" s="37">
        <v>4.5910000000000011</v>
      </c>
      <c r="K64" s="1" t="s">
        <v>270</v>
      </c>
      <c r="L64" s="4" t="s">
        <v>13</v>
      </c>
      <c r="M64" s="22">
        <v>4.5780000000000012</v>
      </c>
      <c r="N64" s="1" t="s">
        <v>184</v>
      </c>
      <c r="O64" s="1"/>
      <c r="P64" s="22">
        <v>5.1050000000000004</v>
      </c>
      <c r="Q64" s="22">
        <v>4.51</v>
      </c>
      <c r="R64" s="22">
        <v>4.835</v>
      </c>
      <c r="S64" s="22">
        <v>4.992</v>
      </c>
      <c r="T64" s="22">
        <v>4.8170000000000002</v>
      </c>
      <c r="U64" s="22">
        <v>4.6989999999999998</v>
      </c>
      <c r="V64" s="22">
        <v>4.6550000000000002</v>
      </c>
      <c r="W64" s="22">
        <v>4.6260000000000003</v>
      </c>
      <c r="X64" s="121">
        <v>5.1340000000000003</v>
      </c>
      <c r="Y64" s="121">
        <v>4.5620000000000003</v>
      </c>
      <c r="Z64" s="121">
        <v>4.7300000000000004</v>
      </c>
      <c r="AA64" s="121">
        <v>4.7789999999999999</v>
      </c>
      <c r="AB64" s="121">
        <v>4.6820000000000004</v>
      </c>
      <c r="AC64" s="121">
        <v>4.6399999999999997</v>
      </c>
      <c r="AD64" s="122">
        <v>4.6890000000000001</v>
      </c>
    </row>
    <row r="65" spans="1:30">
      <c r="A65" s="1">
        <f t="shared" si="3"/>
        <v>63</v>
      </c>
      <c r="B65" s="31"/>
      <c r="C65" s="4">
        <v>2</v>
      </c>
      <c r="D65" s="4">
        <f t="shared" si="0"/>
        <v>12</v>
      </c>
      <c r="E65" s="1" t="s">
        <v>464</v>
      </c>
      <c r="F65" s="1">
        <v>2</v>
      </c>
      <c r="G65" s="1" t="s">
        <v>11</v>
      </c>
      <c r="H65" s="1" t="s">
        <v>321</v>
      </c>
      <c r="I65" s="1">
        <v>8.8999999999999996E-2</v>
      </c>
      <c r="J65" s="50">
        <v>6.3910000000000018</v>
      </c>
      <c r="K65" s="1" t="s">
        <v>270</v>
      </c>
      <c r="L65" s="10" t="s">
        <v>111</v>
      </c>
      <c r="M65" s="22">
        <v>6.3980000000000015</v>
      </c>
      <c r="N65" s="1" t="s">
        <v>184</v>
      </c>
      <c r="O65" s="1"/>
      <c r="P65" s="41"/>
      <c r="Q65" s="41"/>
      <c r="R65" s="41"/>
      <c r="S65" s="41"/>
      <c r="T65" s="22">
        <v>9.4149999999999991</v>
      </c>
      <c r="U65" s="22">
        <v>9.1449999999999996</v>
      </c>
      <c r="V65" s="22">
        <v>7.2039999999999997</v>
      </c>
      <c r="W65" s="22">
        <v>7.0439999999999996</v>
      </c>
      <c r="X65" s="121">
        <v>6.6</v>
      </c>
      <c r="Y65" s="121">
        <v>6.2279999999999998</v>
      </c>
      <c r="Z65" s="121">
        <v>6.383</v>
      </c>
      <c r="AA65" s="121">
        <v>6.4409999999999998</v>
      </c>
      <c r="AB65" s="121">
        <v>6.4249999999999998</v>
      </c>
      <c r="AC65" s="121">
        <v>6.3330000000000002</v>
      </c>
      <c r="AD65" s="122">
        <v>6.3730000000000002</v>
      </c>
    </row>
    <row r="66" spans="1:30">
      <c r="A66" s="1">
        <f t="shared" si="3"/>
        <v>64</v>
      </c>
      <c r="B66" s="31"/>
      <c r="C66" s="4">
        <v>2</v>
      </c>
      <c r="D66" s="4">
        <f t="shared" si="0"/>
        <v>12</v>
      </c>
      <c r="E66" s="1" t="s">
        <v>465</v>
      </c>
      <c r="F66" s="1">
        <v>2</v>
      </c>
      <c r="G66" s="1" t="s">
        <v>14</v>
      </c>
      <c r="H66" s="1"/>
      <c r="I66" s="1">
        <v>7.0000000000000001E-3</v>
      </c>
      <c r="J66" s="37">
        <v>6.8109999999999999</v>
      </c>
      <c r="K66" s="1" t="s">
        <v>270</v>
      </c>
      <c r="L66" s="4" t="s">
        <v>13</v>
      </c>
      <c r="M66" s="22">
        <v>6.8359999999999994</v>
      </c>
      <c r="N66" s="1" t="s">
        <v>184</v>
      </c>
      <c r="O66" s="1"/>
      <c r="P66" s="22">
        <v>7.2619999999999996</v>
      </c>
      <c r="Q66" s="22">
        <v>7.1369999999999996</v>
      </c>
      <c r="R66" s="22">
        <v>6.7830000000000004</v>
      </c>
      <c r="S66" s="22">
        <v>7.0209999999999999</v>
      </c>
      <c r="T66" s="22">
        <v>7.0389999999999997</v>
      </c>
      <c r="U66" s="22">
        <v>6.9589999999999996</v>
      </c>
      <c r="V66" s="22">
        <v>6.843</v>
      </c>
      <c r="W66" s="22">
        <v>6.8150000000000004</v>
      </c>
      <c r="X66" s="121">
        <v>6.2679999999999998</v>
      </c>
      <c r="Y66" s="121">
        <v>6.7839999999999998</v>
      </c>
      <c r="Z66" s="121">
        <v>6.7759999999999998</v>
      </c>
      <c r="AA66" s="121">
        <v>6.7640000000000002</v>
      </c>
      <c r="AB66" s="121">
        <v>6.7839999999999998</v>
      </c>
      <c r="AC66" s="121">
        <v>6.8</v>
      </c>
      <c r="AD66" s="122">
        <v>6.7880000000000003</v>
      </c>
    </row>
    <row r="67" spans="1:30">
      <c r="A67" s="1">
        <f t="shared" si="3"/>
        <v>65</v>
      </c>
      <c r="B67" s="31"/>
      <c r="C67" s="4">
        <v>2</v>
      </c>
      <c r="D67" s="4">
        <f t="shared" si="0"/>
        <v>12</v>
      </c>
      <c r="E67" s="1" t="s">
        <v>484</v>
      </c>
      <c r="F67" s="1">
        <v>2</v>
      </c>
      <c r="G67" s="1" t="s">
        <v>11</v>
      </c>
      <c r="H67" s="1" t="s">
        <v>320</v>
      </c>
      <c r="I67" s="1">
        <v>7.0000000000000001E-3</v>
      </c>
      <c r="J67" s="37">
        <v>7.5969999999999995</v>
      </c>
      <c r="K67" s="1" t="s">
        <v>270</v>
      </c>
      <c r="L67" s="4" t="s">
        <v>13</v>
      </c>
      <c r="M67" s="22">
        <v>7.601</v>
      </c>
      <c r="N67" s="1" t="s">
        <v>184</v>
      </c>
      <c r="O67" s="1"/>
      <c r="P67" s="22">
        <v>8.6159999999999997</v>
      </c>
      <c r="Q67" s="22">
        <v>7.6840000000000002</v>
      </c>
      <c r="R67" s="22">
        <v>8.3849999999999998</v>
      </c>
      <c r="S67" s="22">
        <v>8.5370000000000008</v>
      </c>
      <c r="T67" s="22">
        <v>8.27</v>
      </c>
      <c r="U67" s="22">
        <v>8.1780000000000008</v>
      </c>
      <c r="V67" s="22">
        <v>7.931</v>
      </c>
      <c r="W67" s="22">
        <v>7.8570000000000002</v>
      </c>
      <c r="X67" s="121">
        <v>7.9379999999999997</v>
      </c>
      <c r="Y67" s="121">
        <v>7.4169999999999998</v>
      </c>
      <c r="Z67" s="121">
        <v>7.61</v>
      </c>
      <c r="AA67" s="121">
        <v>7.7359999999999998</v>
      </c>
      <c r="AB67" s="121">
        <v>7.6909999999999998</v>
      </c>
      <c r="AC67" s="121">
        <v>7.609</v>
      </c>
      <c r="AD67" s="122">
        <v>7.6470000000000002</v>
      </c>
    </row>
    <row r="68" spans="1:30">
      <c r="A68" s="1">
        <f t="shared" si="3"/>
        <v>66</v>
      </c>
      <c r="B68" s="31"/>
      <c r="C68" s="4">
        <v>2</v>
      </c>
      <c r="D68" s="4">
        <f t="shared" ref="D68:D131" si="4">_xlfn.SWITCH(C68,1,12,2,12,3,35,4,35,5,35)</f>
        <v>12</v>
      </c>
      <c r="E68" s="1" t="s">
        <v>464</v>
      </c>
      <c r="F68" s="1">
        <v>2</v>
      </c>
      <c r="G68" s="1" t="s">
        <v>14</v>
      </c>
      <c r="H68" s="1"/>
      <c r="I68" s="1">
        <v>2.9000000000000001E-2</v>
      </c>
      <c r="J68" s="37">
        <v>7.753000000000001</v>
      </c>
      <c r="K68" s="1" t="s">
        <v>270</v>
      </c>
      <c r="L68" s="4" t="s">
        <v>13</v>
      </c>
      <c r="M68" s="22">
        <v>7.7710000000000017</v>
      </c>
      <c r="N68" s="1" t="s">
        <v>184</v>
      </c>
      <c r="O68" s="1"/>
      <c r="P68" s="22">
        <v>8.1389999999999993</v>
      </c>
      <c r="Q68" s="22">
        <v>8.0459999999999994</v>
      </c>
      <c r="R68" s="22">
        <v>7.6840000000000002</v>
      </c>
      <c r="S68" s="22">
        <v>7.9089999999999998</v>
      </c>
      <c r="T68" s="22">
        <v>7.9530000000000003</v>
      </c>
      <c r="U68" s="22">
        <v>7.8769999999999998</v>
      </c>
      <c r="V68" s="22">
        <v>7.782</v>
      </c>
      <c r="W68" s="22">
        <v>7.7569999999999997</v>
      </c>
      <c r="X68" s="121">
        <v>7.2039999999999997</v>
      </c>
      <c r="Y68" s="121">
        <v>7.7869999999999999</v>
      </c>
      <c r="Z68" s="121">
        <v>7.766</v>
      </c>
      <c r="AA68" s="121">
        <v>7.7439999999999998</v>
      </c>
      <c r="AB68" s="121">
        <v>7.7709999999999999</v>
      </c>
      <c r="AC68" s="121">
        <v>7.7469999999999999</v>
      </c>
      <c r="AD68" s="122">
        <v>7.7430000000000003</v>
      </c>
    </row>
    <row r="69" spans="1:30">
      <c r="A69" s="1">
        <f t="shared" si="3"/>
        <v>67</v>
      </c>
      <c r="B69" s="31"/>
      <c r="C69" s="4">
        <v>2</v>
      </c>
      <c r="D69" s="4">
        <f t="shared" si="4"/>
        <v>12</v>
      </c>
      <c r="E69" s="1" t="s">
        <v>465</v>
      </c>
      <c r="F69" s="1">
        <v>2</v>
      </c>
      <c r="G69" s="1" t="s">
        <v>14</v>
      </c>
      <c r="H69" s="1"/>
      <c r="I69" s="1">
        <v>2.1999999999999999E-2</v>
      </c>
      <c r="J69" s="37">
        <v>7.8679999999999986</v>
      </c>
      <c r="K69" s="1" t="s">
        <v>270</v>
      </c>
      <c r="L69" s="4" t="s">
        <v>13</v>
      </c>
      <c r="M69" s="22">
        <v>7.8639999999999981</v>
      </c>
      <c r="N69" s="1" t="s">
        <v>184</v>
      </c>
      <c r="O69" s="1"/>
      <c r="P69" s="22">
        <v>8.2569999999999997</v>
      </c>
      <c r="Q69" s="22">
        <v>8.1280000000000001</v>
      </c>
      <c r="R69" s="22">
        <v>7.8380000000000001</v>
      </c>
      <c r="S69" s="22">
        <v>8.0389999999999997</v>
      </c>
      <c r="T69" s="22">
        <v>8.0589999999999993</v>
      </c>
      <c r="U69" s="22">
        <v>7.9889999999999999</v>
      </c>
      <c r="V69" s="22">
        <v>7.8920000000000003</v>
      </c>
      <c r="W69" s="22">
        <v>7.8689999999999998</v>
      </c>
      <c r="X69" s="121">
        <v>7.19</v>
      </c>
      <c r="Y69" s="121">
        <v>7.806</v>
      </c>
      <c r="Z69" s="121">
        <v>7.7869999999999999</v>
      </c>
      <c r="AA69" s="121">
        <v>7.7949999999999999</v>
      </c>
      <c r="AB69" s="121">
        <v>7.82</v>
      </c>
      <c r="AC69" s="121">
        <v>7.84</v>
      </c>
      <c r="AD69" s="122">
        <v>7.819</v>
      </c>
    </row>
    <row r="70" spans="1:30">
      <c r="A70" s="1">
        <f t="shared" si="3"/>
        <v>68</v>
      </c>
      <c r="B70" s="31"/>
      <c r="C70" s="4">
        <v>2</v>
      </c>
      <c r="D70" s="4">
        <f t="shared" si="4"/>
        <v>12</v>
      </c>
      <c r="E70" s="1" t="s">
        <v>489</v>
      </c>
      <c r="F70" s="1">
        <v>4</v>
      </c>
      <c r="G70" s="1" t="s">
        <v>11</v>
      </c>
      <c r="H70" s="1"/>
      <c r="I70" s="119"/>
      <c r="J70" s="37">
        <v>5.2759999999999989</v>
      </c>
      <c r="K70" s="1" t="s">
        <v>270</v>
      </c>
      <c r="L70" s="4" t="s">
        <v>13</v>
      </c>
      <c r="M70" s="22">
        <v>5.2959999999999994</v>
      </c>
      <c r="N70" s="1" t="s">
        <v>184</v>
      </c>
      <c r="O70" s="1"/>
      <c r="P70" s="22">
        <v>5.7889999999999997</v>
      </c>
      <c r="Q70" s="41"/>
      <c r="R70" s="22">
        <v>5.7140000000000004</v>
      </c>
      <c r="S70" s="22">
        <v>5.72</v>
      </c>
      <c r="T70" s="22">
        <v>5.5419999999999998</v>
      </c>
      <c r="U70" s="22">
        <v>5.4779999999999998</v>
      </c>
      <c r="V70" s="22">
        <v>5.4470000000000001</v>
      </c>
      <c r="W70" s="22">
        <v>5.4249999999999998</v>
      </c>
      <c r="X70" s="121">
        <v>5.3090000000000002</v>
      </c>
      <c r="Y70" s="121">
        <v>5.1539999999999999</v>
      </c>
      <c r="Z70" s="121">
        <v>5.282</v>
      </c>
      <c r="AA70" s="121">
        <v>5.3170000000000002</v>
      </c>
      <c r="AB70" s="121">
        <v>5.3120000000000003</v>
      </c>
      <c r="AC70" s="121">
        <v>5.24</v>
      </c>
      <c r="AD70" s="122">
        <v>5.2729999999999997</v>
      </c>
    </row>
    <row r="71" spans="1:30">
      <c r="A71" s="1">
        <f t="shared" si="3"/>
        <v>69</v>
      </c>
      <c r="B71" s="31"/>
      <c r="C71" s="4">
        <v>2</v>
      </c>
      <c r="D71" s="4">
        <f t="shared" si="4"/>
        <v>12</v>
      </c>
      <c r="E71" s="1" t="s">
        <v>467</v>
      </c>
      <c r="F71" s="1">
        <v>4</v>
      </c>
      <c r="G71" s="1" t="s">
        <v>11</v>
      </c>
      <c r="H71" s="1"/>
      <c r="I71" s="119"/>
      <c r="J71" s="50">
        <v>6.5600000000000014</v>
      </c>
      <c r="K71" s="1" t="s">
        <v>270</v>
      </c>
      <c r="L71" s="10" t="s">
        <v>111</v>
      </c>
      <c r="M71" s="22">
        <v>6.5730000000000004</v>
      </c>
      <c r="N71" s="1" t="s">
        <v>7</v>
      </c>
      <c r="O71" s="1"/>
      <c r="P71" s="22">
        <v>6.891</v>
      </c>
      <c r="Q71" s="22">
        <v>6.5880000000000001</v>
      </c>
      <c r="R71" s="22">
        <v>7.0880000000000001</v>
      </c>
      <c r="S71" s="22">
        <v>6.9870000000000001</v>
      </c>
      <c r="T71" s="22">
        <v>6.952</v>
      </c>
      <c r="U71" s="22">
        <v>6.97</v>
      </c>
      <c r="V71" s="22">
        <v>6.8259999999999996</v>
      </c>
      <c r="W71" s="22">
        <v>6.7729999999999997</v>
      </c>
      <c r="X71" s="121">
        <v>6.8609999999999998</v>
      </c>
      <c r="Y71" s="121">
        <v>6.3620000000000001</v>
      </c>
      <c r="Z71" s="121">
        <v>6.5389999999999997</v>
      </c>
      <c r="AA71" s="121">
        <v>6.657</v>
      </c>
      <c r="AB71" s="121">
        <v>6.6150000000000002</v>
      </c>
      <c r="AC71" s="121">
        <v>6.5659999999999998</v>
      </c>
      <c r="AD71" s="122">
        <v>6.593</v>
      </c>
    </row>
    <row r="72" spans="1:30">
      <c r="A72" s="1">
        <f t="shared" si="3"/>
        <v>70</v>
      </c>
      <c r="B72" s="31" t="s">
        <v>490</v>
      </c>
      <c r="C72" s="1">
        <v>2</v>
      </c>
      <c r="D72" s="4">
        <f t="shared" si="4"/>
        <v>12</v>
      </c>
      <c r="E72" s="1" t="s">
        <v>464</v>
      </c>
      <c r="F72" s="1">
        <v>2</v>
      </c>
      <c r="G72" s="1" t="s">
        <v>11</v>
      </c>
      <c r="H72" s="1"/>
      <c r="I72" s="119"/>
      <c r="J72" s="37">
        <v>3.84</v>
      </c>
      <c r="K72" s="1" t="s">
        <v>270</v>
      </c>
      <c r="L72" s="4" t="s">
        <v>13</v>
      </c>
      <c r="M72" s="22">
        <v>3.8200000000000003</v>
      </c>
      <c r="N72" s="1" t="s">
        <v>184</v>
      </c>
      <c r="O72" s="1"/>
      <c r="P72" s="22">
        <v>3.895</v>
      </c>
      <c r="Q72" s="22">
        <v>3.4089999999999998</v>
      </c>
      <c r="R72" s="22">
        <v>4.0330000000000004</v>
      </c>
      <c r="S72" s="22">
        <v>4.0019999999999998</v>
      </c>
      <c r="T72" s="22">
        <v>3.8530000000000002</v>
      </c>
      <c r="U72" s="22">
        <v>3.8319999999999999</v>
      </c>
      <c r="V72" s="22">
        <v>3.8450000000000002</v>
      </c>
      <c r="W72" s="22">
        <v>3.8450000000000002</v>
      </c>
      <c r="X72" s="121">
        <v>3.9870000000000001</v>
      </c>
      <c r="Y72" s="121">
        <v>3.9239999999999999</v>
      </c>
      <c r="Z72" s="121">
        <v>3.9039999999999999</v>
      </c>
      <c r="AA72" s="121">
        <v>3.85</v>
      </c>
      <c r="AB72" s="121">
        <v>3.85</v>
      </c>
      <c r="AC72" s="121">
        <v>3.8519999999999999</v>
      </c>
      <c r="AD72" s="122">
        <v>3.8530000000000002</v>
      </c>
    </row>
    <row r="73" spans="1:30">
      <c r="A73" s="1">
        <f t="shared" si="3"/>
        <v>71</v>
      </c>
      <c r="B73" s="31"/>
      <c r="C73" s="1">
        <v>2</v>
      </c>
      <c r="D73" s="4">
        <f t="shared" si="4"/>
        <v>12</v>
      </c>
      <c r="E73" s="1" t="s">
        <v>465</v>
      </c>
      <c r="F73" s="1">
        <v>2</v>
      </c>
      <c r="G73" s="1" t="s">
        <v>11</v>
      </c>
      <c r="H73" s="1"/>
      <c r="I73" s="22">
        <v>0</v>
      </c>
      <c r="J73" s="37">
        <v>5.2270000000000003</v>
      </c>
      <c r="K73" s="1" t="s">
        <v>538</v>
      </c>
      <c r="L73" s="4" t="s">
        <v>13</v>
      </c>
      <c r="M73" s="22">
        <v>5.2249999999999996</v>
      </c>
      <c r="N73" s="1" t="s">
        <v>184</v>
      </c>
      <c r="O73" s="1"/>
      <c r="P73" s="22">
        <v>5.31</v>
      </c>
      <c r="Q73" s="22">
        <v>4.9989999999999997</v>
      </c>
      <c r="R73" s="22">
        <v>5.4009999999999998</v>
      </c>
      <c r="S73" s="22">
        <v>5.3639999999999999</v>
      </c>
      <c r="T73" s="22">
        <v>5.2770000000000001</v>
      </c>
      <c r="U73" s="22">
        <v>5.258</v>
      </c>
      <c r="V73" s="22">
        <v>5.2469999999999999</v>
      </c>
      <c r="W73" s="22">
        <v>5.2409999999999997</v>
      </c>
      <c r="X73" s="121">
        <v>5.3630000000000004</v>
      </c>
      <c r="Y73" s="121">
        <v>5.2329999999999997</v>
      </c>
      <c r="Z73" s="121">
        <v>5.2329999999999997</v>
      </c>
      <c r="AA73" s="121">
        <v>5.2590000000000003</v>
      </c>
      <c r="AB73" s="121">
        <v>5.2560000000000002</v>
      </c>
      <c r="AC73" s="121">
        <v>5.2329999999999997</v>
      </c>
      <c r="AD73" s="122">
        <v>5.2329999999999997</v>
      </c>
    </row>
    <row r="74" spans="1:30">
      <c r="A74" s="1">
        <f t="shared" si="3"/>
        <v>72</v>
      </c>
      <c r="B74" s="31"/>
      <c r="C74" s="1">
        <v>2</v>
      </c>
      <c r="D74" s="4">
        <f t="shared" si="4"/>
        <v>12</v>
      </c>
      <c r="E74" s="1" t="s">
        <v>464</v>
      </c>
      <c r="F74" s="1">
        <v>2</v>
      </c>
      <c r="G74" s="1" t="s">
        <v>11</v>
      </c>
      <c r="H74" s="1"/>
      <c r="I74" s="119"/>
      <c r="J74" s="37">
        <v>5.6859999999999991</v>
      </c>
      <c r="K74" s="1" t="s">
        <v>270</v>
      </c>
      <c r="L74" s="4" t="s">
        <v>13</v>
      </c>
      <c r="M74" s="22">
        <v>5.6769999999999996</v>
      </c>
      <c r="N74" s="1" t="s">
        <v>184</v>
      </c>
      <c r="O74" s="1"/>
      <c r="P74" s="22">
        <v>6.14</v>
      </c>
      <c r="Q74" s="22">
        <v>5.83</v>
      </c>
      <c r="R74" s="22">
        <v>6.1849999999999996</v>
      </c>
      <c r="S74" s="22">
        <v>6.0869999999999997</v>
      </c>
      <c r="T74" s="22">
        <v>5.9119999999999999</v>
      </c>
      <c r="U74" s="22">
        <v>5.8570000000000002</v>
      </c>
      <c r="V74" s="22">
        <v>5.7640000000000002</v>
      </c>
      <c r="W74" s="22">
        <v>5.7450000000000001</v>
      </c>
      <c r="X74" s="121">
        <v>6.234</v>
      </c>
      <c r="Y74" s="121">
        <v>5.7320000000000002</v>
      </c>
      <c r="Z74" s="121">
        <v>5.8010000000000002</v>
      </c>
      <c r="AA74" s="121">
        <v>5.8259999999999996</v>
      </c>
      <c r="AB74" s="121">
        <v>5.7450000000000001</v>
      </c>
      <c r="AC74" s="121">
        <v>5.7539999999999996</v>
      </c>
      <c r="AD74" s="122">
        <v>5.77</v>
      </c>
    </row>
    <row r="75" spans="1:30">
      <c r="A75" s="1">
        <f t="shared" si="3"/>
        <v>73</v>
      </c>
      <c r="B75" s="31"/>
      <c r="C75" s="1">
        <v>2</v>
      </c>
      <c r="D75" s="4">
        <f t="shared" si="4"/>
        <v>12</v>
      </c>
      <c r="E75" s="1" t="s">
        <v>466</v>
      </c>
      <c r="F75" s="1">
        <v>2</v>
      </c>
      <c r="G75" s="1" t="s">
        <v>11</v>
      </c>
      <c r="H75" s="1"/>
      <c r="I75" s="1">
        <v>2.4E-2</v>
      </c>
      <c r="J75" s="37">
        <v>6.4019999999999992</v>
      </c>
      <c r="K75" s="1" t="s">
        <v>270</v>
      </c>
      <c r="L75" s="4" t="s">
        <v>13</v>
      </c>
      <c r="M75" s="22">
        <v>6.3939999999999984</v>
      </c>
      <c r="N75" s="1" t="s">
        <v>184</v>
      </c>
      <c r="O75" s="1"/>
      <c r="P75" s="22">
        <v>6.9939999999999998</v>
      </c>
      <c r="Q75" s="22">
        <v>6.2910000000000004</v>
      </c>
      <c r="R75" s="22">
        <v>6.7649999999999997</v>
      </c>
      <c r="S75" s="22">
        <v>6.6820000000000004</v>
      </c>
      <c r="T75" s="22">
        <v>6.758</v>
      </c>
      <c r="U75" s="22">
        <v>6.72</v>
      </c>
      <c r="V75" s="22">
        <v>6.5419999999999998</v>
      </c>
      <c r="W75" s="22">
        <v>6.52</v>
      </c>
      <c r="X75" s="121">
        <v>6.69</v>
      </c>
      <c r="Y75" s="121">
        <v>6.4480000000000004</v>
      </c>
      <c r="Z75" s="121">
        <v>6.508</v>
      </c>
      <c r="AA75" s="121">
        <v>6.5419999999999998</v>
      </c>
      <c r="AB75" s="121">
        <v>6.4889999999999999</v>
      </c>
      <c r="AC75" s="121">
        <v>6.476</v>
      </c>
      <c r="AD75" s="122">
        <v>6.4950000000000001</v>
      </c>
    </row>
    <row r="76" spans="1:30">
      <c r="A76" s="1">
        <f t="shared" si="3"/>
        <v>74</v>
      </c>
      <c r="B76" s="31"/>
      <c r="C76" s="1">
        <v>2</v>
      </c>
      <c r="D76" s="4">
        <f t="shared" si="4"/>
        <v>12</v>
      </c>
      <c r="E76" s="1" t="s">
        <v>496</v>
      </c>
      <c r="F76" s="1">
        <v>4</v>
      </c>
      <c r="G76" s="1" t="s">
        <v>11</v>
      </c>
      <c r="H76" s="1"/>
      <c r="I76" s="119"/>
      <c r="J76" s="124">
        <v>6.9020000000000001</v>
      </c>
      <c r="K76" s="1" t="s">
        <v>270</v>
      </c>
      <c r="L76" s="10" t="s">
        <v>111</v>
      </c>
      <c r="M76" s="22">
        <v>6.9280000000000008</v>
      </c>
      <c r="N76" s="1" t="s">
        <v>184</v>
      </c>
      <c r="O76" s="1"/>
      <c r="P76" s="22">
        <v>7.71</v>
      </c>
      <c r="Q76" s="22">
        <v>6.5529999999999999</v>
      </c>
      <c r="R76" s="22">
        <v>7.6689999999999996</v>
      </c>
      <c r="S76" s="22">
        <v>7.6909999999999998</v>
      </c>
      <c r="T76" s="22">
        <v>7.3419999999999996</v>
      </c>
      <c r="U76" s="22">
        <v>7.335</v>
      </c>
      <c r="V76" s="22">
        <v>7.1420000000000003</v>
      </c>
      <c r="W76" s="22">
        <v>7.1289999999999996</v>
      </c>
      <c r="X76" s="121">
        <v>7.0190000000000001</v>
      </c>
      <c r="Y76" s="121">
        <v>6.7370000000000001</v>
      </c>
      <c r="Z76" s="121">
        <v>6.8650000000000002</v>
      </c>
      <c r="AA76" s="121">
        <v>6.9429999999999996</v>
      </c>
      <c r="AB76" s="121">
        <v>6.92</v>
      </c>
      <c r="AC76" s="121">
        <v>6.8689999999999998</v>
      </c>
      <c r="AD76" s="122">
        <v>6.89</v>
      </c>
    </row>
    <row r="77" spans="1:30">
      <c r="A77" s="1">
        <f t="shared" si="3"/>
        <v>75</v>
      </c>
      <c r="B77" s="31"/>
      <c r="C77" s="1">
        <v>2</v>
      </c>
      <c r="D77" s="4">
        <f t="shared" si="4"/>
        <v>12</v>
      </c>
      <c r="E77" s="1" t="s">
        <v>467</v>
      </c>
      <c r="F77" s="1">
        <v>4</v>
      </c>
      <c r="G77" s="1" t="s">
        <v>11</v>
      </c>
      <c r="H77" s="1"/>
      <c r="I77" s="119"/>
      <c r="J77" s="37">
        <v>8.9269999999999996</v>
      </c>
      <c r="K77" s="1" t="s">
        <v>270</v>
      </c>
      <c r="L77" s="4" t="s">
        <v>13</v>
      </c>
      <c r="M77" s="22">
        <v>8.945999999999998</v>
      </c>
      <c r="N77" s="1" t="s">
        <v>184</v>
      </c>
      <c r="O77" s="1"/>
      <c r="P77" s="22">
        <v>9.4429999999999996</v>
      </c>
      <c r="Q77" s="22">
        <v>7.7119999999999997</v>
      </c>
      <c r="R77" s="22">
        <v>9.484</v>
      </c>
      <c r="S77" s="22">
        <v>9.5250000000000004</v>
      </c>
      <c r="T77" s="22">
        <v>9.3510000000000009</v>
      </c>
      <c r="U77" s="22">
        <v>9.3650000000000002</v>
      </c>
      <c r="V77" s="22">
        <v>9.1620000000000008</v>
      </c>
      <c r="W77" s="22">
        <v>9.14</v>
      </c>
      <c r="X77" s="121">
        <v>9.3569999999999993</v>
      </c>
      <c r="Y77" s="121">
        <v>8.7409999999999997</v>
      </c>
      <c r="Z77" s="121">
        <v>8.9039999999999999</v>
      </c>
      <c r="AA77" s="121">
        <v>9.0280000000000005</v>
      </c>
      <c r="AB77" s="121">
        <v>8.9789999999999992</v>
      </c>
      <c r="AC77" s="121">
        <v>8.9380000000000006</v>
      </c>
      <c r="AD77" s="122">
        <v>8.9589999999999996</v>
      </c>
    </row>
    <row r="78" spans="1:30">
      <c r="A78" s="1">
        <f t="shared" si="3"/>
        <v>76</v>
      </c>
      <c r="B78" s="31" t="s">
        <v>491</v>
      </c>
      <c r="C78" s="1">
        <v>1</v>
      </c>
      <c r="D78" s="4">
        <f t="shared" si="4"/>
        <v>12</v>
      </c>
      <c r="E78" s="1" t="s">
        <v>493</v>
      </c>
      <c r="F78" s="1">
        <v>2</v>
      </c>
      <c r="G78" s="1" t="s">
        <v>14</v>
      </c>
      <c r="H78" s="1"/>
      <c r="I78" s="1">
        <v>4.4999999999999998E-2</v>
      </c>
      <c r="J78" s="37">
        <v>5.86</v>
      </c>
      <c r="K78" s="7" t="s">
        <v>103</v>
      </c>
      <c r="L78" s="4" t="s">
        <v>13</v>
      </c>
      <c r="M78" s="22">
        <v>5.8780000000000001</v>
      </c>
      <c r="N78" s="1" t="s">
        <v>184</v>
      </c>
      <c r="O78" s="1"/>
      <c r="P78" s="22">
        <v>6.0049999999999999</v>
      </c>
      <c r="Q78" s="22">
        <v>5.8230000000000004</v>
      </c>
      <c r="R78" s="22">
        <v>5.9279999999999999</v>
      </c>
      <c r="S78" s="22">
        <v>5.8819999999999997</v>
      </c>
      <c r="T78" s="22">
        <v>5.8879999999999999</v>
      </c>
      <c r="U78" s="22">
        <v>5.8739999999999997</v>
      </c>
      <c r="V78" s="22">
        <v>5.8570000000000002</v>
      </c>
      <c r="W78" s="22">
        <v>5.8529999999999998</v>
      </c>
      <c r="X78" s="121">
        <v>5.2270000000000003</v>
      </c>
      <c r="Y78" s="121">
        <v>5.9169999999999998</v>
      </c>
      <c r="Z78" s="121">
        <v>5.867</v>
      </c>
      <c r="AA78" s="121">
        <v>5.7990000000000004</v>
      </c>
      <c r="AB78" s="121">
        <v>5.8019999999999996</v>
      </c>
      <c r="AC78" s="121">
        <v>5.8929999999999998</v>
      </c>
      <c r="AD78" s="122">
        <v>5.8789999999999996</v>
      </c>
    </row>
    <row r="79" spans="1:30">
      <c r="A79" s="1">
        <f t="shared" si="3"/>
        <v>77</v>
      </c>
      <c r="B79" s="31"/>
      <c r="C79" s="1">
        <v>1</v>
      </c>
      <c r="D79" s="4">
        <f t="shared" si="4"/>
        <v>12</v>
      </c>
      <c r="E79" s="1" t="s">
        <v>492</v>
      </c>
      <c r="F79" s="1">
        <v>2</v>
      </c>
      <c r="G79" s="1" t="s">
        <v>207</v>
      </c>
      <c r="H79" s="1"/>
      <c r="I79" s="119"/>
      <c r="J79" s="37">
        <v>6.9660000000000002</v>
      </c>
      <c r="K79" s="7" t="s">
        <v>103</v>
      </c>
      <c r="L79" s="4" t="s">
        <v>13</v>
      </c>
      <c r="M79" s="22">
        <v>6.9599999999999991</v>
      </c>
      <c r="N79" s="1" t="s">
        <v>184</v>
      </c>
      <c r="O79" s="1"/>
      <c r="P79" s="22">
        <v>7.3360000000000003</v>
      </c>
      <c r="Q79" s="22">
        <v>6.9269999999999996</v>
      </c>
      <c r="R79" s="22">
        <v>7.1289999999999996</v>
      </c>
      <c r="S79" s="22">
        <v>7.0750000000000002</v>
      </c>
      <c r="T79" s="22">
        <v>7.0039999999999996</v>
      </c>
      <c r="U79" s="22">
        <v>6.984</v>
      </c>
      <c r="V79" s="22">
        <v>6.9740000000000002</v>
      </c>
      <c r="W79" s="22">
        <v>6.9690000000000003</v>
      </c>
      <c r="X79" s="121">
        <v>7.6109999999999998</v>
      </c>
      <c r="Y79" s="121">
        <v>7.0869999999999997</v>
      </c>
      <c r="Z79" s="121">
        <v>7.09</v>
      </c>
      <c r="AA79" s="121">
        <v>7.0830000000000002</v>
      </c>
      <c r="AB79" s="121">
        <v>7.0359999999999996</v>
      </c>
      <c r="AC79" s="121">
        <v>7.0789999999999997</v>
      </c>
      <c r="AD79" s="122">
        <v>7.0830000000000002</v>
      </c>
    </row>
    <row r="80" spans="1:30">
      <c r="A80" s="1">
        <f t="shared" si="3"/>
        <v>78</v>
      </c>
      <c r="B80" s="31"/>
      <c r="C80" s="1">
        <v>1</v>
      </c>
      <c r="D80" s="4">
        <f t="shared" si="4"/>
        <v>12</v>
      </c>
      <c r="E80" s="1" t="s">
        <v>492</v>
      </c>
      <c r="F80" s="1">
        <v>2</v>
      </c>
      <c r="G80" s="1" t="s">
        <v>14</v>
      </c>
      <c r="H80" s="1"/>
      <c r="I80" s="119"/>
      <c r="J80" s="37">
        <v>7.1929999999999996</v>
      </c>
      <c r="K80" s="7" t="s">
        <v>103</v>
      </c>
      <c r="L80" s="4" t="s">
        <v>13</v>
      </c>
      <c r="M80" s="22">
        <v>7.1959999999999988</v>
      </c>
      <c r="N80" s="1" t="s">
        <v>184</v>
      </c>
      <c r="O80" s="1"/>
      <c r="P80" s="22">
        <v>7.1870000000000003</v>
      </c>
      <c r="Q80" s="22">
        <v>7.1639999999999997</v>
      </c>
      <c r="R80" s="22">
        <v>7.2869999999999999</v>
      </c>
      <c r="S80" s="22">
        <v>7.2270000000000003</v>
      </c>
      <c r="T80" s="22">
        <v>7.2110000000000003</v>
      </c>
      <c r="U80" s="22">
        <v>7.1970000000000001</v>
      </c>
      <c r="V80" s="22">
        <v>7.1879999999999997</v>
      </c>
      <c r="W80" s="22">
        <v>7.1849999999999996</v>
      </c>
      <c r="X80" s="121">
        <v>6.32</v>
      </c>
      <c r="Y80" s="121">
        <v>7.16</v>
      </c>
      <c r="Z80" s="121">
        <v>7.0940000000000003</v>
      </c>
      <c r="AA80" s="121">
        <v>7.032</v>
      </c>
      <c r="AB80" s="121">
        <v>7.04</v>
      </c>
      <c r="AC80" s="121">
        <v>7.1529999999999996</v>
      </c>
      <c r="AD80" s="122">
        <v>7.1289999999999996</v>
      </c>
    </row>
    <row r="81" spans="1:30">
      <c r="A81" s="1">
        <f t="shared" si="3"/>
        <v>79</v>
      </c>
      <c r="B81" s="31"/>
      <c r="C81" s="1">
        <v>1</v>
      </c>
      <c r="D81" s="4">
        <f t="shared" si="4"/>
        <v>12</v>
      </c>
      <c r="E81" s="1" t="s">
        <v>494</v>
      </c>
      <c r="F81" s="1">
        <v>2</v>
      </c>
      <c r="G81" s="1" t="s">
        <v>14</v>
      </c>
      <c r="H81" s="1"/>
      <c r="I81" s="119"/>
      <c r="J81" s="37">
        <v>7.6559999999999997</v>
      </c>
      <c r="K81" s="7" t="s">
        <v>103</v>
      </c>
      <c r="L81" s="4" t="s">
        <v>13</v>
      </c>
      <c r="M81" s="22">
        <v>7.5709999999999997</v>
      </c>
      <c r="N81" s="1" t="s">
        <v>184</v>
      </c>
      <c r="O81" s="1"/>
      <c r="P81" s="22">
        <v>7.7469999999999999</v>
      </c>
      <c r="Q81" s="22">
        <v>7.61</v>
      </c>
      <c r="R81" s="22">
        <v>7.6749999999999998</v>
      </c>
      <c r="S81" s="22">
        <v>7.64</v>
      </c>
      <c r="T81" s="22">
        <v>7.6689999999999996</v>
      </c>
      <c r="U81" s="22">
        <v>7.6580000000000004</v>
      </c>
      <c r="V81" s="22">
        <v>7.65</v>
      </c>
      <c r="W81" s="22">
        <v>7.6479999999999997</v>
      </c>
      <c r="X81" s="121">
        <v>6.9740000000000002</v>
      </c>
      <c r="Y81" s="121">
        <v>7.67</v>
      </c>
      <c r="Z81" s="121">
        <v>7.6210000000000004</v>
      </c>
      <c r="AA81" s="121">
        <v>7.548</v>
      </c>
      <c r="AB81" s="121">
        <v>7.5549999999999997</v>
      </c>
      <c r="AC81" s="121">
        <v>7.6559999999999997</v>
      </c>
      <c r="AD81" s="122">
        <v>7.641</v>
      </c>
    </row>
    <row r="82" spans="1:30">
      <c r="A82" s="1">
        <f t="shared" si="3"/>
        <v>80</v>
      </c>
      <c r="B82" s="31"/>
      <c r="C82" s="1">
        <v>1</v>
      </c>
      <c r="D82" s="4">
        <f t="shared" si="4"/>
        <v>12</v>
      </c>
      <c r="E82" s="1" t="s">
        <v>492</v>
      </c>
      <c r="F82" s="1">
        <v>2</v>
      </c>
      <c r="G82" s="1" t="s">
        <v>14</v>
      </c>
      <c r="H82" s="1"/>
      <c r="I82" s="119"/>
      <c r="J82" s="37">
        <v>8.516</v>
      </c>
      <c r="K82" s="7" t="s">
        <v>103</v>
      </c>
      <c r="L82" s="4" t="s">
        <v>13</v>
      </c>
      <c r="M82" s="22">
        <v>8.5330000000000013</v>
      </c>
      <c r="N82" s="1" t="s">
        <v>184</v>
      </c>
      <c r="O82" s="1"/>
      <c r="P82" s="22">
        <v>8.6920000000000002</v>
      </c>
      <c r="Q82" s="22">
        <v>8.484</v>
      </c>
      <c r="R82" s="22">
        <v>8.609</v>
      </c>
      <c r="S82" s="22">
        <v>8.5589999999999993</v>
      </c>
      <c r="T82" s="22">
        <v>8.548</v>
      </c>
      <c r="U82" s="22">
        <v>8.5329999999999995</v>
      </c>
      <c r="V82" s="22">
        <v>8.5120000000000005</v>
      </c>
      <c r="W82" s="22">
        <v>8.5090000000000003</v>
      </c>
      <c r="X82" s="121">
        <v>7.9219999999999997</v>
      </c>
      <c r="Y82" s="121">
        <v>7.944</v>
      </c>
      <c r="Z82" s="121">
        <v>8.0180000000000007</v>
      </c>
      <c r="AA82" s="121">
        <v>8.0129999999999999</v>
      </c>
      <c r="AB82" s="121">
        <v>7.9560000000000004</v>
      </c>
      <c r="AC82" s="121">
        <v>8.0359999999999996</v>
      </c>
      <c r="AD82" s="122">
        <v>8.0530000000000008</v>
      </c>
    </row>
    <row r="83" spans="1:30">
      <c r="A83" s="1">
        <f t="shared" si="3"/>
        <v>81</v>
      </c>
      <c r="B83" s="31" t="s">
        <v>495</v>
      </c>
      <c r="C83" s="1">
        <v>3</v>
      </c>
      <c r="D83" s="4">
        <f t="shared" si="4"/>
        <v>35</v>
      </c>
      <c r="E83" s="1" t="s">
        <v>466</v>
      </c>
      <c r="F83" s="1">
        <v>2</v>
      </c>
      <c r="G83" s="1" t="s">
        <v>11</v>
      </c>
      <c r="H83" s="1"/>
      <c r="I83" s="119"/>
      <c r="J83" s="37">
        <v>2.9590000000000001</v>
      </c>
      <c r="K83" s="1" t="s">
        <v>117</v>
      </c>
      <c r="L83" s="4" t="s">
        <v>13</v>
      </c>
      <c r="M83" s="33"/>
      <c r="N83" s="33"/>
      <c r="O83" s="1"/>
      <c r="P83" s="22">
        <v>3.1459999999999999</v>
      </c>
      <c r="Q83" s="22">
        <v>2.7130000000000001</v>
      </c>
      <c r="R83" s="22">
        <v>3.2309999999999999</v>
      </c>
      <c r="S83" s="22">
        <v>3.24</v>
      </c>
      <c r="T83" s="22">
        <v>3.032</v>
      </c>
      <c r="U83" s="22">
        <v>2.996</v>
      </c>
      <c r="V83" s="22">
        <v>2.9950000000000001</v>
      </c>
      <c r="W83" s="22">
        <v>2.9969999999999999</v>
      </c>
      <c r="X83" s="121">
        <v>2.7309999999999999</v>
      </c>
      <c r="Y83" s="121">
        <v>3.093</v>
      </c>
      <c r="Z83" s="121">
        <v>3.0089999999999999</v>
      </c>
      <c r="AA83" s="121">
        <v>2.992</v>
      </c>
      <c r="AB83" s="121">
        <v>3.0779999999999998</v>
      </c>
      <c r="AC83" s="121">
        <v>2.964</v>
      </c>
      <c r="AD83" s="122">
        <v>2.94</v>
      </c>
    </row>
    <row r="84" spans="1:30">
      <c r="A84" s="1">
        <f t="shared" si="3"/>
        <v>82</v>
      </c>
      <c r="B84" s="31"/>
      <c r="C84" s="1">
        <v>3</v>
      </c>
      <c r="D84" s="4">
        <f t="shared" si="4"/>
        <v>35</v>
      </c>
      <c r="E84" s="1" t="s">
        <v>465</v>
      </c>
      <c r="F84" s="1">
        <v>2</v>
      </c>
      <c r="G84" s="1" t="s">
        <v>11</v>
      </c>
      <c r="H84" s="1"/>
      <c r="I84" s="22">
        <v>0</v>
      </c>
      <c r="J84" s="37">
        <v>2.9889999999999999</v>
      </c>
      <c r="K84" s="1" t="s">
        <v>117</v>
      </c>
      <c r="L84" s="4" t="s">
        <v>13</v>
      </c>
      <c r="M84" s="33"/>
      <c r="N84" s="33"/>
      <c r="O84" s="1"/>
      <c r="P84" s="22">
        <v>3.2160000000000002</v>
      </c>
      <c r="Q84" s="22">
        <v>2.6779999999999999</v>
      </c>
      <c r="R84" s="22">
        <v>3.2669999999999999</v>
      </c>
      <c r="S84" s="22">
        <v>3.2770000000000001</v>
      </c>
      <c r="T84" s="22">
        <v>3.0630000000000002</v>
      </c>
      <c r="U84" s="22">
        <v>3.028</v>
      </c>
      <c r="V84" s="22">
        <v>3.0209999999999999</v>
      </c>
      <c r="W84" s="22">
        <v>3.02</v>
      </c>
      <c r="X84" s="121">
        <v>2.9079999999999999</v>
      </c>
      <c r="Y84" s="121">
        <v>3.1360000000000001</v>
      </c>
      <c r="Z84" s="121">
        <v>3.0760000000000001</v>
      </c>
      <c r="AA84" s="121">
        <v>3.0550000000000002</v>
      </c>
      <c r="AB84" s="121">
        <v>3.1240000000000001</v>
      </c>
      <c r="AC84" s="121">
        <v>3.0270000000000001</v>
      </c>
      <c r="AD84" s="122">
        <v>3.012</v>
      </c>
    </row>
    <row r="85" spans="1:30">
      <c r="A85" s="1">
        <f t="shared" si="3"/>
        <v>83</v>
      </c>
      <c r="B85" s="31"/>
      <c r="C85" s="1">
        <v>3</v>
      </c>
      <c r="D85" s="4">
        <f t="shared" si="4"/>
        <v>35</v>
      </c>
      <c r="E85" s="1" t="s">
        <v>484</v>
      </c>
      <c r="F85" s="1">
        <v>2</v>
      </c>
      <c r="G85" s="1" t="s">
        <v>11</v>
      </c>
      <c r="H85" s="1"/>
      <c r="I85" s="22">
        <v>0.04</v>
      </c>
      <c r="J85" s="37">
        <v>3.3009999999999997</v>
      </c>
      <c r="K85" s="1" t="s">
        <v>117</v>
      </c>
      <c r="L85" s="4" t="s">
        <v>13</v>
      </c>
      <c r="M85" s="33"/>
      <c r="N85" s="33"/>
      <c r="O85" s="1"/>
      <c r="P85" s="22">
        <v>3.629</v>
      </c>
      <c r="Q85" s="22">
        <v>2.7709999999999999</v>
      </c>
      <c r="R85" s="22">
        <v>3.8</v>
      </c>
      <c r="S85" s="22">
        <v>3.8410000000000002</v>
      </c>
      <c r="T85" s="22">
        <v>3.2919999999999998</v>
      </c>
      <c r="U85" s="22">
        <v>3.286</v>
      </c>
      <c r="V85" s="22">
        <v>3.306</v>
      </c>
      <c r="W85" s="22">
        <v>3.31</v>
      </c>
      <c r="X85" s="121">
        <v>3.2250000000000001</v>
      </c>
      <c r="Y85" s="121">
        <v>3.3079999999999998</v>
      </c>
      <c r="Z85" s="121">
        <v>3.319</v>
      </c>
      <c r="AA85" s="121">
        <v>3.4159999999999999</v>
      </c>
      <c r="AB85" s="121">
        <v>3.448</v>
      </c>
      <c r="AC85" s="121">
        <v>3.3370000000000002</v>
      </c>
      <c r="AD85" s="122">
        <v>3.3149999999999999</v>
      </c>
    </row>
    <row r="86" spans="1:30">
      <c r="A86" s="1">
        <f t="shared" ref="A86:A283" si="5">A85+1</f>
        <v>84</v>
      </c>
      <c r="B86" s="31"/>
      <c r="C86" s="1">
        <v>3</v>
      </c>
      <c r="D86" s="4">
        <f t="shared" si="4"/>
        <v>35</v>
      </c>
      <c r="E86" s="1" t="s">
        <v>465</v>
      </c>
      <c r="F86" s="1">
        <v>2</v>
      </c>
      <c r="G86" s="1" t="s">
        <v>207</v>
      </c>
      <c r="H86" s="1"/>
      <c r="I86" s="22">
        <v>0</v>
      </c>
      <c r="J86" s="37">
        <v>4.4799999999999995</v>
      </c>
      <c r="K86" s="1" t="s">
        <v>117</v>
      </c>
      <c r="L86" s="4" t="s">
        <v>13</v>
      </c>
      <c r="M86" s="33"/>
      <c r="N86" s="33"/>
      <c r="O86" s="1"/>
      <c r="P86" s="22">
        <v>4.5030000000000001</v>
      </c>
      <c r="Q86" s="22">
        <v>4.5999999999999996</v>
      </c>
      <c r="R86" s="22">
        <v>4.4660000000000002</v>
      </c>
      <c r="S86" s="22">
        <v>4.4050000000000002</v>
      </c>
      <c r="T86" s="22">
        <v>4.7210000000000001</v>
      </c>
      <c r="U86" s="22">
        <v>4.6820000000000004</v>
      </c>
      <c r="V86" s="22">
        <v>4.5010000000000003</v>
      </c>
      <c r="W86" s="22">
        <v>4.492</v>
      </c>
      <c r="X86" s="121">
        <v>4.7430000000000003</v>
      </c>
      <c r="Y86" s="121">
        <v>4.33</v>
      </c>
      <c r="Z86" s="121">
        <v>4.524</v>
      </c>
      <c r="AA86" s="121">
        <v>4.6470000000000002</v>
      </c>
      <c r="AB86" s="121">
        <v>4.5679999999999996</v>
      </c>
      <c r="AC86" s="121">
        <v>4.5149999999999997</v>
      </c>
      <c r="AD86" s="122">
        <v>4.548</v>
      </c>
    </row>
    <row r="87" spans="1:30">
      <c r="A87" s="1">
        <f t="shared" si="5"/>
        <v>85</v>
      </c>
      <c r="B87" s="31"/>
      <c r="C87" s="1">
        <v>3</v>
      </c>
      <c r="D87" s="4">
        <f t="shared" si="4"/>
        <v>35</v>
      </c>
      <c r="E87" s="1" t="s">
        <v>466</v>
      </c>
      <c r="F87" s="1">
        <v>2</v>
      </c>
      <c r="G87" s="1" t="s">
        <v>207</v>
      </c>
      <c r="H87" s="1"/>
      <c r="I87" s="119"/>
      <c r="J87" s="37">
        <v>5.4139999999999988</v>
      </c>
      <c r="K87" s="1" t="s">
        <v>117</v>
      </c>
      <c r="L87" s="4" t="s">
        <v>13</v>
      </c>
      <c r="M87" s="33"/>
      <c r="N87" s="33"/>
      <c r="O87" s="1"/>
      <c r="P87" s="22">
        <v>5.3890000000000002</v>
      </c>
      <c r="Q87" s="22">
        <v>5.5869999999999997</v>
      </c>
      <c r="R87" s="22">
        <v>5.3730000000000002</v>
      </c>
      <c r="S87" s="22">
        <v>5.3049999999999997</v>
      </c>
      <c r="T87" s="22">
        <v>5.6660000000000004</v>
      </c>
      <c r="U87" s="22">
        <v>5.625</v>
      </c>
      <c r="V87" s="22">
        <v>5.4269999999999996</v>
      </c>
      <c r="W87" s="22">
        <v>5.4160000000000004</v>
      </c>
      <c r="X87" s="121">
        <v>5.5640000000000001</v>
      </c>
      <c r="Y87" s="121">
        <v>5.1920000000000002</v>
      </c>
      <c r="Z87" s="121">
        <v>5.3129999999999997</v>
      </c>
      <c r="AA87" s="121">
        <v>5.4329999999999998</v>
      </c>
      <c r="AB87" s="121">
        <v>5.3639999999999999</v>
      </c>
      <c r="AC87" s="121">
        <v>5.3570000000000002</v>
      </c>
      <c r="AD87" s="122">
        <v>5.3579999999999997</v>
      </c>
    </row>
    <row r="88" spans="1:30">
      <c r="A88" s="1">
        <f t="shared" si="5"/>
        <v>86</v>
      </c>
      <c r="B88" s="31"/>
      <c r="C88" s="1">
        <v>3</v>
      </c>
      <c r="D88" s="4">
        <f t="shared" si="4"/>
        <v>35</v>
      </c>
      <c r="E88" s="1" t="s">
        <v>465</v>
      </c>
      <c r="F88" s="1">
        <v>2</v>
      </c>
      <c r="G88" s="1" t="s">
        <v>14</v>
      </c>
      <c r="H88" s="1"/>
      <c r="I88" s="6">
        <v>2E-3</v>
      </c>
      <c r="J88" s="37">
        <v>7.2099999999999991</v>
      </c>
      <c r="K88" s="1" t="s">
        <v>117</v>
      </c>
      <c r="L88" s="4" t="s">
        <v>13</v>
      </c>
      <c r="M88" s="33"/>
      <c r="N88" s="33"/>
      <c r="O88" s="1"/>
      <c r="P88" s="22">
        <v>6.9119999999999999</v>
      </c>
      <c r="Q88" s="22">
        <v>7.6050000000000004</v>
      </c>
      <c r="R88" s="22">
        <v>6.7389999999999999</v>
      </c>
      <c r="S88" s="22">
        <v>6.6749999999999998</v>
      </c>
      <c r="T88" s="22">
        <v>7.44</v>
      </c>
      <c r="U88" s="22">
        <v>7.407</v>
      </c>
      <c r="V88" s="22">
        <v>7.1909999999999998</v>
      </c>
      <c r="W88" s="22">
        <v>7.1769999999999996</v>
      </c>
      <c r="X88" s="121">
        <v>6.7279999999999998</v>
      </c>
      <c r="Y88" s="121">
        <v>7.0609999999999999</v>
      </c>
      <c r="Z88" s="121">
        <v>7.2430000000000003</v>
      </c>
      <c r="AA88" s="121">
        <v>7.2969999999999997</v>
      </c>
      <c r="AB88" s="121">
        <v>7.2930000000000001</v>
      </c>
      <c r="AC88" s="121">
        <v>7.2039999999999997</v>
      </c>
      <c r="AD88" s="122">
        <v>7.1829999999999998</v>
      </c>
    </row>
    <row r="89" spans="1:30">
      <c r="A89" s="1">
        <f t="shared" si="5"/>
        <v>87</v>
      </c>
      <c r="B89" s="31"/>
      <c r="C89" s="1">
        <v>3</v>
      </c>
      <c r="D89" s="4">
        <f t="shared" si="4"/>
        <v>35</v>
      </c>
      <c r="E89" s="1" t="s">
        <v>496</v>
      </c>
      <c r="F89" s="1">
        <v>4</v>
      </c>
      <c r="G89" s="1" t="s">
        <v>11</v>
      </c>
      <c r="H89" s="1"/>
      <c r="I89" s="119"/>
      <c r="J89" s="50">
        <v>6.2390000000000017</v>
      </c>
      <c r="K89" s="1" t="s">
        <v>117</v>
      </c>
      <c r="L89" s="10" t="s">
        <v>111</v>
      </c>
      <c r="M89" s="33"/>
      <c r="N89" s="33"/>
      <c r="O89" s="1"/>
      <c r="P89" s="22">
        <v>6.6769999999999996</v>
      </c>
      <c r="Q89" s="22">
        <v>5.8209999999999997</v>
      </c>
      <c r="R89" s="22">
        <v>6.9349999999999996</v>
      </c>
      <c r="S89" s="22">
        <v>6.9050000000000002</v>
      </c>
      <c r="T89" s="22">
        <v>6.6180000000000003</v>
      </c>
      <c r="U89" s="22">
        <v>6.6429999999999998</v>
      </c>
      <c r="V89" s="22">
        <v>6.44</v>
      </c>
      <c r="W89" s="22">
        <v>6.4269999999999996</v>
      </c>
      <c r="X89" s="121">
        <v>5.907</v>
      </c>
      <c r="Y89" s="121">
        <v>6.0250000000000004</v>
      </c>
      <c r="Z89" s="121">
        <v>6.1840000000000002</v>
      </c>
      <c r="AA89" s="121">
        <v>6.2880000000000003</v>
      </c>
      <c r="AB89" s="121">
        <v>6.3579999999999997</v>
      </c>
      <c r="AC89" s="121">
        <v>6.1079999999999997</v>
      </c>
      <c r="AD89" s="122">
        <v>6.133</v>
      </c>
    </row>
    <row r="90" spans="1:30">
      <c r="A90" s="1">
        <f t="shared" si="5"/>
        <v>88</v>
      </c>
      <c r="B90" s="31"/>
      <c r="C90" s="1">
        <v>3</v>
      </c>
      <c r="D90" s="4">
        <f t="shared" si="4"/>
        <v>35</v>
      </c>
      <c r="E90" s="1" t="s">
        <v>467</v>
      </c>
      <c r="F90" s="1">
        <v>4</v>
      </c>
      <c r="G90" s="1" t="s">
        <v>11</v>
      </c>
      <c r="H90" s="1"/>
      <c r="I90" s="119"/>
      <c r="J90" s="50">
        <v>6.3230000000000004</v>
      </c>
      <c r="K90" s="1" t="s">
        <v>117</v>
      </c>
      <c r="L90" s="10" t="s">
        <v>111</v>
      </c>
      <c r="M90" s="33"/>
      <c r="N90" s="33"/>
      <c r="O90" s="1"/>
      <c r="P90" s="22">
        <v>6.4740000000000002</v>
      </c>
      <c r="Q90" s="41"/>
      <c r="R90" s="22">
        <v>6.6559999999999997</v>
      </c>
      <c r="S90" s="22">
        <v>6.6150000000000002</v>
      </c>
      <c r="T90" s="22">
        <v>6.6879999999999997</v>
      </c>
      <c r="U90" s="22">
        <v>6.6790000000000003</v>
      </c>
      <c r="V90" s="22">
        <v>6.5229999999999997</v>
      </c>
      <c r="W90" s="22">
        <v>6.5090000000000003</v>
      </c>
      <c r="X90" s="121">
        <v>6.2649999999999997</v>
      </c>
      <c r="Y90" s="121">
        <v>5.9539999999999997</v>
      </c>
      <c r="Z90" s="121">
        <v>6.2220000000000004</v>
      </c>
      <c r="AA90" s="121">
        <v>6.4169999999999998</v>
      </c>
      <c r="AB90" s="121">
        <v>6.44</v>
      </c>
      <c r="AC90" s="121">
        <v>6.2590000000000003</v>
      </c>
      <c r="AD90" s="122">
        <v>6.2779999999999996</v>
      </c>
    </row>
    <row r="91" spans="1:30">
      <c r="A91" s="1">
        <f t="shared" si="5"/>
        <v>89</v>
      </c>
      <c r="B91" s="31"/>
      <c r="C91" s="1">
        <v>3</v>
      </c>
      <c r="D91" s="4">
        <f t="shared" si="4"/>
        <v>35</v>
      </c>
      <c r="E91" s="1" t="s">
        <v>489</v>
      </c>
      <c r="F91" s="1">
        <v>4</v>
      </c>
      <c r="G91" s="1" t="s">
        <v>11</v>
      </c>
      <c r="H91" s="1"/>
      <c r="I91" s="119"/>
      <c r="J91" s="50">
        <v>6.4939999999999998</v>
      </c>
      <c r="K91" s="1" t="s">
        <v>117</v>
      </c>
      <c r="L91" s="10" t="s">
        <v>111</v>
      </c>
      <c r="M91" s="33"/>
      <c r="N91" s="33"/>
      <c r="O91" s="1"/>
      <c r="P91" s="22">
        <v>6.7169999999999996</v>
      </c>
      <c r="Q91" s="41"/>
      <c r="R91" s="22">
        <v>6.8730000000000002</v>
      </c>
      <c r="S91" s="22">
        <v>6.835</v>
      </c>
      <c r="T91" s="22">
        <v>6.9009999999999998</v>
      </c>
      <c r="U91" s="22">
        <v>6.8929999999999998</v>
      </c>
      <c r="V91" s="22">
        <v>6.694</v>
      </c>
      <c r="W91" s="22">
        <v>6.68</v>
      </c>
      <c r="X91" s="121">
        <v>6.5170000000000003</v>
      </c>
      <c r="Y91" s="121">
        <v>6.149</v>
      </c>
      <c r="Z91" s="121">
        <v>6.4480000000000004</v>
      </c>
      <c r="AA91" s="121">
        <v>6.6369999999999996</v>
      </c>
      <c r="AB91" s="121">
        <v>6.657</v>
      </c>
      <c r="AC91" s="121">
        <v>6.4619999999999997</v>
      </c>
      <c r="AD91" s="122">
        <v>6.4889999999999999</v>
      </c>
    </row>
    <row r="92" spans="1:30">
      <c r="A92" s="1">
        <f t="shared" si="5"/>
        <v>90</v>
      </c>
      <c r="B92" s="31" t="s">
        <v>497</v>
      </c>
      <c r="C92" s="1">
        <v>2</v>
      </c>
      <c r="D92" s="4">
        <f t="shared" si="4"/>
        <v>12</v>
      </c>
      <c r="E92" s="1" t="s">
        <v>478</v>
      </c>
      <c r="F92" s="1">
        <v>2</v>
      </c>
      <c r="G92" s="1" t="s">
        <v>11</v>
      </c>
      <c r="H92" s="1"/>
      <c r="I92" s="22">
        <v>6.0000000000000001E-3</v>
      </c>
      <c r="J92" s="37">
        <v>1.335</v>
      </c>
      <c r="K92" s="7" t="s">
        <v>103</v>
      </c>
      <c r="L92" s="4" t="s">
        <v>13</v>
      </c>
      <c r="M92" s="22">
        <v>1.3350000000000002</v>
      </c>
      <c r="N92" s="1" t="s">
        <v>184</v>
      </c>
      <c r="O92" s="1"/>
      <c r="P92" s="22">
        <v>2.0649999999999999</v>
      </c>
      <c r="Q92" s="22">
        <v>1.089</v>
      </c>
      <c r="R92" s="22">
        <v>1.911</v>
      </c>
      <c r="S92" s="22">
        <v>1.76</v>
      </c>
      <c r="T92" s="22">
        <v>1.5620000000000001</v>
      </c>
      <c r="U92" s="22">
        <v>1.3420000000000001</v>
      </c>
      <c r="V92" s="22">
        <v>1.399</v>
      </c>
      <c r="W92" s="22">
        <v>1.3640000000000001</v>
      </c>
      <c r="X92" s="121">
        <v>1.427</v>
      </c>
      <c r="Y92" s="121">
        <v>1.484</v>
      </c>
      <c r="Z92" s="121">
        <v>1.4330000000000001</v>
      </c>
      <c r="AA92" s="121">
        <v>1.3620000000000001</v>
      </c>
      <c r="AB92" s="121">
        <v>1.3560000000000001</v>
      </c>
      <c r="AC92" s="121">
        <v>1.3560000000000001</v>
      </c>
      <c r="AD92" s="122">
        <v>1.355</v>
      </c>
    </row>
    <row r="93" spans="1:30">
      <c r="A93" s="1">
        <f t="shared" si="5"/>
        <v>91</v>
      </c>
      <c r="B93" s="31"/>
      <c r="C93" s="1">
        <v>2</v>
      </c>
      <c r="D93" s="4">
        <f t="shared" si="4"/>
        <v>12</v>
      </c>
      <c r="E93" s="1" t="s">
        <v>479</v>
      </c>
      <c r="F93" s="1">
        <v>2</v>
      </c>
      <c r="G93" s="1" t="s">
        <v>11</v>
      </c>
      <c r="H93" s="1"/>
      <c r="I93" s="22">
        <v>0.04</v>
      </c>
      <c r="J93" s="37">
        <v>3.2189999999999999</v>
      </c>
      <c r="K93" s="7" t="s">
        <v>103</v>
      </c>
      <c r="L93" s="4" t="s">
        <v>13</v>
      </c>
      <c r="M93" s="22">
        <v>3.2229999999999994</v>
      </c>
      <c r="N93" s="1" t="s">
        <v>184</v>
      </c>
      <c r="O93" s="1"/>
      <c r="P93" s="22">
        <v>3.738</v>
      </c>
      <c r="Q93" s="22">
        <v>3.42</v>
      </c>
      <c r="R93" s="22">
        <v>3.5819999999999999</v>
      </c>
      <c r="S93" s="22">
        <v>3.286</v>
      </c>
      <c r="T93" s="22">
        <v>3.5369999999999999</v>
      </c>
      <c r="U93" s="22">
        <v>3.3540000000000001</v>
      </c>
      <c r="V93" s="22">
        <v>3.3119999999999998</v>
      </c>
      <c r="W93" s="22">
        <v>3.2629999999999999</v>
      </c>
      <c r="X93" s="121">
        <v>3.2770000000000001</v>
      </c>
      <c r="Y93" s="121">
        <v>3.2080000000000002</v>
      </c>
      <c r="Z93" s="121">
        <v>3.2440000000000002</v>
      </c>
      <c r="AA93" s="121">
        <v>3.319</v>
      </c>
      <c r="AB93" s="121">
        <v>3.27</v>
      </c>
      <c r="AC93" s="121">
        <v>3.24</v>
      </c>
      <c r="AD93" s="122">
        <v>3.2480000000000002</v>
      </c>
    </row>
    <row r="94" spans="1:30">
      <c r="A94" s="1">
        <f t="shared" si="5"/>
        <v>92</v>
      </c>
      <c r="B94" s="31"/>
      <c r="C94" s="1">
        <v>2</v>
      </c>
      <c r="D94" s="4">
        <f t="shared" si="4"/>
        <v>12</v>
      </c>
      <c r="E94" s="1" t="s">
        <v>478</v>
      </c>
      <c r="F94" s="1">
        <v>2</v>
      </c>
      <c r="G94" s="1" t="s">
        <v>11</v>
      </c>
      <c r="H94" s="1"/>
      <c r="I94" s="22">
        <v>0</v>
      </c>
      <c r="J94" s="37">
        <v>7.8819999999999997</v>
      </c>
      <c r="K94" s="1" t="s">
        <v>204</v>
      </c>
      <c r="L94" s="4" t="s">
        <v>13</v>
      </c>
      <c r="M94" s="22">
        <v>7.8849999999999998</v>
      </c>
      <c r="N94" s="1" t="s">
        <v>184</v>
      </c>
      <c r="O94" s="1"/>
      <c r="P94" s="22">
        <v>7.5869999999999997</v>
      </c>
      <c r="Q94" s="22">
        <v>7.4029999999999996</v>
      </c>
      <c r="R94" s="22">
        <v>7.9269999999999996</v>
      </c>
      <c r="S94" s="22">
        <v>8.1319999999999997</v>
      </c>
      <c r="T94" s="22">
        <v>7.9</v>
      </c>
      <c r="U94" s="22">
        <v>8.0470000000000006</v>
      </c>
      <c r="V94" s="22">
        <v>7.944</v>
      </c>
      <c r="W94" s="22">
        <v>7.95</v>
      </c>
      <c r="X94" s="22">
        <v>8.2420000000000009</v>
      </c>
      <c r="Y94" s="22">
        <v>7.7450000000000001</v>
      </c>
      <c r="Z94" s="22">
        <v>7.9210000000000003</v>
      </c>
      <c r="AA94" s="22">
        <v>8.0380000000000003</v>
      </c>
      <c r="AB94" s="22">
        <v>7.9820000000000002</v>
      </c>
      <c r="AC94" s="22">
        <v>7.9459999999999997</v>
      </c>
      <c r="AD94" s="22">
        <v>7.9569999999999999</v>
      </c>
    </row>
    <row r="95" spans="1:30">
      <c r="A95" s="1">
        <f t="shared" si="5"/>
        <v>93</v>
      </c>
      <c r="B95" s="31"/>
      <c r="C95" s="1">
        <v>2</v>
      </c>
      <c r="D95" s="4">
        <f t="shared" si="4"/>
        <v>12</v>
      </c>
      <c r="E95" s="1" t="s">
        <v>479</v>
      </c>
      <c r="F95" s="1">
        <v>2</v>
      </c>
      <c r="G95" s="1" t="s">
        <v>11</v>
      </c>
      <c r="H95" s="1" t="s">
        <v>321</v>
      </c>
      <c r="I95" s="22">
        <v>8.9999999999999993E-3</v>
      </c>
      <c r="J95" s="37">
        <v>8.3800000000000008</v>
      </c>
      <c r="K95" s="7" t="s">
        <v>103</v>
      </c>
      <c r="L95" s="4" t="s">
        <v>13</v>
      </c>
      <c r="M95" s="22">
        <v>8.3800000000000008</v>
      </c>
      <c r="N95" s="1" t="s">
        <v>7</v>
      </c>
      <c r="O95" s="1"/>
      <c r="P95" s="41"/>
      <c r="Q95" s="41"/>
      <c r="R95" s="41"/>
      <c r="S95" s="41"/>
      <c r="T95" s="22">
        <v>10.694000000000001</v>
      </c>
      <c r="U95" s="22">
        <v>10.342000000000001</v>
      </c>
      <c r="V95" s="22">
        <v>9.1379999999999999</v>
      </c>
      <c r="W95" s="22">
        <v>8.9320000000000004</v>
      </c>
      <c r="X95" s="22">
        <v>8.9789999999999992</v>
      </c>
      <c r="Y95" s="22">
        <v>8.1129999999999995</v>
      </c>
      <c r="Z95" s="22">
        <v>8.4819999999999993</v>
      </c>
      <c r="AA95" s="22">
        <v>8.5980000000000008</v>
      </c>
      <c r="AB95" s="22">
        <v>8.5050000000000008</v>
      </c>
      <c r="AC95" s="22">
        <v>8.4030000000000005</v>
      </c>
      <c r="AD95" s="22">
        <v>8.4760000000000009</v>
      </c>
    </row>
    <row r="96" spans="1:30">
      <c r="A96" s="1">
        <f t="shared" si="5"/>
        <v>94</v>
      </c>
      <c r="B96" s="31"/>
      <c r="C96" s="1">
        <v>2</v>
      </c>
      <c r="D96" s="4">
        <f t="shared" si="4"/>
        <v>12</v>
      </c>
      <c r="E96" s="1" t="s">
        <v>486</v>
      </c>
      <c r="F96" s="1">
        <v>2</v>
      </c>
      <c r="G96" s="1" t="s">
        <v>11</v>
      </c>
      <c r="H96" s="1"/>
      <c r="I96" s="119"/>
      <c r="J96" s="37">
        <v>8.5350000000000001</v>
      </c>
      <c r="K96" s="7" t="s">
        <v>103</v>
      </c>
      <c r="L96" s="4" t="s">
        <v>13</v>
      </c>
      <c r="M96" s="1">
        <v>8.5269999999999992</v>
      </c>
      <c r="N96" s="1" t="s">
        <v>7</v>
      </c>
      <c r="O96" s="1"/>
      <c r="P96" s="22">
        <v>9.1050000000000004</v>
      </c>
      <c r="Q96" s="41"/>
      <c r="R96" s="22">
        <v>9.0850000000000009</v>
      </c>
      <c r="S96" s="22">
        <v>9.1359999999999992</v>
      </c>
      <c r="T96" s="22">
        <v>8.7189999999999994</v>
      </c>
      <c r="U96" s="22">
        <v>8.6560000000000006</v>
      </c>
      <c r="V96" s="22">
        <v>8.548</v>
      </c>
      <c r="W96" s="22">
        <v>8.5470000000000006</v>
      </c>
      <c r="X96" s="121">
        <v>9.4390000000000001</v>
      </c>
      <c r="Y96" s="121">
        <v>8.3190000000000008</v>
      </c>
      <c r="Z96" s="121">
        <v>8.6720000000000006</v>
      </c>
      <c r="AA96" s="121">
        <v>8.7590000000000003</v>
      </c>
      <c r="AB96" s="121">
        <v>8.641</v>
      </c>
      <c r="AC96" s="121">
        <v>8.5289999999999999</v>
      </c>
      <c r="AD96" s="122">
        <v>8.6259999999999994</v>
      </c>
    </row>
    <row r="97" spans="1:30">
      <c r="A97" s="1">
        <f t="shared" si="5"/>
        <v>95</v>
      </c>
      <c r="B97" s="31"/>
      <c r="C97" s="1">
        <v>2</v>
      </c>
      <c r="D97" s="4">
        <f t="shared" si="4"/>
        <v>12</v>
      </c>
      <c r="E97" s="1" t="s">
        <v>481</v>
      </c>
      <c r="F97" s="1">
        <v>2</v>
      </c>
      <c r="G97" s="1" t="s">
        <v>11</v>
      </c>
      <c r="H97" s="1"/>
      <c r="I97" s="119"/>
      <c r="J97" s="37">
        <v>8.7040000000000006</v>
      </c>
      <c r="K97" s="7" t="s">
        <v>103</v>
      </c>
      <c r="L97" s="4" t="s">
        <v>13</v>
      </c>
      <c r="M97" s="22">
        <v>8.6940000000000026</v>
      </c>
      <c r="N97" s="1" t="s">
        <v>184</v>
      </c>
      <c r="O97" s="1"/>
      <c r="P97" s="22">
        <v>9.2279999999999998</v>
      </c>
      <c r="Q97" s="41"/>
      <c r="R97" s="22">
        <v>9.3109999999999999</v>
      </c>
      <c r="S97" s="22">
        <v>9.4580000000000002</v>
      </c>
      <c r="T97" s="22">
        <v>9.048</v>
      </c>
      <c r="U97" s="22">
        <v>9.0169999999999995</v>
      </c>
      <c r="V97" s="22">
        <v>8.8840000000000003</v>
      </c>
      <c r="W97" s="22">
        <v>8.8740000000000006</v>
      </c>
      <c r="X97" s="121">
        <v>9.3789999999999996</v>
      </c>
      <c r="Y97" s="121">
        <v>8.468</v>
      </c>
      <c r="Z97" s="121">
        <v>8.7720000000000002</v>
      </c>
      <c r="AA97" s="121">
        <v>8.875</v>
      </c>
      <c r="AB97" s="121">
        <v>8.7899999999999991</v>
      </c>
      <c r="AC97" s="121">
        <v>8.6809999999999992</v>
      </c>
      <c r="AD97" s="122">
        <v>8.7560000000000002</v>
      </c>
    </row>
    <row r="98" spans="1:30">
      <c r="A98" s="1">
        <f t="shared" si="5"/>
        <v>96</v>
      </c>
      <c r="B98" s="31"/>
      <c r="C98" s="1">
        <v>2</v>
      </c>
      <c r="D98" s="4">
        <f t="shared" si="4"/>
        <v>12</v>
      </c>
      <c r="E98" s="1" t="s">
        <v>498</v>
      </c>
      <c r="F98" s="1">
        <v>4</v>
      </c>
      <c r="G98" s="1" t="s">
        <v>11</v>
      </c>
      <c r="H98" s="1"/>
      <c r="I98" s="119"/>
      <c r="J98" s="37">
        <v>6.0369999999999999</v>
      </c>
      <c r="K98" s="7" t="s">
        <v>103</v>
      </c>
      <c r="L98" s="4" t="s">
        <v>13</v>
      </c>
      <c r="M98" s="22">
        <v>6.0699999999999994</v>
      </c>
      <c r="N98" s="1" t="s">
        <v>184</v>
      </c>
      <c r="O98" s="1"/>
      <c r="P98" s="22">
        <v>6.8609999999999998</v>
      </c>
      <c r="Q98" s="22">
        <v>4.9939999999999998</v>
      </c>
      <c r="R98" s="22">
        <v>6.9909999999999997</v>
      </c>
      <c r="S98" s="22">
        <v>7.1859999999999999</v>
      </c>
      <c r="T98" s="22">
        <v>6.46</v>
      </c>
      <c r="U98" s="22">
        <v>6.36</v>
      </c>
      <c r="V98" s="22">
        <v>6.2539999999999996</v>
      </c>
      <c r="W98" s="22">
        <v>6.2060000000000004</v>
      </c>
      <c r="X98" s="121">
        <v>6.1029999999999998</v>
      </c>
      <c r="Y98" s="121">
        <v>5.7850000000000001</v>
      </c>
      <c r="Z98" s="121">
        <v>6.056</v>
      </c>
      <c r="AA98" s="121">
        <v>6.1429999999999998</v>
      </c>
      <c r="AB98" s="121">
        <v>6.0979999999999999</v>
      </c>
      <c r="AC98" s="121">
        <v>6.03</v>
      </c>
      <c r="AD98" s="122">
        <v>6.0750000000000002</v>
      </c>
    </row>
    <row r="99" spans="1:30">
      <c r="A99" s="1">
        <f t="shared" si="5"/>
        <v>97</v>
      </c>
      <c r="B99" s="31"/>
      <c r="C99" s="1">
        <v>2</v>
      </c>
      <c r="D99" s="4">
        <f t="shared" si="4"/>
        <v>12</v>
      </c>
      <c r="E99" s="1" t="s">
        <v>499</v>
      </c>
      <c r="F99" s="1">
        <v>4</v>
      </c>
      <c r="G99" s="1" t="s">
        <v>11</v>
      </c>
      <c r="H99" s="1"/>
      <c r="I99" s="119"/>
      <c r="J99" s="37">
        <v>7.1260000000000003</v>
      </c>
      <c r="K99" s="7" t="s">
        <v>103</v>
      </c>
      <c r="L99" s="4" t="s">
        <v>13</v>
      </c>
      <c r="M99" s="22">
        <v>7.136000000000001</v>
      </c>
      <c r="N99" s="1" t="s">
        <v>184</v>
      </c>
      <c r="O99" s="1"/>
      <c r="P99" s="22">
        <v>7.7359999999999998</v>
      </c>
      <c r="Q99" s="41"/>
      <c r="R99" s="22">
        <v>7.859</v>
      </c>
      <c r="S99" s="22">
        <v>8.0530000000000008</v>
      </c>
      <c r="T99" s="22">
        <v>7.5010000000000003</v>
      </c>
      <c r="U99" s="22">
        <v>7.45</v>
      </c>
      <c r="V99" s="22">
        <v>7.3380000000000001</v>
      </c>
      <c r="W99" s="22">
        <v>7.3070000000000004</v>
      </c>
      <c r="X99" s="121">
        <v>7.4829999999999997</v>
      </c>
      <c r="Y99" s="121">
        <v>6.9139999999999997</v>
      </c>
      <c r="Z99" s="121">
        <v>7.1689999999999996</v>
      </c>
      <c r="AA99" s="121">
        <v>7.2439999999999998</v>
      </c>
      <c r="AB99" s="121">
        <v>7.1890000000000001</v>
      </c>
      <c r="AC99" s="121">
        <v>7.0990000000000002</v>
      </c>
      <c r="AD99" s="122">
        <v>7.1609999999999996</v>
      </c>
    </row>
    <row r="100" spans="1:30">
      <c r="A100" s="1">
        <f t="shared" si="5"/>
        <v>98</v>
      </c>
      <c r="B100" s="31"/>
      <c r="C100" s="1">
        <v>2</v>
      </c>
      <c r="D100" s="4">
        <f t="shared" si="4"/>
        <v>12</v>
      </c>
      <c r="E100" s="1" t="s">
        <v>487</v>
      </c>
      <c r="F100" s="1">
        <v>4</v>
      </c>
      <c r="G100" s="1" t="s">
        <v>11</v>
      </c>
      <c r="H100" s="1"/>
      <c r="I100" s="119"/>
      <c r="J100" s="37">
        <v>7.8789999999999996</v>
      </c>
      <c r="K100" s="7" t="s">
        <v>103</v>
      </c>
      <c r="L100" s="4" t="s">
        <v>13</v>
      </c>
      <c r="M100" s="22">
        <v>7.8839999999999986</v>
      </c>
      <c r="N100" s="1" t="s">
        <v>184</v>
      </c>
      <c r="O100" s="1"/>
      <c r="P100" s="22">
        <v>8.2490000000000006</v>
      </c>
      <c r="Q100" s="41"/>
      <c r="R100" s="22">
        <v>8.4779999999999998</v>
      </c>
      <c r="S100" s="22">
        <v>8.7739999999999991</v>
      </c>
      <c r="T100" s="22">
        <v>8.3239999999999998</v>
      </c>
      <c r="U100" s="22">
        <v>8.2899999999999991</v>
      </c>
      <c r="V100" s="22">
        <v>8.1389999999999993</v>
      </c>
      <c r="W100" s="22">
        <v>8.0969999999999995</v>
      </c>
      <c r="X100" s="121">
        <v>8.2910000000000004</v>
      </c>
      <c r="Y100" s="121">
        <v>7.6470000000000002</v>
      </c>
      <c r="Z100" s="121">
        <v>7.9640000000000004</v>
      </c>
      <c r="AA100" s="121">
        <v>8.1059999999999999</v>
      </c>
      <c r="AB100" s="121">
        <v>8.01</v>
      </c>
      <c r="AC100" s="121">
        <v>7.8789999999999996</v>
      </c>
      <c r="AD100" s="122">
        <v>7.9560000000000004</v>
      </c>
    </row>
    <row r="101" spans="1:30">
      <c r="A101" s="1">
        <f t="shared" si="5"/>
        <v>99</v>
      </c>
      <c r="B101" s="31" t="s">
        <v>515</v>
      </c>
      <c r="C101" s="1">
        <v>3</v>
      </c>
      <c r="D101" s="4">
        <f t="shared" si="4"/>
        <v>35</v>
      </c>
      <c r="E101" s="1" t="s">
        <v>479</v>
      </c>
      <c r="F101" s="1">
        <v>2</v>
      </c>
      <c r="G101" s="1" t="s">
        <v>11</v>
      </c>
      <c r="H101" s="1"/>
      <c r="I101" s="22">
        <v>4.0000000000000001E-3</v>
      </c>
      <c r="J101" s="37">
        <v>1.639</v>
      </c>
      <c r="K101" s="1" t="s">
        <v>117</v>
      </c>
      <c r="L101" s="4" t="s">
        <v>13</v>
      </c>
      <c r="M101" s="22">
        <v>1.6240000000000001</v>
      </c>
      <c r="N101" s="1" t="s">
        <v>7</v>
      </c>
      <c r="O101" s="1"/>
      <c r="P101" s="22">
        <v>2.4660000000000002</v>
      </c>
      <c r="Q101" s="22">
        <v>1.96</v>
      </c>
      <c r="R101" s="22">
        <v>2.0249999999999999</v>
      </c>
      <c r="S101" s="22">
        <v>2.0550000000000002</v>
      </c>
      <c r="T101" s="22">
        <v>2.2429999999999999</v>
      </c>
      <c r="U101" s="22">
        <v>2.254</v>
      </c>
      <c r="V101" s="22">
        <v>1.754</v>
      </c>
      <c r="W101" s="22">
        <v>1.7729999999999999</v>
      </c>
      <c r="X101" s="121">
        <v>1.645</v>
      </c>
      <c r="Y101" s="121">
        <v>1.508</v>
      </c>
      <c r="Z101" s="121">
        <v>1.585</v>
      </c>
      <c r="AA101" s="121">
        <v>1.6419999999999999</v>
      </c>
      <c r="AB101" s="121">
        <v>1.613</v>
      </c>
      <c r="AC101" s="121">
        <v>1.619</v>
      </c>
      <c r="AD101" s="122">
        <v>1.627</v>
      </c>
    </row>
    <row r="102" spans="1:30">
      <c r="A102" s="1">
        <f t="shared" si="5"/>
        <v>100</v>
      </c>
      <c r="B102" s="31"/>
      <c r="C102" s="1">
        <v>3</v>
      </c>
      <c r="D102" s="4">
        <f t="shared" si="4"/>
        <v>35</v>
      </c>
      <c r="E102" s="1" t="s">
        <v>478</v>
      </c>
      <c r="F102" s="1">
        <v>2</v>
      </c>
      <c r="G102" s="1" t="s">
        <v>11</v>
      </c>
      <c r="H102" s="1"/>
      <c r="I102" s="6">
        <v>0.02</v>
      </c>
      <c r="J102" s="37">
        <v>5.49</v>
      </c>
      <c r="K102" s="1" t="s">
        <v>117</v>
      </c>
      <c r="L102" s="4" t="s">
        <v>13</v>
      </c>
      <c r="M102" s="22">
        <v>5.4880000000000004</v>
      </c>
      <c r="N102" s="1" t="s">
        <v>7</v>
      </c>
      <c r="O102" s="1"/>
      <c r="P102" s="22">
        <v>5.8465000000000007</v>
      </c>
      <c r="Q102" s="41"/>
      <c r="R102" s="22">
        <v>5.8209999999999997</v>
      </c>
      <c r="S102" s="22">
        <v>5.726</v>
      </c>
      <c r="T102" s="22">
        <v>5.7309999999999999</v>
      </c>
      <c r="U102" s="22">
        <v>5.6609999999999996</v>
      </c>
      <c r="V102" s="22">
        <v>5.5670000000000002</v>
      </c>
      <c r="W102" s="22">
        <v>5.55</v>
      </c>
      <c r="X102" s="121">
        <v>5.6669999999999998</v>
      </c>
      <c r="Y102" s="121">
        <v>5.391</v>
      </c>
      <c r="Z102" s="121">
        <v>5.4690000000000003</v>
      </c>
      <c r="AA102" s="121">
        <v>5.5469999999999997</v>
      </c>
      <c r="AB102" s="121">
        <v>5.5149999999999997</v>
      </c>
      <c r="AC102" s="121">
        <v>5.4969999999999999</v>
      </c>
      <c r="AD102" s="122">
        <v>5.4960000000000004</v>
      </c>
    </row>
    <row r="103" spans="1:30">
      <c r="A103" s="1">
        <f t="shared" si="5"/>
        <v>101</v>
      </c>
      <c r="B103" s="31"/>
      <c r="C103" s="1">
        <v>3</v>
      </c>
      <c r="D103" s="4">
        <f t="shared" si="4"/>
        <v>35</v>
      </c>
      <c r="E103" s="1" t="s">
        <v>478</v>
      </c>
      <c r="F103" s="1">
        <v>2</v>
      </c>
      <c r="G103" s="1" t="s">
        <v>11</v>
      </c>
      <c r="H103" s="1" t="s">
        <v>320</v>
      </c>
      <c r="I103" s="22">
        <v>3.0000000000000001E-3</v>
      </c>
      <c r="J103" s="50">
        <v>6.2380000000000004</v>
      </c>
      <c r="K103" s="1" t="s">
        <v>117</v>
      </c>
      <c r="L103" s="10" t="s">
        <v>111</v>
      </c>
      <c r="M103" s="22">
        <v>6.2439999999999998</v>
      </c>
      <c r="N103" s="1" t="s">
        <v>7</v>
      </c>
      <c r="O103" s="1"/>
      <c r="P103" s="22">
        <v>7.3994999999999997</v>
      </c>
      <c r="Q103" s="41"/>
      <c r="R103" s="22">
        <v>7.359</v>
      </c>
      <c r="S103" s="22">
        <v>7.3409999999999993</v>
      </c>
      <c r="T103" s="22">
        <v>7.0865</v>
      </c>
      <c r="U103" s="22">
        <v>7.0619999999999994</v>
      </c>
      <c r="V103" s="22">
        <v>6.5489999999999995</v>
      </c>
      <c r="W103" s="22">
        <v>6.5274999999999999</v>
      </c>
      <c r="X103" s="121">
        <v>6.8079999999999998</v>
      </c>
      <c r="Y103" s="121">
        <v>5.8250000000000002</v>
      </c>
      <c r="Z103" s="121">
        <v>6.2489999999999997</v>
      </c>
      <c r="AA103" s="121">
        <v>6.41</v>
      </c>
      <c r="AB103" s="121">
        <v>6.2839999999999998</v>
      </c>
      <c r="AC103" s="121">
        <v>6.2910000000000004</v>
      </c>
      <c r="AD103" s="122">
        <v>6.2969999999999997</v>
      </c>
    </row>
    <row r="104" spans="1:30">
      <c r="A104" s="1">
        <f t="shared" si="5"/>
        <v>102</v>
      </c>
      <c r="B104" s="31"/>
      <c r="C104" s="1">
        <v>3</v>
      </c>
      <c r="D104" s="4">
        <f t="shared" si="4"/>
        <v>35</v>
      </c>
      <c r="E104" s="1" t="s">
        <v>483</v>
      </c>
      <c r="F104" s="1">
        <v>4</v>
      </c>
      <c r="G104" s="1" t="s">
        <v>11</v>
      </c>
      <c r="H104" s="1"/>
      <c r="I104" s="119"/>
      <c r="J104" s="50">
        <v>5.74</v>
      </c>
      <c r="K104" s="1" t="s">
        <v>117</v>
      </c>
      <c r="L104" s="10" t="s">
        <v>111</v>
      </c>
      <c r="M104" s="22">
        <v>5.7539999999999996</v>
      </c>
      <c r="N104" s="1" t="s">
        <v>7</v>
      </c>
      <c r="O104" s="1"/>
      <c r="P104" s="22">
        <v>6.4824999999999999</v>
      </c>
      <c r="Q104" s="41"/>
      <c r="R104" s="22">
        <v>6.4634999999999998</v>
      </c>
      <c r="S104" s="22">
        <v>6.4625000000000004</v>
      </c>
      <c r="T104" s="22">
        <v>6.2270000000000003</v>
      </c>
      <c r="U104" s="22">
        <v>6.2204999999999995</v>
      </c>
      <c r="V104" s="22">
        <v>5.9764999999999997</v>
      </c>
      <c r="W104" s="22">
        <v>5.9615</v>
      </c>
      <c r="X104" s="121">
        <v>7.375</v>
      </c>
      <c r="Y104" s="121">
        <v>6.327</v>
      </c>
      <c r="Z104" s="121">
        <v>6.8250000000000002</v>
      </c>
      <c r="AA104" s="121">
        <v>6.9690000000000003</v>
      </c>
      <c r="AB104" s="121">
        <v>6.8849999999999998</v>
      </c>
      <c r="AC104" s="121">
        <v>6.9130000000000003</v>
      </c>
      <c r="AD104" s="122">
        <v>6.8570000000000002</v>
      </c>
    </row>
    <row r="105" spans="1:30">
      <c r="A105" s="1">
        <f t="shared" si="5"/>
        <v>103</v>
      </c>
      <c r="B105" s="31"/>
      <c r="C105" s="1">
        <v>3</v>
      </c>
      <c r="D105" s="4">
        <f t="shared" si="4"/>
        <v>35</v>
      </c>
      <c r="E105" s="1" t="s">
        <v>498</v>
      </c>
      <c r="F105" s="1">
        <v>4</v>
      </c>
      <c r="G105" s="1" t="s">
        <v>11</v>
      </c>
      <c r="H105" s="1"/>
      <c r="I105" s="119"/>
      <c r="J105" s="50">
        <v>5.8150000000000004</v>
      </c>
      <c r="K105" s="1" t="s">
        <v>117</v>
      </c>
      <c r="L105" s="10" t="s">
        <v>111</v>
      </c>
      <c r="M105" s="22">
        <v>5.8179999999999996</v>
      </c>
      <c r="N105" s="1" t="s">
        <v>7</v>
      </c>
      <c r="O105" s="1"/>
      <c r="P105" s="22">
        <v>7.1070000000000002</v>
      </c>
      <c r="Q105" s="41"/>
      <c r="R105" s="22">
        <v>6.9980000000000002</v>
      </c>
      <c r="S105" s="22">
        <v>7.0129999999999999</v>
      </c>
      <c r="T105" s="22">
        <v>6.9160000000000004</v>
      </c>
      <c r="U105" s="22">
        <v>6.8929999999999998</v>
      </c>
      <c r="V105" s="22">
        <v>6.4009999999999998</v>
      </c>
      <c r="W105" s="22">
        <v>6.3970000000000002</v>
      </c>
      <c r="X105" s="121">
        <v>6.1509999999999998</v>
      </c>
      <c r="Y105" s="121">
        <v>5.484</v>
      </c>
      <c r="Z105" s="121">
        <v>5.7480000000000002</v>
      </c>
      <c r="AA105" s="121">
        <v>5.87</v>
      </c>
      <c r="AB105" s="121">
        <v>5.7690000000000001</v>
      </c>
      <c r="AC105" s="121">
        <v>5.7560000000000002</v>
      </c>
      <c r="AD105" s="122">
        <v>5.78</v>
      </c>
    </row>
    <row r="106" spans="1:30">
      <c r="A106" s="1">
        <f t="shared" si="5"/>
        <v>104</v>
      </c>
      <c r="B106" s="31"/>
      <c r="C106" s="1">
        <v>3</v>
      </c>
      <c r="D106" s="4">
        <f t="shared" si="4"/>
        <v>35</v>
      </c>
      <c r="E106" s="1" t="s">
        <v>524</v>
      </c>
      <c r="F106" s="1">
        <v>4</v>
      </c>
      <c r="G106" s="1" t="s">
        <v>11</v>
      </c>
      <c r="H106" s="1"/>
      <c r="I106" s="119"/>
      <c r="J106" s="50">
        <v>6.5720000000000001</v>
      </c>
      <c r="K106" s="1" t="s">
        <v>117</v>
      </c>
      <c r="L106" s="10" t="s">
        <v>111</v>
      </c>
      <c r="M106" s="1">
        <v>6.5739999999999998</v>
      </c>
      <c r="N106" s="1" t="s">
        <v>7</v>
      </c>
      <c r="O106" s="1"/>
      <c r="P106" s="22">
        <v>7.14</v>
      </c>
      <c r="Q106" s="41"/>
      <c r="R106" s="22">
        <v>7.16</v>
      </c>
      <c r="S106" s="22">
        <v>7.2370000000000001</v>
      </c>
      <c r="T106" s="22">
        <v>7.0449999999999999</v>
      </c>
      <c r="U106" s="22">
        <v>7.0979999999999999</v>
      </c>
      <c r="V106" s="22">
        <v>7.327</v>
      </c>
      <c r="W106" s="22">
        <v>7.3079999999999998</v>
      </c>
      <c r="X106" s="121">
        <v>6.0010000000000003</v>
      </c>
      <c r="Y106" s="121">
        <v>5.2629999999999999</v>
      </c>
      <c r="Z106" s="121">
        <v>5.67</v>
      </c>
      <c r="AA106" s="121">
        <v>5.8490000000000002</v>
      </c>
      <c r="AB106" s="121">
        <v>5.7539999999999996</v>
      </c>
      <c r="AC106" s="121">
        <v>5.766</v>
      </c>
      <c r="AD106" s="122">
        <v>5.7949999999999999</v>
      </c>
    </row>
    <row r="107" spans="1:30">
      <c r="A107" s="1">
        <f t="shared" si="5"/>
        <v>105</v>
      </c>
      <c r="B107" s="31"/>
      <c r="C107" s="1">
        <v>3</v>
      </c>
      <c r="D107" s="4">
        <f t="shared" si="4"/>
        <v>35</v>
      </c>
      <c r="E107" s="1" t="s">
        <v>487</v>
      </c>
      <c r="F107" s="1">
        <v>4</v>
      </c>
      <c r="G107" s="1" t="s">
        <v>207</v>
      </c>
      <c r="H107" s="1"/>
      <c r="I107" s="119"/>
      <c r="J107" s="50">
        <v>7.4320000000000004</v>
      </c>
      <c r="K107" s="1" t="s">
        <v>117</v>
      </c>
      <c r="L107" s="10" t="s">
        <v>111</v>
      </c>
      <c r="M107" s="22">
        <v>7.47</v>
      </c>
      <c r="N107" s="1" t="s">
        <v>7</v>
      </c>
      <c r="O107" s="1"/>
      <c r="P107" s="22">
        <v>7.5990000000000002</v>
      </c>
      <c r="Q107" s="41"/>
      <c r="R107" s="22">
        <v>7.6120000000000001</v>
      </c>
      <c r="S107" s="22">
        <v>7.6120000000000001</v>
      </c>
      <c r="T107" s="22">
        <v>7.6870000000000003</v>
      </c>
      <c r="U107" s="22">
        <v>7.6970000000000001</v>
      </c>
      <c r="V107" s="22">
        <v>7.5629999999999997</v>
      </c>
      <c r="W107" s="22">
        <v>7.5540000000000003</v>
      </c>
      <c r="X107" s="121">
        <v>6.7510000000000003</v>
      </c>
      <c r="Y107" s="121">
        <v>5.9160000000000004</v>
      </c>
      <c r="Z107" s="121">
        <v>6.4139999999999997</v>
      </c>
      <c r="AA107" s="121">
        <v>6.5910000000000002</v>
      </c>
      <c r="AB107" s="121">
        <v>6.5259999999999998</v>
      </c>
      <c r="AC107" s="121">
        <v>6.58</v>
      </c>
      <c r="AD107" s="122">
        <v>6.5279999999999996</v>
      </c>
    </row>
    <row r="108" spans="1:30">
      <c r="A108" s="1">
        <f t="shared" si="5"/>
        <v>106</v>
      </c>
      <c r="B108" s="31" t="s">
        <v>514</v>
      </c>
      <c r="C108" s="1">
        <v>2</v>
      </c>
      <c r="D108" s="4">
        <f t="shared" si="4"/>
        <v>12</v>
      </c>
      <c r="E108" s="1" t="s">
        <v>478</v>
      </c>
      <c r="F108" s="1">
        <v>2</v>
      </c>
      <c r="G108" s="1" t="s">
        <v>11</v>
      </c>
      <c r="H108" s="1"/>
      <c r="I108" s="22">
        <v>8.0000000000000002E-3</v>
      </c>
      <c r="J108" s="120">
        <v>3.2770000000000001</v>
      </c>
      <c r="K108" s="7" t="s">
        <v>103</v>
      </c>
      <c r="L108" s="4" t="s">
        <v>13</v>
      </c>
      <c r="M108" s="1">
        <v>3.2850000000000001</v>
      </c>
      <c r="N108" s="1" t="s">
        <v>184</v>
      </c>
      <c r="O108" s="1"/>
      <c r="P108" s="22">
        <v>3.7509999999999999</v>
      </c>
      <c r="Q108" s="22">
        <v>3.774</v>
      </c>
      <c r="R108" s="22">
        <v>3.7749999999999999</v>
      </c>
      <c r="S108" s="22">
        <v>3.4849999999999999</v>
      </c>
      <c r="T108" s="22">
        <v>3.605</v>
      </c>
      <c r="U108" s="22">
        <v>3.2869999999999999</v>
      </c>
      <c r="V108" s="22">
        <v>3.3290000000000002</v>
      </c>
      <c r="W108" s="22">
        <v>3.294</v>
      </c>
      <c r="X108" s="121">
        <v>3.5350000000000001</v>
      </c>
      <c r="Y108" s="121">
        <v>3.419</v>
      </c>
      <c r="Z108" s="121">
        <v>3.3809999999999998</v>
      </c>
      <c r="AA108" s="121">
        <v>3.32</v>
      </c>
      <c r="AB108" s="121">
        <v>3.2930000000000001</v>
      </c>
      <c r="AC108" s="121">
        <v>3.3130000000000002</v>
      </c>
      <c r="AD108" s="122">
        <v>3.3119999999999998</v>
      </c>
    </row>
    <row r="109" spans="1:30">
      <c r="A109" s="1">
        <f t="shared" si="5"/>
        <v>107</v>
      </c>
      <c r="B109" s="31"/>
      <c r="C109" s="1">
        <v>2</v>
      </c>
      <c r="D109" s="4">
        <f t="shared" si="4"/>
        <v>12</v>
      </c>
      <c r="E109" s="1" t="s">
        <v>479</v>
      </c>
      <c r="F109" s="1">
        <v>2</v>
      </c>
      <c r="G109" s="1" t="s">
        <v>11</v>
      </c>
      <c r="H109" s="1"/>
      <c r="I109" s="6">
        <v>1.4999999999999999E-2</v>
      </c>
      <c r="J109" s="120">
        <v>5.8109999999999999</v>
      </c>
      <c r="K109" s="7" t="s">
        <v>103</v>
      </c>
      <c r="L109" s="4" t="s">
        <v>13</v>
      </c>
      <c r="M109" s="1">
        <v>5.8259999999999996</v>
      </c>
      <c r="N109" s="1" t="s">
        <v>184</v>
      </c>
      <c r="O109" s="1"/>
      <c r="P109" s="22">
        <v>5.8630000000000004</v>
      </c>
      <c r="Q109" s="22">
        <v>6.8470000000000004</v>
      </c>
      <c r="R109" s="22">
        <v>5.8120000000000003</v>
      </c>
      <c r="S109" s="22">
        <v>5.351</v>
      </c>
      <c r="T109" s="22">
        <v>6.2149999999999999</v>
      </c>
      <c r="U109" s="22">
        <v>6.0220000000000002</v>
      </c>
      <c r="V109" s="22">
        <v>5.758</v>
      </c>
      <c r="W109" s="22">
        <v>5.6790000000000003</v>
      </c>
      <c r="X109" s="121">
        <v>6.1580000000000004</v>
      </c>
      <c r="Y109" s="121">
        <v>5.88</v>
      </c>
      <c r="Z109" s="121">
        <v>5.891</v>
      </c>
      <c r="AA109" s="121">
        <v>5.9420000000000002</v>
      </c>
      <c r="AB109" s="121">
        <v>5.8869999999999996</v>
      </c>
      <c r="AC109" s="121">
        <v>5.8689999999999998</v>
      </c>
      <c r="AD109" s="122">
        <v>5.8730000000000002</v>
      </c>
    </row>
    <row r="110" spans="1:30">
      <c r="A110" s="1">
        <f t="shared" si="5"/>
        <v>108</v>
      </c>
      <c r="B110" s="31"/>
      <c r="C110" s="1">
        <v>2</v>
      </c>
      <c r="D110" s="4">
        <f t="shared" si="4"/>
        <v>12</v>
      </c>
      <c r="E110" s="1" t="s">
        <v>478</v>
      </c>
      <c r="F110" s="1">
        <v>2</v>
      </c>
      <c r="G110" s="1" t="s">
        <v>11</v>
      </c>
      <c r="H110" s="1"/>
      <c r="I110" s="6">
        <v>8.9999999999999993E-3</v>
      </c>
      <c r="J110" s="120">
        <v>9.2729999999999997</v>
      </c>
      <c r="K110" s="7" t="s">
        <v>210</v>
      </c>
      <c r="L110" s="4" t="s">
        <v>13</v>
      </c>
      <c r="M110" s="1">
        <v>9.2690000000000001</v>
      </c>
      <c r="N110" s="1" t="s">
        <v>184</v>
      </c>
      <c r="O110" s="1"/>
      <c r="P110" s="22">
        <v>9.4090000000000007</v>
      </c>
      <c r="Q110" s="22">
        <v>9.1690000000000005</v>
      </c>
      <c r="R110" s="22">
        <v>9.5129999999999999</v>
      </c>
      <c r="S110" s="22">
        <v>9.5210000000000008</v>
      </c>
      <c r="T110" s="22">
        <v>9.4130000000000003</v>
      </c>
      <c r="U110" s="22">
        <v>9.4550000000000001</v>
      </c>
      <c r="V110" s="22">
        <v>9.3379999999999992</v>
      </c>
      <c r="W110" s="22">
        <v>9.3179999999999996</v>
      </c>
      <c r="X110" s="22">
        <v>9.7769999999999992</v>
      </c>
      <c r="Y110" s="22">
        <v>9.18</v>
      </c>
      <c r="Z110" s="22">
        <v>9.3010000000000002</v>
      </c>
      <c r="AA110" s="22">
        <v>9.3919999999999995</v>
      </c>
      <c r="AB110" s="22">
        <v>9.3439999999999994</v>
      </c>
      <c r="AC110" s="22">
        <v>9.3219999999999992</v>
      </c>
      <c r="AD110" s="22">
        <v>9.3279999999999994</v>
      </c>
    </row>
    <row r="111" spans="1:30">
      <c r="A111" s="1">
        <f t="shared" si="5"/>
        <v>109</v>
      </c>
      <c r="B111" s="31"/>
      <c r="C111" s="1">
        <v>2</v>
      </c>
      <c r="D111" s="4">
        <f t="shared" si="4"/>
        <v>12</v>
      </c>
      <c r="E111" s="1" t="s">
        <v>498</v>
      </c>
      <c r="F111" s="1">
        <v>4</v>
      </c>
      <c r="G111" s="1" t="s">
        <v>11</v>
      </c>
      <c r="H111" s="1"/>
      <c r="I111" s="119"/>
      <c r="J111" s="120">
        <v>7.2770000000000001</v>
      </c>
      <c r="K111" s="7" t="s">
        <v>210</v>
      </c>
      <c r="L111" s="4" t="s">
        <v>13</v>
      </c>
      <c r="M111" s="1">
        <v>7.3120000000000012</v>
      </c>
      <c r="N111" s="1" t="s">
        <v>184</v>
      </c>
      <c r="O111" s="1"/>
      <c r="P111" s="22">
        <v>8.4559999999999995</v>
      </c>
      <c r="Q111" s="22">
        <v>6.4219999999999997</v>
      </c>
      <c r="R111" s="22">
        <v>8.5850000000000009</v>
      </c>
      <c r="S111" s="22">
        <v>8.5690000000000008</v>
      </c>
      <c r="T111" s="22">
        <v>7.7960000000000003</v>
      </c>
      <c r="U111" s="22">
        <v>7.609</v>
      </c>
      <c r="V111" s="22">
        <v>7.4589999999999996</v>
      </c>
      <c r="W111" s="22">
        <v>7.4320000000000004</v>
      </c>
      <c r="X111" s="121">
        <v>7.3929999999999998</v>
      </c>
      <c r="Y111" s="121">
        <v>7.048</v>
      </c>
      <c r="Z111" s="121">
        <v>7.2460000000000004</v>
      </c>
      <c r="AA111" s="121">
        <v>7.359</v>
      </c>
      <c r="AB111" s="121">
        <v>7.32</v>
      </c>
      <c r="AC111" s="121">
        <v>7.2549999999999999</v>
      </c>
      <c r="AD111" s="122">
        <v>7.2839999999999998</v>
      </c>
    </row>
    <row r="112" spans="1:30">
      <c r="A112" s="1">
        <f t="shared" si="5"/>
        <v>110</v>
      </c>
      <c r="B112" s="31"/>
      <c r="C112" s="1">
        <v>2</v>
      </c>
      <c r="D112" s="4">
        <f t="shared" si="4"/>
        <v>12</v>
      </c>
      <c r="E112" s="1" t="s">
        <v>499</v>
      </c>
      <c r="F112" s="1">
        <v>4</v>
      </c>
      <c r="G112" s="1" t="s">
        <v>11</v>
      </c>
      <c r="H112" s="1"/>
      <c r="I112" s="119"/>
      <c r="J112" s="120">
        <v>8.391</v>
      </c>
      <c r="K112" s="7" t="s">
        <v>103</v>
      </c>
      <c r="L112" s="4" t="s">
        <v>13</v>
      </c>
      <c r="M112" s="1">
        <v>8.4019999999999992</v>
      </c>
      <c r="N112" s="1" t="s">
        <v>184</v>
      </c>
      <c r="O112" s="1"/>
      <c r="P112" s="22">
        <v>8.8710000000000004</v>
      </c>
      <c r="Q112" s="22">
        <v>7.5730000000000004</v>
      </c>
      <c r="R112" s="22">
        <v>9.157</v>
      </c>
      <c r="S112" s="22">
        <v>9.3680000000000003</v>
      </c>
      <c r="T112" s="22">
        <v>8.7379999999999995</v>
      </c>
      <c r="U112" s="22">
        <v>8.6739999999999995</v>
      </c>
      <c r="V112" s="22">
        <v>8.6300000000000008</v>
      </c>
      <c r="W112" s="22">
        <v>8.5760000000000005</v>
      </c>
      <c r="X112" s="121">
        <v>8.6479999999999997</v>
      </c>
      <c r="Y112" s="121">
        <v>8.1890000000000001</v>
      </c>
      <c r="Z112" s="121">
        <v>8.3640000000000008</v>
      </c>
      <c r="AA112" s="121">
        <v>8.4459999999999997</v>
      </c>
      <c r="AB112" s="121">
        <v>8.4160000000000004</v>
      </c>
      <c r="AC112" s="121">
        <v>8.3409999999999993</v>
      </c>
      <c r="AD112" s="122">
        <v>8.3759999999999994</v>
      </c>
    </row>
    <row r="113" spans="1:30">
      <c r="A113" s="1">
        <f t="shared" si="5"/>
        <v>111</v>
      </c>
      <c r="B113" s="31"/>
      <c r="C113" s="1">
        <v>2</v>
      </c>
      <c r="D113" s="4">
        <f t="shared" si="4"/>
        <v>12</v>
      </c>
      <c r="E113" s="1" t="s">
        <v>487</v>
      </c>
      <c r="F113" s="1">
        <v>4</v>
      </c>
      <c r="G113" s="1" t="s">
        <v>11</v>
      </c>
      <c r="H113" s="1"/>
      <c r="I113" s="119"/>
      <c r="J113" s="37">
        <v>9.1690000000000005</v>
      </c>
      <c r="K113" s="7" t="s">
        <v>103</v>
      </c>
      <c r="L113" s="4" t="s">
        <v>13</v>
      </c>
      <c r="M113" s="1">
        <v>9.1739999999999995</v>
      </c>
      <c r="N113" s="1" t="s">
        <v>184</v>
      </c>
      <c r="O113" s="1"/>
      <c r="P113" s="22">
        <v>9.3130000000000006</v>
      </c>
      <c r="Q113" s="22">
        <v>8.4890000000000008</v>
      </c>
      <c r="R113" s="22">
        <v>9.6519999999999992</v>
      </c>
      <c r="S113" s="22">
        <v>9.9290000000000003</v>
      </c>
      <c r="T113" s="22">
        <v>9.3740000000000006</v>
      </c>
      <c r="U113" s="22">
        <v>9.4109999999999996</v>
      </c>
      <c r="V113" s="22">
        <v>9.3759999999999994</v>
      </c>
      <c r="W113" s="22">
        <v>9.375</v>
      </c>
      <c r="X113" s="121">
        <v>9.4670000000000005</v>
      </c>
      <c r="Y113" s="121">
        <v>8.9700000000000006</v>
      </c>
      <c r="Z113" s="121">
        <v>9.1679999999999993</v>
      </c>
      <c r="AA113" s="121">
        <v>9.2910000000000004</v>
      </c>
      <c r="AB113" s="121">
        <v>9.23</v>
      </c>
      <c r="AC113" s="121">
        <v>9.1349999999999998</v>
      </c>
      <c r="AD113" s="122">
        <v>9.1760000000000002</v>
      </c>
    </row>
    <row r="114" spans="1:30">
      <c r="A114" s="1">
        <f t="shared" si="5"/>
        <v>112</v>
      </c>
      <c r="B114" s="31" t="s">
        <v>513</v>
      </c>
      <c r="C114" s="1">
        <v>3</v>
      </c>
      <c r="D114" s="4">
        <f t="shared" si="4"/>
        <v>35</v>
      </c>
      <c r="E114" s="1" t="s">
        <v>478</v>
      </c>
      <c r="F114" s="1">
        <v>2</v>
      </c>
      <c r="G114" s="1" t="s">
        <v>11</v>
      </c>
      <c r="H114" s="1" t="s">
        <v>320</v>
      </c>
      <c r="I114" s="22">
        <v>0.04</v>
      </c>
      <c r="J114" s="50">
        <v>3.5</v>
      </c>
      <c r="K114" s="1" t="s">
        <v>117</v>
      </c>
      <c r="L114" s="10" t="s">
        <v>111</v>
      </c>
      <c r="M114" s="1">
        <v>3.4980000000000002</v>
      </c>
      <c r="N114" s="1" t="s">
        <v>7</v>
      </c>
      <c r="O114" s="1"/>
      <c r="P114" s="22">
        <v>6.4764999999999997</v>
      </c>
      <c r="Q114" s="22">
        <v>2.536</v>
      </c>
      <c r="R114" s="22">
        <v>5.3979999999999997</v>
      </c>
      <c r="S114" s="22">
        <v>4.1349999999999998</v>
      </c>
      <c r="T114" s="22">
        <v>4.6914999999999996</v>
      </c>
      <c r="U114" s="22">
        <v>4.0805000000000007</v>
      </c>
      <c r="V114" s="22">
        <v>3.8544999999999998</v>
      </c>
      <c r="W114" s="22">
        <v>3.7675000000000001</v>
      </c>
      <c r="X114" s="121">
        <v>3.9369999999999998</v>
      </c>
      <c r="Y114" s="121">
        <v>3.1960000000000002</v>
      </c>
      <c r="Z114" s="121">
        <v>3.5249999999999999</v>
      </c>
      <c r="AA114" s="121">
        <v>3.585</v>
      </c>
      <c r="AB114" s="121">
        <v>3.5150000000000001</v>
      </c>
      <c r="AC114" s="121">
        <v>3.5209999999999999</v>
      </c>
      <c r="AD114" s="122">
        <v>3.5430000000000001</v>
      </c>
    </row>
    <row r="115" spans="1:30">
      <c r="A115" s="1">
        <f t="shared" si="5"/>
        <v>113</v>
      </c>
      <c r="B115" s="31"/>
      <c r="C115" s="1">
        <v>3</v>
      </c>
      <c r="D115" s="4">
        <f t="shared" si="4"/>
        <v>35</v>
      </c>
      <c r="E115" s="1" t="s">
        <v>479</v>
      </c>
      <c r="F115" s="1">
        <v>2</v>
      </c>
      <c r="G115" s="1" t="s">
        <v>11</v>
      </c>
      <c r="H115" s="1" t="s">
        <v>320</v>
      </c>
      <c r="I115" s="6">
        <v>4.0000000000000001E-3</v>
      </c>
      <c r="J115" s="50">
        <v>3.8679999999999999</v>
      </c>
      <c r="K115" s="1" t="s">
        <v>117</v>
      </c>
      <c r="L115" s="10" t="s">
        <v>111</v>
      </c>
      <c r="M115" s="1">
        <v>3.863</v>
      </c>
      <c r="N115" s="1" t="s">
        <v>7</v>
      </c>
      <c r="O115" s="1"/>
      <c r="P115" s="41"/>
      <c r="Q115" s="41"/>
      <c r="R115" s="22">
        <v>4.8250000000000002</v>
      </c>
      <c r="S115" s="22">
        <v>4.9050000000000002</v>
      </c>
      <c r="T115" s="22">
        <v>4.6749999999999998</v>
      </c>
      <c r="U115" s="22">
        <v>4.8360000000000003</v>
      </c>
      <c r="V115" s="22">
        <v>4.3289999999999997</v>
      </c>
      <c r="W115" s="22">
        <v>4.2990000000000004</v>
      </c>
      <c r="X115" s="121">
        <v>3.8450000000000002</v>
      </c>
      <c r="Y115" s="121">
        <v>3.5230000000000001</v>
      </c>
      <c r="Z115" s="121">
        <v>3.718</v>
      </c>
      <c r="AA115" s="121">
        <v>3.8380000000000001</v>
      </c>
      <c r="AB115" s="121">
        <v>3.8079999999999998</v>
      </c>
      <c r="AC115" s="121">
        <v>3.823</v>
      </c>
      <c r="AD115" s="122">
        <v>3.8079999999999998</v>
      </c>
    </row>
    <row r="116" spans="1:30">
      <c r="A116" s="1">
        <f t="shared" si="5"/>
        <v>114</v>
      </c>
      <c r="B116" s="31"/>
      <c r="C116" s="1">
        <v>3</v>
      </c>
      <c r="D116" s="4">
        <f t="shared" si="4"/>
        <v>35</v>
      </c>
      <c r="E116" s="1" t="s">
        <v>519</v>
      </c>
      <c r="F116" s="1">
        <v>2</v>
      </c>
      <c r="G116" s="1" t="s">
        <v>11</v>
      </c>
      <c r="H116" s="1" t="s">
        <v>320</v>
      </c>
      <c r="I116" s="1" t="s">
        <v>170</v>
      </c>
      <c r="J116" s="50">
        <v>4.3659999999999997</v>
      </c>
      <c r="K116" s="1" t="s">
        <v>117</v>
      </c>
      <c r="L116" s="10" t="s">
        <v>111</v>
      </c>
      <c r="M116" s="1">
        <v>4.3520000000000003</v>
      </c>
      <c r="N116" s="1" t="s">
        <v>7</v>
      </c>
      <c r="O116" s="1"/>
      <c r="P116" s="41"/>
      <c r="Q116" s="41"/>
      <c r="R116" s="22">
        <v>6.41</v>
      </c>
      <c r="S116" s="22">
        <v>5.1244999999999994</v>
      </c>
      <c r="T116" s="22">
        <v>5.9055</v>
      </c>
      <c r="U116" s="22">
        <v>5.3170000000000002</v>
      </c>
      <c r="V116" s="22">
        <v>5.1924999999999999</v>
      </c>
      <c r="W116" s="22">
        <v>5.0579999999999998</v>
      </c>
      <c r="X116" s="121">
        <v>4.8620000000000001</v>
      </c>
      <c r="Y116" s="121">
        <v>3.9870000000000001</v>
      </c>
      <c r="Z116" s="121">
        <v>4.3179999999999996</v>
      </c>
      <c r="AA116" s="121">
        <v>4.383</v>
      </c>
      <c r="AB116" s="121">
        <v>4.3250000000000002</v>
      </c>
      <c r="AC116" s="121">
        <v>4.298</v>
      </c>
      <c r="AD116" s="122">
        <v>4.3310000000000004</v>
      </c>
    </row>
    <row r="117" spans="1:30">
      <c r="A117" s="1">
        <f t="shared" si="5"/>
        <v>115</v>
      </c>
      <c r="B117" s="31"/>
      <c r="C117" s="1">
        <v>3</v>
      </c>
      <c r="D117" s="4">
        <f t="shared" si="4"/>
        <v>35</v>
      </c>
      <c r="E117" s="1" t="s">
        <v>483</v>
      </c>
      <c r="F117" s="1">
        <v>4</v>
      </c>
      <c r="G117" s="1" t="s">
        <v>11</v>
      </c>
      <c r="H117" s="1" t="s">
        <v>320</v>
      </c>
      <c r="I117" s="119"/>
      <c r="J117" s="50">
        <v>2.7629999999999999</v>
      </c>
      <c r="K117" s="1" t="s">
        <v>117</v>
      </c>
      <c r="L117" s="10" t="s">
        <v>111</v>
      </c>
      <c r="M117" s="1">
        <v>2.7730000000000001</v>
      </c>
      <c r="N117" s="1" t="s">
        <v>7</v>
      </c>
      <c r="O117" s="1"/>
      <c r="P117" s="22">
        <v>3.1470000000000002</v>
      </c>
      <c r="Q117" s="22">
        <v>1.6105</v>
      </c>
      <c r="R117" s="22">
        <v>3.3395000000000001</v>
      </c>
      <c r="S117" s="22">
        <v>3.4450000000000003</v>
      </c>
      <c r="T117" s="22">
        <v>3.1865000000000001</v>
      </c>
      <c r="U117" s="22">
        <v>3.198</v>
      </c>
      <c r="V117" s="22">
        <v>2.9725000000000001</v>
      </c>
      <c r="W117" s="22">
        <v>3.016</v>
      </c>
      <c r="X117" s="121">
        <v>3.0139999999999998</v>
      </c>
      <c r="Y117" s="121">
        <v>2.5470000000000002</v>
      </c>
      <c r="Z117" s="121">
        <v>2.7429999999999999</v>
      </c>
      <c r="AA117" s="121">
        <v>2.7650000000000001</v>
      </c>
      <c r="AB117" s="121">
        <v>2.7160000000000002</v>
      </c>
      <c r="AC117" s="121">
        <v>2.7229999999999999</v>
      </c>
      <c r="AD117" s="122">
        <v>2.7559999999999998</v>
      </c>
    </row>
    <row r="118" spans="1:30">
      <c r="A118" s="1">
        <f t="shared" si="5"/>
        <v>116</v>
      </c>
      <c r="B118" s="31" t="s">
        <v>510</v>
      </c>
      <c r="C118" s="1">
        <v>2</v>
      </c>
      <c r="D118" s="4">
        <f t="shared" si="4"/>
        <v>12</v>
      </c>
      <c r="E118" s="1" t="s">
        <v>478</v>
      </c>
      <c r="F118" s="1">
        <v>2</v>
      </c>
      <c r="G118" s="1" t="s">
        <v>11</v>
      </c>
      <c r="H118" s="1"/>
      <c r="I118" s="22">
        <v>2E-3</v>
      </c>
      <c r="J118" s="37">
        <v>0.70899999999999996</v>
      </c>
      <c r="K118" s="7" t="s">
        <v>103</v>
      </c>
      <c r="L118" s="4" t="s">
        <v>13</v>
      </c>
      <c r="M118" s="22">
        <v>0.71</v>
      </c>
      <c r="N118" s="1" t="s">
        <v>184</v>
      </c>
      <c r="O118" s="1"/>
      <c r="P118" s="22">
        <v>1.64</v>
      </c>
      <c r="Q118" s="22">
        <v>0.73799999999999999</v>
      </c>
      <c r="R118" s="22">
        <v>1.3380000000000001</v>
      </c>
      <c r="S118" s="22">
        <v>0.95499999999999996</v>
      </c>
      <c r="T118" s="22">
        <v>0.99099999999999999</v>
      </c>
      <c r="U118" s="22">
        <v>0.76900000000000002</v>
      </c>
      <c r="V118" s="22">
        <v>0.77300000000000002</v>
      </c>
      <c r="W118" s="22">
        <v>0.71699999999999997</v>
      </c>
      <c r="X118" s="121">
        <v>0.95799999999999996</v>
      </c>
      <c r="Y118" s="121">
        <v>0.86399999999999999</v>
      </c>
      <c r="Z118" s="121">
        <v>0.81799999999999995</v>
      </c>
      <c r="AA118" s="121">
        <v>0.71399999999999997</v>
      </c>
      <c r="AB118" s="121">
        <v>0.69599999999999995</v>
      </c>
      <c r="AC118" s="121">
        <v>0.73</v>
      </c>
      <c r="AD118" s="122">
        <v>0.73299999999999998</v>
      </c>
    </row>
    <row r="119" spans="1:30">
      <c r="A119" s="1">
        <f t="shared" si="5"/>
        <v>117</v>
      </c>
      <c r="B119" s="31"/>
      <c r="C119" s="1">
        <v>2</v>
      </c>
      <c r="D119" s="4">
        <f t="shared" si="4"/>
        <v>12</v>
      </c>
      <c r="E119" s="1" t="s">
        <v>479</v>
      </c>
      <c r="F119" s="1">
        <v>2</v>
      </c>
      <c r="G119" s="1" t="s">
        <v>11</v>
      </c>
      <c r="H119" s="1" t="s">
        <v>320</v>
      </c>
      <c r="I119" s="22">
        <v>0</v>
      </c>
      <c r="J119" s="37">
        <v>7</v>
      </c>
      <c r="K119" s="7" t="s">
        <v>103</v>
      </c>
      <c r="L119" s="4" t="s">
        <v>13</v>
      </c>
      <c r="M119" s="22">
        <v>7.0189999999999992</v>
      </c>
      <c r="N119" s="1" t="s">
        <v>184</v>
      </c>
      <c r="O119" s="1"/>
      <c r="P119" s="22">
        <v>9.2260000000000009</v>
      </c>
      <c r="Q119" s="41"/>
      <c r="R119" s="22">
        <v>8.8870000000000005</v>
      </c>
      <c r="S119" s="22">
        <v>8.2629999999999999</v>
      </c>
      <c r="T119" s="22">
        <v>8.4740000000000002</v>
      </c>
      <c r="U119" s="22">
        <v>8.1950000000000003</v>
      </c>
      <c r="V119" s="22">
        <v>7.5629999999999997</v>
      </c>
      <c r="W119" s="22">
        <v>7.343</v>
      </c>
      <c r="X119" s="121">
        <v>7.5620000000000003</v>
      </c>
      <c r="Y119" s="121">
        <v>6.7759999999999998</v>
      </c>
      <c r="Z119" s="121">
        <v>7.133</v>
      </c>
      <c r="AA119" s="121">
        <v>7.2539999999999996</v>
      </c>
      <c r="AB119" s="121">
        <v>7.16</v>
      </c>
      <c r="AC119" s="121">
        <v>7.0519999999999996</v>
      </c>
      <c r="AD119" s="122">
        <v>7.1360000000000001</v>
      </c>
    </row>
    <row r="120" spans="1:30">
      <c r="A120" s="1">
        <f t="shared" si="5"/>
        <v>118</v>
      </c>
      <c r="B120" s="31"/>
      <c r="C120" s="1">
        <v>2</v>
      </c>
      <c r="D120" s="4">
        <f t="shared" si="4"/>
        <v>12</v>
      </c>
      <c r="E120" s="1" t="s">
        <v>486</v>
      </c>
      <c r="F120" s="1">
        <v>2</v>
      </c>
      <c r="G120" s="1" t="s">
        <v>11</v>
      </c>
      <c r="H120" s="1"/>
      <c r="I120" s="119"/>
      <c r="J120" s="37">
        <v>7.452</v>
      </c>
      <c r="K120" s="7" t="s">
        <v>103</v>
      </c>
      <c r="L120" s="4" t="s">
        <v>13</v>
      </c>
      <c r="M120" s="22">
        <v>7.4479999999999995</v>
      </c>
      <c r="N120" s="1" t="s">
        <v>7</v>
      </c>
      <c r="O120" s="1"/>
      <c r="P120" s="22">
        <v>7.7919999999999998</v>
      </c>
      <c r="Q120" s="41"/>
      <c r="R120" s="22">
        <v>7.9720000000000004</v>
      </c>
      <c r="S120" s="22">
        <v>7.7380000000000004</v>
      </c>
      <c r="T120" s="22">
        <v>7.5679999999999996</v>
      </c>
      <c r="U120" s="22">
        <v>7.5410000000000004</v>
      </c>
      <c r="V120" s="22">
        <v>7.4610000000000003</v>
      </c>
      <c r="W120" s="22">
        <v>7.4630000000000001</v>
      </c>
      <c r="X120" s="121">
        <v>8.5809999999999995</v>
      </c>
      <c r="Y120" s="121">
        <v>7.3049999999999997</v>
      </c>
      <c r="Z120" s="121">
        <v>7.7279999999999998</v>
      </c>
      <c r="AA120" s="121">
        <v>7.7629999999999999</v>
      </c>
      <c r="AB120" s="121">
        <v>7.6059999999999999</v>
      </c>
      <c r="AC120" s="121">
        <v>7.5129999999999999</v>
      </c>
      <c r="AD120" s="122">
        <v>7.6459999999999999</v>
      </c>
    </row>
    <row r="121" spans="1:30">
      <c r="A121" s="1">
        <f t="shared" si="5"/>
        <v>119</v>
      </c>
      <c r="B121" s="31"/>
      <c r="C121" s="1">
        <v>2</v>
      </c>
      <c r="D121" s="4">
        <f t="shared" si="4"/>
        <v>12</v>
      </c>
      <c r="E121" s="1" t="s">
        <v>481</v>
      </c>
      <c r="F121" s="1">
        <v>2</v>
      </c>
      <c r="G121" s="1" t="s">
        <v>11</v>
      </c>
      <c r="H121" s="1"/>
      <c r="I121" s="119"/>
      <c r="J121" s="37">
        <v>7.7560000000000002</v>
      </c>
      <c r="K121" s="7" t="s">
        <v>210</v>
      </c>
      <c r="L121" s="4" t="s">
        <v>13</v>
      </c>
      <c r="M121" s="22">
        <v>7.7479999999999993</v>
      </c>
      <c r="N121" s="1" t="s">
        <v>184</v>
      </c>
      <c r="O121" s="1"/>
      <c r="P121" s="22">
        <v>7.95</v>
      </c>
      <c r="Q121" s="41"/>
      <c r="R121" s="41"/>
      <c r="S121" s="22">
        <v>8.0050000000000008</v>
      </c>
      <c r="T121" s="22">
        <v>7.9160000000000004</v>
      </c>
      <c r="U121" s="22">
        <v>7.8929999999999998</v>
      </c>
      <c r="V121" s="22">
        <v>7.8179999999999996</v>
      </c>
      <c r="W121" s="22">
        <v>7.8129999999999997</v>
      </c>
      <c r="X121" s="121">
        <v>8.56</v>
      </c>
      <c r="Y121" s="121">
        <v>7.569</v>
      </c>
      <c r="Z121" s="121">
        <v>7.9089999999999998</v>
      </c>
      <c r="AA121" s="121">
        <v>7.9630000000000001</v>
      </c>
      <c r="AB121" s="121">
        <v>7.8609999999999998</v>
      </c>
      <c r="AC121" s="121">
        <v>7.7640000000000002</v>
      </c>
      <c r="AD121" s="122">
        <v>7.8620000000000001</v>
      </c>
    </row>
    <row r="122" spans="1:30">
      <c r="A122" s="1">
        <f t="shared" si="5"/>
        <v>120</v>
      </c>
      <c r="B122" s="31"/>
      <c r="C122" s="1">
        <v>2</v>
      </c>
      <c r="D122" s="4">
        <f t="shared" si="4"/>
        <v>12</v>
      </c>
      <c r="E122" s="1" t="s">
        <v>498</v>
      </c>
      <c r="F122" s="1">
        <v>4</v>
      </c>
      <c r="G122" s="1" t="s">
        <v>11</v>
      </c>
      <c r="H122" s="1"/>
      <c r="I122" s="119"/>
      <c r="J122" s="37">
        <v>5.15</v>
      </c>
      <c r="K122" s="7" t="s">
        <v>103</v>
      </c>
      <c r="L122" s="4" t="s">
        <v>13</v>
      </c>
      <c r="M122" s="22">
        <v>5.1840000000000002</v>
      </c>
      <c r="N122" s="1" t="s">
        <v>184</v>
      </c>
      <c r="O122" s="1"/>
      <c r="P122" s="22">
        <v>5.9390000000000001</v>
      </c>
      <c r="Q122" s="22">
        <v>4.49</v>
      </c>
      <c r="R122" s="22">
        <v>5.9039999999999999</v>
      </c>
      <c r="S122" s="22">
        <v>5.9729999999999999</v>
      </c>
      <c r="T122" s="22">
        <v>5.5350000000000001</v>
      </c>
      <c r="U122" s="22">
        <v>5.4409999999999998</v>
      </c>
      <c r="V122" s="41"/>
      <c r="W122" s="22">
        <v>5.3029999999999999</v>
      </c>
      <c r="X122" s="121">
        <v>5.234</v>
      </c>
      <c r="Y122" s="121">
        <v>4.8739999999999997</v>
      </c>
      <c r="Z122" s="121">
        <v>5.2080000000000002</v>
      </c>
      <c r="AA122" s="121">
        <v>5.2809999999999997</v>
      </c>
      <c r="AB122" s="121">
        <v>5.2350000000000003</v>
      </c>
      <c r="AC122" s="121">
        <v>5.1639999999999997</v>
      </c>
      <c r="AD122" s="122">
        <v>5.2119999999999997</v>
      </c>
    </row>
    <row r="123" spans="1:30">
      <c r="A123" s="1">
        <f t="shared" si="5"/>
        <v>121</v>
      </c>
      <c r="B123" s="31"/>
      <c r="C123" s="1">
        <v>2</v>
      </c>
      <c r="D123" s="4">
        <f t="shared" si="4"/>
        <v>12</v>
      </c>
      <c r="E123" s="1" t="s">
        <v>499</v>
      </c>
      <c r="F123" s="1">
        <v>4</v>
      </c>
      <c r="G123" s="1" t="s">
        <v>11</v>
      </c>
      <c r="H123" s="1"/>
      <c r="I123" s="119"/>
      <c r="J123" s="37">
        <v>6.1189999999999998</v>
      </c>
      <c r="K123" s="7" t="s">
        <v>103</v>
      </c>
      <c r="L123" s="4" t="s">
        <v>13</v>
      </c>
      <c r="M123" s="22">
        <v>6.1320000000000006</v>
      </c>
      <c r="N123" s="1" t="s">
        <v>184</v>
      </c>
      <c r="O123" s="1"/>
      <c r="P123" s="22">
        <v>6.9169999999999998</v>
      </c>
      <c r="Q123" s="22">
        <v>5.4210000000000003</v>
      </c>
      <c r="R123" s="22">
        <v>6.89</v>
      </c>
      <c r="S123" s="22">
        <v>6.875</v>
      </c>
      <c r="T123" s="22">
        <v>6.5449999999999999</v>
      </c>
      <c r="U123" s="22">
        <v>6.4710000000000001</v>
      </c>
      <c r="V123" s="22">
        <v>6.3520000000000003</v>
      </c>
      <c r="W123" s="22">
        <v>6.2930000000000001</v>
      </c>
      <c r="X123" s="121">
        <v>6.5609999999999999</v>
      </c>
      <c r="Y123" s="121">
        <v>5.9329999999999998</v>
      </c>
      <c r="Z123" s="121">
        <v>6.2160000000000002</v>
      </c>
      <c r="AA123" s="121">
        <v>6.2510000000000003</v>
      </c>
      <c r="AB123" s="121">
        <v>6.1859999999999999</v>
      </c>
      <c r="AC123" s="121">
        <v>6.1040000000000001</v>
      </c>
      <c r="AD123" s="122">
        <v>6.1829999999999998</v>
      </c>
    </row>
    <row r="124" spans="1:30">
      <c r="A124" s="1">
        <f t="shared" si="5"/>
        <v>122</v>
      </c>
      <c r="B124" s="31"/>
      <c r="C124" s="1">
        <v>2</v>
      </c>
      <c r="D124" s="4">
        <f t="shared" si="4"/>
        <v>12</v>
      </c>
      <c r="E124" s="1" t="s">
        <v>487</v>
      </c>
      <c r="F124" s="1">
        <v>4</v>
      </c>
      <c r="G124" s="1" t="s">
        <v>11</v>
      </c>
      <c r="H124" s="1"/>
      <c r="I124" s="119"/>
      <c r="J124" s="37">
        <v>6.8529999999999998</v>
      </c>
      <c r="K124" s="7" t="s">
        <v>210</v>
      </c>
      <c r="L124" s="4" t="s">
        <v>13</v>
      </c>
      <c r="M124" s="22">
        <v>6.8619999999999983</v>
      </c>
      <c r="N124" s="1" t="s">
        <v>184</v>
      </c>
      <c r="O124" s="1"/>
      <c r="P124" s="22">
        <v>7.4420000000000002</v>
      </c>
      <c r="Q124" s="22">
        <v>6.2960000000000003</v>
      </c>
      <c r="R124" s="22">
        <v>7.7489999999999997</v>
      </c>
      <c r="S124" s="22">
        <v>7.5179999999999998</v>
      </c>
      <c r="T124" s="22">
        <v>7.3239999999999998</v>
      </c>
      <c r="U124" s="22">
        <v>7.2450000000000001</v>
      </c>
      <c r="V124" s="41"/>
      <c r="W124" s="22">
        <v>7.0389999999999997</v>
      </c>
      <c r="X124" s="121">
        <v>7.452</v>
      </c>
      <c r="Y124" s="121">
        <v>6.6879999999999997</v>
      </c>
      <c r="Z124" s="121">
        <v>7.048</v>
      </c>
      <c r="AA124" s="121">
        <v>7.14</v>
      </c>
      <c r="AB124" s="121">
        <v>7.0119999999999996</v>
      </c>
      <c r="AC124" s="121">
        <v>6.8869999999999996</v>
      </c>
      <c r="AD124" s="122">
        <v>6.9969999999999999</v>
      </c>
    </row>
    <row r="125" spans="1:30">
      <c r="A125" s="1">
        <f t="shared" si="5"/>
        <v>123</v>
      </c>
      <c r="B125" s="31" t="s">
        <v>511</v>
      </c>
      <c r="C125" s="1">
        <v>4</v>
      </c>
      <c r="D125" s="4">
        <f t="shared" si="4"/>
        <v>35</v>
      </c>
      <c r="E125" s="1" t="s">
        <v>464</v>
      </c>
      <c r="F125" s="1">
        <v>2</v>
      </c>
      <c r="G125" s="1" t="s">
        <v>11</v>
      </c>
      <c r="H125" s="1"/>
      <c r="I125" s="119"/>
      <c r="J125" s="120">
        <v>0.69900000000000007</v>
      </c>
      <c r="K125" s="1" t="s">
        <v>109</v>
      </c>
      <c r="L125" s="4" t="s">
        <v>13</v>
      </c>
      <c r="M125" s="33"/>
      <c r="N125" s="33"/>
      <c r="O125" s="1"/>
      <c r="P125" s="22">
        <v>0.82699999999999996</v>
      </c>
      <c r="Q125" s="22">
        <v>0.58799999999999997</v>
      </c>
      <c r="R125" s="22">
        <v>0.83299999999999996</v>
      </c>
      <c r="S125" s="22">
        <v>0.80500000000000005</v>
      </c>
      <c r="T125" s="22">
        <v>0.73699999999999999</v>
      </c>
      <c r="U125" s="22">
        <v>0.72899999999999998</v>
      </c>
      <c r="V125" s="22">
        <v>0.71199999999999997</v>
      </c>
      <c r="W125" s="22">
        <v>0.71</v>
      </c>
      <c r="X125" s="41"/>
      <c r="Y125" s="41"/>
      <c r="Z125" s="41"/>
      <c r="AA125" s="41"/>
      <c r="AB125" s="41"/>
      <c r="AC125" s="41"/>
      <c r="AD125" s="41"/>
    </row>
    <row r="126" spans="1:30">
      <c r="A126" s="1">
        <f t="shared" si="5"/>
        <v>124</v>
      </c>
      <c r="B126" s="31"/>
      <c r="C126" s="1">
        <v>4</v>
      </c>
      <c r="D126" s="4">
        <f t="shared" si="4"/>
        <v>35</v>
      </c>
      <c r="E126" s="1" t="s">
        <v>465</v>
      </c>
      <c r="F126" s="1">
        <v>2</v>
      </c>
      <c r="G126" s="1" t="s">
        <v>11</v>
      </c>
      <c r="H126" s="1"/>
      <c r="I126" s="22">
        <v>0</v>
      </c>
      <c r="J126" s="120">
        <v>2.7719999999999998</v>
      </c>
      <c r="K126" s="1" t="s">
        <v>109</v>
      </c>
      <c r="L126" s="4" t="s">
        <v>13</v>
      </c>
      <c r="M126" s="33"/>
      <c r="N126" s="33"/>
      <c r="O126" s="1"/>
      <c r="P126" s="22">
        <v>2.93</v>
      </c>
      <c r="Q126" s="22">
        <v>2.738</v>
      </c>
      <c r="R126" s="22">
        <v>2.92</v>
      </c>
      <c r="S126" s="22">
        <v>2.8809999999999998</v>
      </c>
      <c r="T126" s="22">
        <v>2.8410000000000002</v>
      </c>
      <c r="U126" s="22">
        <v>2.8290000000000002</v>
      </c>
      <c r="V126" s="22">
        <v>2.7890000000000001</v>
      </c>
      <c r="W126" s="22">
        <v>2.7850000000000001</v>
      </c>
      <c r="X126" s="41"/>
      <c r="Y126" s="41"/>
      <c r="Z126" s="41"/>
      <c r="AA126" s="41"/>
      <c r="AB126" s="41"/>
      <c r="AC126" s="41"/>
      <c r="AD126" s="41"/>
    </row>
    <row r="127" spans="1:30">
      <c r="A127" s="1">
        <f t="shared" si="5"/>
        <v>125</v>
      </c>
      <c r="B127" s="31"/>
      <c r="C127" s="1">
        <v>4</v>
      </c>
      <c r="D127" s="4">
        <f t="shared" si="4"/>
        <v>35</v>
      </c>
      <c r="E127" s="1" t="s">
        <v>466</v>
      </c>
      <c r="F127" s="1">
        <v>2</v>
      </c>
      <c r="G127" s="1" t="s">
        <v>11</v>
      </c>
      <c r="H127" s="1"/>
      <c r="I127" s="22">
        <v>1.2E-2</v>
      </c>
      <c r="J127" s="120">
        <v>6.5769999999999991</v>
      </c>
      <c r="K127" s="1" t="s">
        <v>109</v>
      </c>
      <c r="L127" s="4" t="s">
        <v>13</v>
      </c>
      <c r="M127" s="33"/>
      <c r="N127" s="33"/>
      <c r="O127" s="1"/>
      <c r="P127" s="22">
        <v>6.907</v>
      </c>
      <c r="Q127" s="22">
        <v>8.1679999999999993</v>
      </c>
      <c r="R127" s="22">
        <v>6.835</v>
      </c>
      <c r="S127" s="22">
        <v>6.7619999999999996</v>
      </c>
      <c r="T127" s="22">
        <v>7.4989999999999997</v>
      </c>
      <c r="U127" s="22">
        <v>7.468</v>
      </c>
      <c r="V127" s="22">
        <v>6.57</v>
      </c>
      <c r="W127" s="22">
        <v>6.5540000000000003</v>
      </c>
      <c r="X127" s="41"/>
      <c r="Y127" s="41"/>
      <c r="Z127" s="41"/>
      <c r="AA127" s="41"/>
      <c r="AB127" s="41"/>
      <c r="AC127" s="41"/>
      <c r="AD127" s="41"/>
    </row>
    <row r="128" spans="1:30">
      <c r="A128" s="1">
        <f t="shared" si="5"/>
        <v>126</v>
      </c>
      <c r="B128" s="31"/>
      <c r="C128" s="1">
        <v>4</v>
      </c>
      <c r="D128" s="4">
        <f t="shared" si="4"/>
        <v>35</v>
      </c>
      <c r="E128" s="1" t="s">
        <v>484</v>
      </c>
      <c r="F128" s="1">
        <v>2</v>
      </c>
      <c r="G128" s="1" t="s">
        <v>11</v>
      </c>
      <c r="H128" s="1"/>
      <c r="I128" s="6">
        <v>1E-3</v>
      </c>
      <c r="J128" s="120">
        <v>6.9690000000000003</v>
      </c>
      <c r="K128" s="1" t="s">
        <v>109</v>
      </c>
      <c r="L128" s="4" t="s">
        <v>13</v>
      </c>
      <c r="M128" s="33"/>
      <c r="N128" s="33"/>
      <c r="O128" s="1"/>
      <c r="P128" s="22">
        <v>7.4119999999999999</v>
      </c>
      <c r="Q128" s="22">
        <v>8.4610000000000003</v>
      </c>
      <c r="R128" s="22">
        <v>7.3239999999999998</v>
      </c>
      <c r="S128" s="22">
        <v>7.2469999999999999</v>
      </c>
      <c r="T128" s="22">
        <v>7.8739999999999997</v>
      </c>
      <c r="U128" s="22">
        <v>7.8390000000000004</v>
      </c>
      <c r="V128" s="22">
        <v>6.9889999999999999</v>
      </c>
      <c r="W128" s="22">
        <v>6.9720000000000004</v>
      </c>
      <c r="X128" s="41"/>
      <c r="Y128" s="41"/>
      <c r="Z128" s="41"/>
      <c r="AA128" s="41"/>
      <c r="AB128" s="41"/>
      <c r="AC128" s="41"/>
      <c r="AD128" s="41"/>
    </row>
    <row r="129" spans="1:30">
      <c r="A129" s="1">
        <f t="shared" si="5"/>
        <v>127</v>
      </c>
      <c r="B129" s="31"/>
      <c r="C129" s="1">
        <v>4</v>
      </c>
      <c r="D129" s="4">
        <f t="shared" si="4"/>
        <v>35</v>
      </c>
      <c r="E129" s="1" t="s">
        <v>465</v>
      </c>
      <c r="F129" s="1">
        <v>2</v>
      </c>
      <c r="G129" s="1" t="s">
        <v>11</v>
      </c>
      <c r="H129" s="1"/>
      <c r="I129" s="22">
        <v>1.0999999999999999E-2</v>
      </c>
      <c r="J129" s="120">
        <v>7.8419999999999996</v>
      </c>
      <c r="K129" s="1" t="s">
        <v>109</v>
      </c>
      <c r="L129" s="4" t="s">
        <v>13</v>
      </c>
      <c r="M129" s="33"/>
      <c r="N129" s="33"/>
      <c r="O129" s="1"/>
      <c r="P129" s="22">
        <v>8.2439999999999998</v>
      </c>
      <c r="Q129" s="22">
        <v>9.2789999999999999</v>
      </c>
      <c r="R129" s="22">
        <v>8.1820000000000004</v>
      </c>
      <c r="S129" s="22">
        <v>8.1120000000000001</v>
      </c>
      <c r="T129" s="22">
        <v>8.7100000000000009</v>
      </c>
      <c r="U129" s="22">
        <v>8.6829999999999998</v>
      </c>
      <c r="V129" s="22">
        <v>7.8559999999999999</v>
      </c>
      <c r="W129" s="22">
        <v>7.84</v>
      </c>
      <c r="X129" s="41"/>
      <c r="Y129" s="41"/>
      <c r="Z129" s="41"/>
      <c r="AA129" s="41"/>
      <c r="AB129" s="41"/>
      <c r="AC129" s="41"/>
      <c r="AD129" s="41"/>
    </row>
    <row r="130" spans="1:30">
      <c r="A130" s="1">
        <f t="shared" si="5"/>
        <v>128</v>
      </c>
      <c r="B130" s="31" t="s">
        <v>512</v>
      </c>
      <c r="C130" s="1">
        <v>4</v>
      </c>
      <c r="D130" s="4">
        <f t="shared" si="4"/>
        <v>35</v>
      </c>
      <c r="E130" s="1" t="s">
        <v>464</v>
      </c>
      <c r="F130" s="1">
        <v>2</v>
      </c>
      <c r="G130" s="1" t="s">
        <v>11</v>
      </c>
      <c r="H130" s="1"/>
      <c r="I130" s="119"/>
      <c r="J130" s="120">
        <v>0.47499999999999998</v>
      </c>
      <c r="K130" s="1" t="s">
        <v>109</v>
      </c>
      <c r="L130" s="4" t="s">
        <v>13</v>
      </c>
      <c r="M130" s="33"/>
      <c r="N130" s="33"/>
      <c r="O130" s="22"/>
      <c r="P130" s="22">
        <v>0.63500000000000001</v>
      </c>
      <c r="Q130" s="22">
        <v>0.35299999999999998</v>
      </c>
      <c r="R130" s="22">
        <v>0.60899999999999999</v>
      </c>
      <c r="S130" s="22">
        <v>0.55100000000000005</v>
      </c>
      <c r="T130" s="22">
        <v>0.51200000000000001</v>
      </c>
      <c r="U130" s="22">
        <v>0.49399999999999999</v>
      </c>
      <c r="V130" s="22">
        <v>0.48099999999999998</v>
      </c>
      <c r="W130" s="22">
        <v>0.47699999999999998</v>
      </c>
      <c r="X130" s="41"/>
      <c r="Y130" s="41"/>
      <c r="Z130" s="41"/>
      <c r="AA130" s="41"/>
      <c r="AB130" s="41"/>
      <c r="AC130" s="41"/>
      <c r="AD130" s="41"/>
    </row>
    <row r="131" spans="1:30">
      <c r="A131" s="1">
        <f t="shared" si="5"/>
        <v>129</v>
      </c>
      <c r="B131" s="31"/>
      <c r="C131" s="1">
        <v>4</v>
      </c>
      <c r="D131" s="4">
        <f t="shared" si="4"/>
        <v>35</v>
      </c>
      <c r="E131" s="1" t="s">
        <v>465</v>
      </c>
      <c r="F131" s="1">
        <v>2</v>
      </c>
      <c r="G131" s="1" t="s">
        <v>11</v>
      </c>
      <c r="H131" s="1"/>
      <c r="I131" s="6">
        <v>1E-3</v>
      </c>
      <c r="J131" s="120">
        <v>2.927</v>
      </c>
      <c r="K131" s="1" t="s">
        <v>109</v>
      </c>
      <c r="L131" s="4" t="s">
        <v>13</v>
      </c>
      <c r="M131" s="33"/>
      <c r="N131" s="33"/>
      <c r="O131" s="22"/>
      <c r="P131" s="22">
        <v>3.1909999999999998</v>
      </c>
      <c r="Q131" s="22">
        <v>2.8820000000000001</v>
      </c>
      <c r="R131" s="22">
        <v>3.141</v>
      </c>
      <c r="S131" s="22">
        <v>3.0680000000000001</v>
      </c>
      <c r="T131" s="22">
        <v>3.0329999999999999</v>
      </c>
      <c r="U131" s="22">
        <v>3.008</v>
      </c>
      <c r="V131" s="22">
        <v>2.94</v>
      </c>
      <c r="W131" s="22">
        <v>2.9329999999999998</v>
      </c>
      <c r="X131" s="41"/>
      <c r="Y131" s="41"/>
      <c r="Z131" s="41"/>
      <c r="AA131" s="41"/>
      <c r="AB131" s="41"/>
      <c r="AC131" s="41"/>
      <c r="AD131" s="41"/>
    </row>
    <row r="132" spans="1:30">
      <c r="A132" s="1">
        <f t="shared" si="5"/>
        <v>130</v>
      </c>
      <c r="B132" s="31"/>
      <c r="C132" s="1">
        <v>4</v>
      </c>
      <c r="D132" s="4">
        <f t="shared" ref="D132:D195" si="6">_xlfn.SWITCH(C132,1,12,2,12,3,35,4,35,5,35)</f>
        <v>35</v>
      </c>
      <c r="E132" s="1" t="s">
        <v>466</v>
      </c>
      <c r="F132" s="1">
        <v>2</v>
      </c>
      <c r="G132" s="1" t="s">
        <v>11</v>
      </c>
      <c r="H132" s="1"/>
      <c r="I132" s="6">
        <v>7.0999999999999994E-2</v>
      </c>
      <c r="J132" s="50">
        <v>7.0609999999999999</v>
      </c>
      <c r="K132" s="1" t="s">
        <v>109</v>
      </c>
      <c r="L132" s="10" t="s">
        <v>111</v>
      </c>
      <c r="M132" s="33"/>
      <c r="N132" s="33"/>
      <c r="O132" s="22"/>
      <c r="P132" s="22">
        <v>7.3230000000000004</v>
      </c>
      <c r="Q132" s="22">
        <v>7.2370000000000001</v>
      </c>
      <c r="R132" s="22">
        <v>7.3719999999999999</v>
      </c>
      <c r="S132" s="22">
        <v>7.2939999999999996</v>
      </c>
      <c r="T132" s="22">
        <v>8.1280000000000001</v>
      </c>
      <c r="U132" s="22">
        <v>8.0939999999999994</v>
      </c>
      <c r="V132" s="22">
        <v>7.1790000000000003</v>
      </c>
      <c r="W132" s="22">
        <v>7.1639999999999997</v>
      </c>
      <c r="X132" s="41"/>
      <c r="Y132" s="41"/>
      <c r="Z132" s="41"/>
      <c r="AA132" s="41"/>
      <c r="AB132" s="41"/>
      <c r="AC132" s="41"/>
      <c r="AD132" s="41"/>
    </row>
    <row r="133" spans="1:30">
      <c r="A133" s="1">
        <f t="shared" si="5"/>
        <v>131</v>
      </c>
      <c r="B133" s="31"/>
      <c r="C133" s="1">
        <v>4</v>
      </c>
      <c r="D133" s="4">
        <f t="shared" si="6"/>
        <v>35</v>
      </c>
      <c r="E133" s="1" t="s">
        <v>466</v>
      </c>
      <c r="F133" s="1">
        <v>2</v>
      </c>
      <c r="G133" s="1" t="s">
        <v>11</v>
      </c>
      <c r="H133" s="1"/>
      <c r="I133" s="6">
        <v>0.108</v>
      </c>
      <c r="J133" s="37">
        <v>7.29</v>
      </c>
      <c r="K133" s="1" t="s">
        <v>109</v>
      </c>
      <c r="L133" s="4" t="s">
        <v>13</v>
      </c>
      <c r="M133" s="33"/>
      <c r="N133" s="33"/>
      <c r="O133" s="22"/>
      <c r="P133" s="22">
        <v>7.9290000000000003</v>
      </c>
      <c r="Q133" s="22">
        <v>8.1489999999999991</v>
      </c>
      <c r="R133" s="22">
        <v>7.9710000000000001</v>
      </c>
      <c r="S133" s="22">
        <v>7.9710000000000001</v>
      </c>
      <c r="T133" s="22">
        <v>7.8339999999999996</v>
      </c>
      <c r="U133" s="22">
        <v>7.819</v>
      </c>
      <c r="V133" s="22">
        <v>7.569</v>
      </c>
      <c r="W133" s="22">
        <v>7.5330000000000004</v>
      </c>
      <c r="X133" s="41"/>
      <c r="Y133" s="41"/>
      <c r="Z133" s="41"/>
      <c r="AA133" s="41"/>
      <c r="AB133" s="41"/>
      <c r="AC133" s="41"/>
      <c r="AD133" s="41"/>
    </row>
    <row r="134" spans="1:30">
      <c r="A134" s="1">
        <f t="shared" si="5"/>
        <v>132</v>
      </c>
      <c r="B134" s="31"/>
      <c r="C134" s="1">
        <v>4</v>
      </c>
      <c r="D134" s="4">
        <f t="shared" si="6"/>
        <v>35</v>
      </c>
      <c r="E134" s="1" t="s">
        <v>484</v>
      </c>
      <c r="F134" s="1">
        <v>2</v>
      </c>
      <c r="G134" s="1" t="s">
        <v>14</v>
      </c>
      <c r="H134" s="1"/>
      <c r="I134" s="6">
        <v>9.0999999999999998E-2</v>
      </c>
      <c r="J134" s="50">
        <v>7.4169999999999998</v>
      </c>
      <c r="K134" s="1" t="s">
        <v>109</v>
      </c>
      <c r="L134" s="10" t="s">
        <v>111</v>
      </c>
      <c r="M134" s="33"/>
      <c r="N134" s="33"/>
      <c r="O134" s="22"/>
      <c r="P134" s="22">
        <v>7.9420000000000002</v>
      </c>
      <c r="Q134" s="22">
        <v>7.4320000000000004</v>
      </c>
      <c r="R134" s="22">
        <v>7.8920000000000003</v>
      </c>
      <c r="S134" s="22">
        <v>7.9080000000000004</v>
      </c>
      <c r="T134" s="22">
        <v>7.8170000000000002</v>
      </c>
      <c r="U134" s="22">
        <v>7.806</v>
      </c>
      <c r="V134" s="22">
        <v>7.5640000000000001</v>
      </c>
      <c r="W134" s="22">
        <v>7.548</v>
      </c>
      <c r="X134" s="41"/>
      <c r="Y134" s="41"/>
      <c r="Z134" s="41"/>
      <c r="AA134" s="41"/>
      <c r="AB134" s="41"/>
      <c r="AC134" s="41"/>
      <c r="AD134" s="41"/>
    </row>
    <row r="135" spans="1:30">
      <c r="A135" s="1">
        <f t="shared" si="5"/>
        <v>133</v>
      </c>
      <c r="B135" s="31"/>
      <c r="C135" s="1">
        <v>4</v>
      </c>
      <c r="D135" s="4">
        <f t="shared" si="6"/>
        <v>35</v>
      </c>
      <c r="E135" s="1" t="s">
        <v>484</v>
      </c>
      <c r="F135" s="1">
        <v>2</v>
      </c>
      <c r="G135" s="1" t="s">
        <v>11</v>
      </c>
      <c r="H135" s="1"/>
      <c r="I135" s="6">
        <v>2E-3</v>
      </c>
      <c r="J135" s="120">
        <v>7.6909999999999998</v>
      </c>
      <c r="K135" s="1" t="s">
        <v>109</v>
      </c>
      <c r="L135" s="4" t="s">
        <v>13</v>
      </c>
      <c r="M135" s="33"/>
      <c r="N135" s="33"/>
      <c r="O135" s="22"/>
      <c r="P135" s="22">
        <v>7.8730000000000002</v>
      </c>
      <c r="Q135" s="41"/>
      <c r="R135" s="22">
        <v>7.9269999999999996</v>
      </c>
      <c r="S135" s="22">
        <v>7.8369999999999997</v>
      </c>
      <c r="T135" s="22">
        <v>8.4819999999999993</v>
      </c>
      <c r="U135" s="22">
        <v>8.44</v>
      </c>
      <c r="V135" s="22">
        <v>7.6710000000000003</v>
      </c>
      <c r="W135" s="22">
        <v>7.657</v>
      </c>
      <c r="X135" s="41"/>
      <c r="Y135" s="41"/>
      <c r="Z135" s="41"/>
      <c r="AA135" s="41"/>
      <c r="AB135" s="41"/>
      <c r="AC135" s="41"/>
      <c r="AD135" s="41"/>
    </row>
    <row r="136" spans="1:30">
      <c r="A136" s="1">
        <f t="shared" si="5"/>
        <v>134</v>
      </c>
      <c r="B136" s="31"/>
      <c r="C136" s="1">
        <v>4</v>
      </c>
      <c r="D136" s="4">
        <f t="shared" si="6"/>
        <v>35</v>
      </c>
      <c r="E136" s="1" t="s">
        <v>464</v>
      </c>
      <c r="F136" s="1">
        <v>2</v>
      </c>
      <c r="G136" s="1" t="s">
        <v>11</v>
      </c>
      <c r="H136" s="1" t="s">
        <v>320</v>
      </c>
      <c r="I136" s="119"/>
      <c r="J136" s="50">
        <v>7.7770000000000001</v>
      </c>
      <c r="K136" s="1" t="s">
        <v>109</v>
      </c>
      <c r="L136" s="10" t="s">
        <v>111</v>
      </c>
      <c r="M136" s="33"/>
      <c r="N136" s="33"/>
      <c r="O136" s="22"/>
      <c r="P136" s="22">
        <v>8.4629999999999992</v>
      </c>
      <c r="Q136" s="22">
        <v>7.87</v>
      </c>
      <c r="R136" s="22">
        <v>8.4480000000000004</v>
      </c>
      <c r="S136" s="22">
        <v>8.3849999999999998</v>
      </c>
      <c r="T136" s="22">
        <v>8.2040000000000006</v>
      </c>
      <c r="U136" s="22">
        <v>8.173</v>
      </c>
      <c r="V136" s="22">
        <v>7.9379999999999997</v>
      </c>
      <c r="W136" s="22">
        <v>7.9249999999999998</v>
      </c>
      <c r="X136" s="41"/>
      <c r="Y136" s="41"/>
      <c r="Z136" s="41"/>
      <c r="AA136" s="41"/>
      <c r="AB136" s="41"/>
      <c r="AC136" s="41"/>
      <c r="AD136" s="41"/>
    </row>
    <row r="137" spans="1:30">
      <c r="A137" s="1">
        <f t="shared" si="5"/>
        <v>135</v>
      </c>
      <c r="B137" s="31"/>
      <c r="C137" s="1">
        <v>4</v>
      </c>
      <c r="D137" s="4">
        <f t="shared" si="6"/>
        <v>35</v>
      </c>
      <c r="E137" s="1" t="s">
        <v>496</v>
      </c>
      <c r="F137" s="1">
        <v>4</v>
      </c>
      <c r="G137" s="1" t="s">
        <v>11</v>
      </c>
      <c r="H137" s="1"/>
      <c r="I137" s="119"/>
      <c r="J137" s="50">
        <v>6.4</v>
      </c>
      <c r="K137" s="1" t="s">
        <v>109</v>
      </c>
      <c r="L137" s="10" t="s">
        <v>111</v>
      </c>
      <c r="M137" s="33"/>
      <c r="N137" s="33"/>
      <c r="O137" s="22"/>
      <c r="P137" s="22">
        <v>6.7939999999999996</v>
      </c>
      <c r="Q137" s="22">
        <v>6.4269999999999996</v>
      </c>
      <c r="R137" s="22">
        <v>6.8040000000000003</v>
      </c>
      <c r="S137" s="22">
        <v>6.8090000000000002</v>
      </c>
      <c r="T137" s="22">
        <v>6.694</v>
      </c>
      <c r="U137" s="22">
        <v>6.6920000000000002</v>
      </c>
      <c r="V137" s="22">
        <v>6.5620000000000003</v>
      </c>
      <c r="W137" s="22">
        <v>6.5529999999999999</v>
      </c>
      <c r="X137" s="41"/>
      <c r="Y137" s="41"/>
      <c r="Z137" s="41"/>
      <c r="AA137" s="41"/>
      <c r="AB137" s="41"/>
      <c r="AC137" s="41"/>
      <c r="AD137" s="41"/>
    </row>
    <row r="138" spans="1:30">
      <c r="A138" s="1">
        <f t="shared" si="5"/>
        <v>136</v>
      </c>
      <c r="B138" s="31"/>
      <c r="C138" s="1">
        <v>4</v>
      </c>
      <c r="D138" s="4">
        <f t="shared" si="6"/>
        <v>35</v>
      </c>
      <c r="E138" s="1" t="s">
        <v>467</v>
      </c>
      <c r="F138" s="1">
        <v>4</v>
      </c>
      <c r="G138" s="1" t="s">
        <v>14</v>
      </c>
      <c r="H138" s="1"/>
      <c r="I138" s="119"/>
      <c r="J138" s="50">
        <v>7.09</v>
      </c>
      <c r="K138" s="1" t="s">
        <v>109</v>
      </c>
      <c r="L138" s="10" t="s">
        <v>111</v>
      </c>
      <c r="M138" s="33"/>
      <c r="N138" s="33"/>
      <c r="O138" s="22"/>
      <c r="P138" s="22">
        <v>7.4290000000000003</v>
      </c>
      <c r="Q138" s="22">
        <v>7.0819999999999999</v>
      </c>
      <c r="R138" s="22">
        <v>7.375</v>
      </c>
      <c r="S138" s="22">
        <v>7.3739999999999997</v>
      </c>
      <c r="T138" s="22">
        <v>7.3620000000000001</v>
      </c>
      <c r="U138" s="22">
        <v>7.3609999999999998</v>
      </c>
      <c r="V138" s="22">
        <v>7.1989999999999998</v>
      </c>
      <c r="W138" s="22">
        <v>7.1929999999999996</v>
      </c>
      <c r="X138" s="41"/>
      <c r="Y138" s="41"/>
      <c r="Z138" s="41"/>
      <c r="AA138" s="41"/>
      <c r="AB138" s="41"/>
      <c r="AC138" s="41"/>
      <c r="AD138" s="41"/>
    </row>
    <row r="139" spans="1:30">
      <c r="A139" s="1">
        <f t="shared" si="5"/>
        <v>137</v>
      </c>
      <c r="B139" s="31"/>
      <c r="C139" s="1">
        <v>4</v>
      </c>
      <c r="D139" s="4">
        <f t="shared" si="6"/>
        <v>35</v>
      </c>
      <c r="E139" s="1" t="s">
        <v>467</v>
      </c>
      <c r="F139" s="1">
        <v>4</v>
      </c>
      <c r="G139" s="1" t="s">
        <v>14</v>
      </c>
      <c r="H139" s="1"/>
      <c r="I139" s="119"/>
      <c r="J139" s="50">
        <v>7.9880000000000004</v>
      </c>
      <c r="K139" s="1" t="s">
        <v>109</v>
      </c>
      <c r="L139" s="10" t="s">
        <v>111</v>
      </c>
      <c r="M139" s="33"/>
      <c r="N139" s="33"/>
      <c r="O139" s="22"/>
      <c r="P139" s="22">
        <v>8.407</v>
      </c>
      <c r="Q139" s="22">
        <v>7.8840000000000003</v>
      </c>
      <c r="R139" s="22">
        <v>8.4019999999999992</v>
      </c>
      <c r="S139" s="22">
        <v>8.4039999999999999</v>
      </c>
      <c r="T139" s="22">
        <v>8.2769999999999992</v>
      </c>
      <c r="U139" s="22">
        <v>8.27</v>
      </c>
      <c r="V139" s="22">
        <v>8.1479999999999997</v>
      </c>
      <c r="W139" s="22">
        <v>8.1340000000000003</v>
      </c>
      <c r="X139" s="41"/>
      <c r="Y139" s="41"/>
      <c r="Z139" s="41"/>
      <c r="AA139" s="41"/>
      <c r="AB139" s="41"/>
      <c r="AC139" s="41"/>
      <c r="AD139" s="41"/>
    </row>
    <row r="140" spans="1:30">
      <c r="A140" s="1">
        <f t="shared" si="5"/>
        <v>138</v>
      </c>
      <c r="B140" s="31" t="s">
        <v>521</v>
      </c>
      <c r="C140" s="1">
        <v>2</v>
      </c>
      <c r="D140" s="4">
        <f t="shared" si="6"/>
        <v>12</v>
      </c>
      <c r="E140" s="1" t="s">
        <v>506</v>
      </c>
      <c r="F140" s="1">
        <v>2</v>
      </c>
      <c r="G140" s="1" t="s">
        <v>11</v>
      </c>
      <c r="H140" s="1"/>
      <c r="I140" s="22">
        <v>4.0000000000000001E-3</v>
      </c>
      <c r="J140" s="37">
        <v>1.7100000000000002</v>
      </c>
      <c r="K140" s="22" t="s">
        <v>270</v>
      </c>
      <c r="L140" s="4" t="s">
        <v>13</v>
      </c>
      <c r="M140" s="22">
        <v>1.7010000000000003</v>
      </c>
      <c r="N140" s="22" t="s">
        <v>7</v>
      </c>
      <c r="O140" s="22"/>
      <c r="P140" s="22">
        <v>1.875</v>
      </c>
      <c r="Q140" s="22">
        <v>1.663</v>
      </c>
      <c r="R140" s="22">
        <v>1.8620000000000001</v>
      </c>
      <c r="S140" s="22">
        <v>1.8520000000000001</v>
      </c>
      <c r="T140" s="22">
        <v>1.754</v>
      </c>
      <c r="U140" s="22">
        <v>1.752</v>
      </c>
      <c r="V140" s="22">
        <v>1.724</v>
      </c>
      <c r="W140" s="22">
        <v>1.724</v>
      </c>
      <c r="X140" s="41"/>
      <c r="Y140" s="41"/>
      <c r="Z140" s="41"/>
      <c r="AA140" s="41"/>
      <c r="AB140" s="41"/>
      <c r="AC140" s="41"/>
      <c r="AD140" s="41"/>
    </row>
    <row r="141" spans="1:30">
      <c r="A141" s="1">
        <f t="shared" si="5"/>
        <v>139</v>
      </c>
      <c r="B141" s="31"/>
      <c r="C141" s="1">
        <v>2</v>
      </c>
      <c r="D141" s="4">
        <f t="shared" si="6"/>
        <v>12</v>
      </c>
      <c r="E141" s="1" t="s">
        <v>508</v>
      </c>
      <c r="F141" s="1">
        <v>2</v>
      </c>
      <c r="G141" s="1" t="s">
        <v>14</v>
      </c>
      <c r="H141" s="1"/>
      <c r="I141" s="22">
        <v>1.0999999999999999E-2</v>
      </c>
      <c r="J141" s="37">
        <v>5.4339999999999993</v>
      </c>
      <c r="K141" s="22" t="s">
        <v>270</v>
      </c>
      <c r="L141" s="4" t="s">
        <v>13</v>
      </c>
      <c r="M141" s="22">
        <v>5.4569999999999981</v>
      </c>
      <c r="N141" s="22" t="s">
        <v>7</v>
      </c>
      <c r="O141" s="22"/>
      <c r="P141" s="22">
        <v>5.8449999999999998</v>
      </c>
      <c r="Q141" s="22">
        <v>5.5250000000000004</v>
      </c>
      <c r="R141" s="22">
        <v>5.7279999999999998</v>
      </c>
      <c r="S141" s="22">
        <v>5.7190000000000003</v>
      </c>
      <c r="T141" s="22">
        <v>5.5979999999999999</v>
      </c>
      <c r="U141" s="22">
        <v>5.5970000000000004</v>
      </c>
      <c r="V141" s="22">
        <v>5.47</v>
      </c>
      <c r="W141" s="22">
        <v>5.4690000000000003</v>
      </c>
      <c r="X141" s="41"/>
      <c r="Y141" s="41"/>
      <c r="Z141" s="41"/>
      <c r="AA141" s="41"/>
      <c r="AB141" s="41"/>
      <c r="AC141" s="41"/>
      <c r="AD141" s="41"/>
    </row>
    <row r="142" spans="1:30">
      <c r="A142" s="1">
        <f t="shared" si="5"/>
        <v>140</v>
      </c>
      <c r="B142" s="31"/>
      <c r="C142" s="1">
        <v>2</v>
      </c>
      <c r="D142" s="4">
        <f t="shared" si="6"/>
        <v>12</v>
      </c>
      <c r="E142" s="1" t="s">
        <v>508</v>
      </c>
      <c r="F142" s="1">
        <v>2</v>
      </c>
      <c r="G142" s="1" t="s">
        <v>14</v>
      </c>
      <c r="H142" s="1"/>
      <c r="I142" s="22">
        <v>3.5999999999999997E-2</v>
      </c>
      <c r="J142" s="37">
        <v>5.8310000000000013</v>
      </c>
      <c r="K142" s="22" t="s">
        <v>270</v>
      </c>
      <c r="L142" s="4" t="s">
        <v>13</v>
      </c>
      <c r="M142" s="22">
        <v>5.8390000000000013</v>
      </c>
      <c r="N142" s="22" t="s">
        <v>7</v>
      </c>
      <c r="O142" s="22"/>
      <c r="P142" s="22">
        <v>6.2169999999999996</v>
      </c>
      <c r="Q142" s="22">
        <v>5.8840000000000003</v>
      </c>
      <c r="R142" s="22">
        <v>6.11</v>
      </c>
      <c r="S142" s="22">
        <v>6.101</v>
      </c>
      <c r="T142" s="22">
        <v>5.9770000000000003</v>
      </c>
      <c r="U142" s="22">
        <v>5.976</v>
      </c>
      <c r="V142" s="22">
        <v>5.8639999999999999</v>
      </c>
      <c r="W142" s="22">
        <v>5.8630000000000004</v>
      </c>
      <c r="X142" s="41"/>
      <c r="Y142" s="41"/>
      <c r="Z142" s="41"/>
      <c r="AA142" s="41"/>
      <c r="AB142" s="41"/>
      <c r="AC142" s="41"/>
      <c r="AD142" s="41"/>
    </row>
    <row r="143" spans="1:30">
      <c r="A143" s="1">
        <f t="shared" si="5"/>
        <v>141</v>
      </c>
      <c r="B143" s="31"/>
      <c r="C143" s="1">
        <v>2</v>
      </c>
      <c r="D143" s="4">
        <f t="shared" si="6"/>
        <v>12</v>
      </c>
      <c r="E143" s="1" t="s">
        <v>508</v>
      </c>
      <c r="F143" s="1">
        <v>2</v>
      </c>
      <c r="G143" s="1" t="s">
        <v>14</v>
      </c>
      <c r="H143" s="1"/>
      <c r="I143" s="22">
        <v>0.04</v>
      </c>
      <c r="J143" s="37">
        <v>6.2009999999999996</v>
      </c>
      <c r="K143" s="22" t="s">
        <v>270</v>
      </c>
      <c r="L143" s="4" t="s">
        <v>13</v>
      </c>
      <c r="M143" s="22">
        <v>6.2299999999999995</v>
      </c>
      <c r="N143" s="22" t="s">
        <v>7</v>
      </c>
      <c r="O143" s="22"/>
      <c r="P143" s="22">
        <v>6.64</v>
      </c>
      <c r="Q143" s="41"/>
      <c r="R143" s="41"/>
      <c r="S143" s="41"/>
      <c r="T143" s="22">
        <v>6.4029999999999996</v>
      </c>
      <c r="U143" s="22">
        <v>6.4029999999999996</v>
      </c>
      <c r="V143" s="22">
        <v>6.2439999999999998</v>
      </c>
      <c r="W143" s="22">
        <v>6.242</v>
      </c>
      <c r="X143" s="41"/>
      <c r="Y143" s="41"/>
      <c r="Z143" s="41"/>
      <c r="AA143" s="41"/>
      <c r="AB143" s="41"/>
      <c r="AC143" s="41"/>
      <c r="AD143" s="41"/>
    </row>
    <row r="144" spans="1:30">
      <c r="A144" s="1">
        <f t="shared" si="5"/>
        <v>142</v>
      </c>
      <c r="B144" s="31"/>
      <c r="C144" s="1">
        <v>2</v>
      </c>
      <c r="D144" s="4">
        <f t="shared" si="6"/>
        <v>12</v>
      </c>
      <c r="E144" s="1" t="s">
        <v>508</v>
      </c>
      <c r="F144" s="1">
        <v>2</v>
      </c>
      <c r="G144" s="1" t="s">
        <v>207</v>
      </c>
      <c r="H144" s="1"/>
      <c r="I144" s="22">
        <v>1.4E-2</v>
      </c>
      <c r="J144" s="37">
        <v>6.3650000000000002</v>
      </c>
      <c r="K144" s="22" t="s">
        <v>270</v>
      </c>
      <c r="L144" s="4" t="s">
        <v>13</v>
      </c>
      <c r="M144" s="22">
        <v>6.3820000000000006</v>
      </c>
      <c r="N144" s="22" t="s">
        <v>7</v>
      </c>
      <c r="O144" s="22"/>
      <c r="P144" s="41"/>
      <c r="Q144" s="41"/>
      <c r="R144" s="41"/>
      <c r="S144" s="41"/>
      <c r="T144" s="22">
        <v>6.5049999999999999</v>
      </c>
      <c r="U144" s="22">
        <v>6.5069999999999997</v>
      </c>
      <c r="V144" s="22">
        <v>6.3890000000000002</v>
      </c>
      <c r="W144" s="22">
        <v>6.3869999999999996</v>
      </c>
      <c r="X144" s="41"/>
      <c r="Y144" s="41"/>
      <c r="Z144" s="41"/>
      <c r="AA144" s="41"/>
      <c r="AB144" s="41"/>
      <c r="AC144" s="41"/>
      <c r="AD144" s="41"/>
    </row>
    <row r="145" spans="1:30">
      <c r="A145" s="1">
        <f t="shared" si="5"/>
        <v>143</v>
      </c>
      <c r="B145" s="31"/>
      <c r="C145" s="1">
        <v>2</v>
      </c>
      <c r="D145" s="4">
        <f t="shared" si="6"/>
        <v>12</v>
      </c>
      <c r="E145" s="1" t="s">
        <v>506</v>
      </c>
      <c r="F145" s="1">
        <v>2</v>
      </c>
      <c r="G145" s="1" t="s">
        <v>207</v>
      </c>
      <c r="H145" s="1"/>
      <c r="I145" s="22">
        <v>8.0000000000000002E-3</v>
      </c>
      <c r="J145" s="37">
        <v>6.4349999999999996</v>
      </c>
      <c r="K145" s="22" t="s">
        <v>270</v>
      </c>
      <c r="L145" s="4" t="s">
        <v>13</v>
      </c>
      <c r="M145" s="22">
        <v>6.4389999999999992</v>
      </c>
      <c r="N145" s="22" t="s">
        <v>7</v>
      </c>
      <c r="O145" s="22"/>
      <c r="P145" s="22">
        <v>6.8019999999999996</v>
      </c>
      <c r="Q145" s="22">
        <v>6.4989999999999997</v>
      </c>
      <c r="R145" s="22">
        <v>6.6959999999999997</v>
      </c>
      <c r="S145" s="22">
        <v>6.6890000000000001</v>
      </c>
      <c r="T145" s="22">
        <v>6.58</v>
      </c>
      <c r="U145" s="22">
        <v>6.5789999999999997</v>
      </c>
      <c r="V145" s="22">
        <v>6.484</v>
      </c>
      <c r="W145" s="22">
        <v>6.4630000000000001</v>
      </c>
      <c r="X145" s="41"/>
      <c r="Y145" s="41"/>
      <c r="Z145" s="41"/>
      <c r="AA145" s="41"/>
      <c r="AB145" s="41"/>
      <c r="AC145" s="41"/>
      <c r="AD145" s="41"/>
    </row>
    <row r="146" spans="1:30">
      <c r="A146" s="1">
        <f t="shared" si="5"/>
        <v>144</v>
      </c>
      <c r="B146" s="31"/>
      <c r="C146" s="1">
        <v>2</v>
      </c>
      <c r="D146" s="4">
        <f t="shared" si="6"/>
        <v>12</v>
      </c>
      <c r="E146" s="1" t="s">
        <v>506</v>
      </c>
      <c r="F146" s="1">
        <v>2</v>
      </c>
      <c r="G146" s="1" t="s">
        <v>11</v>
      </c>
      <c r="H146" s="1"/>
      <c r="I146" s="22">
        <v>4.0000000000000001E-3</v>
      </c>
      <c r="J146" s="37">
        <v>6.6439999999999984</v>
      </c>
      <c r="K146" s="22" t="s">
        <v>270</v>
      </c>
      <c r="L146" s="4" t="s">
        <v>13</v>
      </c>
      <c r="M146" s="22">
        <v>6.6759999999999984</v>
      </c>
      <c r="N146" s="22" t="s">
        <v>7</v>
      </c>
      <c r="O146" s="22"/>
      <c r="P146" s="22">
        <v>6.9859999999999998</v>
      </c>
      <c r="Q146" s="22">
        <v>6.7489999999999997</v>
      </c>
      <c r="R146" s="22">
        <v>7.0330000000000004</v>
      </c>
      <c r="S146" s="22">
        <v>7.0259999999999998</v>
      </c>
      <c r="T146" s="22">
        <v>6.8920000000000003</v>
      </c>
      <c r="U146" s="22">
        <v>6.8869999999999996</v>
      </c>
      <c r="V146" s="22">
        <v>6.7009999999999996</v>
      </c>
      <c r="W146" s="22">
        <v>6.6980000000000004</v>
      </c>
      <c r="X146" s="41"/>
      <c r="Y146" s="41"/>
      <c r="Z146" s="41"/>
      <c r="AA146" s="41"/>
      <c r="AB146" s="41"/>
      <c r="AC146" s="41"/>
      <c r="AD146" s="41"/>
    </row>
    <row r="147" spans="1:30">
      <c r="A147" s="1">
        <f t="shared" si="5"/>
        <v>145</v>
      </c>
      <c r="B147" s="31"/>
      <c r="C147" s="1">
        <v>2</v>
      </c>
      <c r="D147" s="4">
        <f t="shared" si="6"/>
        <v>12</v>
      </c>
      <c r="E147" s="1" t="s">
        <v>507</v>
      </c>
      <c r="F147" s="1">
        <v>4</v>
      </c>
      <c r="G147" s="1" t="s">
        <v>11</v>
      </c>
      <c r="H147" s="1"/>
      <c r="I147" s="119"/>
      <c r="J147" s="37">
        <v>5.9140000000000006</v>
      </c>
      <c r="K147" s="22" t="s">
        <v>270</v>
      </c>
      <c r="L147" s="4" t="s">
        <v>13</v>
      </c>
      <c r="M147" s="22">
        <v>5.9450000000000003</v>
      </c>
      <c r="N147" s="22" t="s">
        <v>7</v>
      </c>
      <c r="O147" s="22"/>
      <c r="P147" s="22">
        <v>6.5</v>
      </c>
      <c r="Q147" s="22">
        <v>5.9119999999999999</v>
      </c>
      <c r="R147" s="22">
        <v>6.5250000000000004</v>
      </c>
      <c r="S147" s="22">
        <v>6.5229999999999997</v>
      </c>
      <c r="T147" s="22">
        <v>6.3120000000000003</v>
      </c>
      <c r="U147" s="22">
        <v>6.3090000000000002</v>
      </c>
      <c r="V147" s="22">
        <v>6.0880000000000001</v>
      </c>
      <c r="W147" s="22">
        <v>6.0830000000000002</v>
      </c>
      <c r="X147" s="41"/>
      <c r="Y147" s="41"/>
      <c r="Z147" s="41"/>
      <c r="AA147" s="41"/>
      <c r="AB147" s="41"/>
      <c r="AC147" s="41"/>
      <c r="AD147" s="41"/>
    </row>
    <row r="148" spans="1:30">
      <c r="A148" s="1">
        <f t="shared" si="5"/>
        <v>146</v>
      </c>
      <c r="B148" s="31"/>
      <c r="C148" s="1">
        <v>2</v>
      </c>
      <c r="D148" s="4">
        <f t="shared" si="6"/>
        <v>12</v>
      </c>
      <c r="E148" s="1" t="s">
        <v>509</v>
      </c>
      <c r="F148" s="1">
        <v>4</v>
      </c>
      <c r="G148" s="1" t="s">
        <v>11</v>
      </c>
      <c r="H148" s="1"/>
      <c r="I148" s="119"/>
      <c r="J148" s="37">
        <v>6.33</v>
      </c>
      <c r="K148" s="22" t="s">
        <v>270</v>
      </c>
      <c r="L148" s="4" t="s">
        <v>13</v>
      </c>
      <c r="M148" s="22">
        <v>6.3650000000000011</v>
      </c>
      <c r="N148" s="22" t="s">
        <v>7</v>
      </c>
      <c r="O148" s="22"/>
      <c r="P148" s="41"/>
      <c r="Q148" s="41"/>
      <c r="R148" s="41"/>
      <c r="S148" s="41"/>
      <c r="T148" s="22">
        <v>6.7149999999999999</v>
      </c>
      <c r="U148" s="22">
        <v>6.7069999999999999</v>
      </c>
      <c r="V148" s="41"/>
      <c r="W148" s="22">
        <v>6.508</v>
      </c>
      <c r="X148" s="41"/>
      <c r="Y148" s="41"/>
      <c r="Z148" s="41"/>
      <c r="AA148" s="41"/>
      <c r="AB148" s="41"/>
      <c r="AC148" s="41"/>
      <c r="AD148" s="41"/>
    </row>
    <row r="149" spans="1:30">
      <c r="A149" s="1">
        <f t="shared" si="5"/>
        <v>147</v>
      </c>
      <c r="B149" s="31" t="s">
        <v>516</v>
      </c>
      <c r="C149" s="1">
        <v>2</v>
      </c>
      <c r="D149" s="4">
        <f t="shared" si="6"/>
        <v>12</v>
      </c>
      <c r="E149" s="1" t="s">
        <v>464</v>
      </c>
      <c r="F149" s="1">
        <v>2</v>
      </c>
      <c r="G149" s="1" t="s">
        <v>11</v>
      </c>
      <c r="H149" s="1"/>
      <c r="I149" s="119"/>
      <c r="J149" s="37">
        <v>2.1679999999999997</v>
      </c>
      <c r="K149" s="22" t="s">
        <v>270</v>
      </c>
      <c r="L149" s="4" t="s">
        <v>13</v>
      </c>
      <c r="M149" s="22">
        <v>2.1629999999999998</v>
      </c>
      <c r="N149" s="1" t="s">
        <v>184</v>
      </c>
      <c r="O149" s="22"/>
      <c r="P149" s="6">
        <v>2.097</v>
      </c>
      <c r="Q149" s="6">
        <v>1.8140000000000001</v>
      </c>
      <c r="R149" s="6">
        <v>2.2509999999999999</v>
      </c>
      <c r="S149" s="6">
        <v>2.2189999999999999</v>
      </c>
      <c r="T149" s="6">
        <v>2.1429999999999998</v>
      </c>
      <c r="U149" s="6">
        <v>2.129</v>
      </c>
      <c r="V149" s="6">
        <v>2.169</v>
      </c>
      <c r="W149" s="6">
        <v>2.1669999999999998</v>
      </c>
      <c r="X149" s="121">
        <v>2.14</v>
      </c>
      <c r="Y149" s="121">
        <v>2.2040000000000002</v>
      </c>
      <c r="Z149" s="121">
        <v>2.1789999999999998</v>
      </c>
      <c r="AA149" s="121">
        <v>2.1579999999999999</v>
      </c>
      <c r="AB149" s="121">
        <v>2.1720000000000002</v>
      </c>
      <c r="AC149" s="121">
        <v>2.1549999999999998</v>
      </c>
      <c r="AD149" s="122">
        <v>2.149</v>
      </c>
    </row>
    <row r="150" spans="1:30">
      <c r="A150" s="1">
        <f t="shared" si="5"/>
        <v>148</v>
      </c>
      <c r="B150" s="31"/>
      <c r="C150" s="1">
        <v>2</v>
      </c>
      <c r="D150" s="4">
        <f t="shared" si="6"/>
        <v>12</v>
      </c>
      <c r="E150" s="1" t="s">
        <v>465</v>
      </c>
      <c r="F150" s="1">
        <v>2</v>
      </c>
      <c r="G150" s="1" t="s">
        <v>11</v>
      </c>
      <c r="H150" s="1"/>
      <c r="I150" s="22">
        <v>0</v>
      </c>
      <c r="J150" s="37">
        <v>3.5080000000000005</v>
      </c>
      <c r="K150" s="22" t="s">
        <v>270</v>
      </c>
      <c r="L150" s="4" t="s">
        <v>13</v>
      </c>
      <c r="M150" s="22">
        <v>3.5100000000000002</v>
      </c>
      <c r="N150" s="1" t="s">
        <v>184</v>
      </c>
      <c r="O150" s="22"/>
      <c r="P150" s="6">
        <v>3.53</v>
      </c>
      <c r="Q150" s="6">
        <v>3.2810000000000001</v>
      </c>
      <c r="R150" s="6">
        <v>3.617</v>
      </c>
      <c r="S150" s="6">
        <v>3.577</v>
      </c>
      <c r="T150" s="6">
        <v>3.53</v>
      </c>
      <c r="U150" s="6">
        <v>3.5129999999999999</v>
      </c>
      <c r="V150" s="6">
        <v>3.5190000000000001</v>
      </c>
      <c r="W150" s="6">
        <v>3.5150000000000001</v>
      </c>
      <c r="X150" s="121">
        <v>3.4790000000000001</v>
      </c>
      <c r="Y150" s="121">
        <v>3.508</v>
      </c>
      <c r="Z150" s="121">
        <v>3.5110000000000001</v>
      </c>
      <c r="AA150" s="121">
        <v>3.5379999999999998</v>
      </c>
      <c r="AB150" s="121">
        <v>3.5489999999999999</v>
      </c>
      <c r="AC150" s="121">
        <v>3.5129999999999999</v>
      </c>
      <c r="AD150" s="122">
        <v>3.512</v>
      </c>
    </row>
    <row r="151" spans="1:30">
      <c r="A151" s="1">
        <f t="shared" si="5"/>
        <v>149</v>
      </c>
      <c r="B151" s="31"/>
      <c r="C151" s="1">
        <v>2</v>
      </c>
      <c r="D151" s="4">
        <f t="shared" si="6"/>
        <v>12</v>
      </c>
      <c r="E151" s="1" t="s">
        <v>466</v>
      </c>
      <c r="F151" s="1">
        <v>2</v>
      </c>
      <c r="G151" s="1" t="s">
        <v>11</v>
      </c>
      <c r="H151" s="1"/>
      <c r="I151" s="22">
        <v>5.5E-2</v>
      </c>
      <c r="J151" s="37">
        <v>4.6119999999999992</v>
      </c>
      <c r="K151" s="22" t="s">
        <v>270</v>
      </c>
      <c r="L151" s="4" t="s">
        <v>13</v>
      </c>
      <c r="M151" s="22">
        <v>4.6009999999999991</v>
      </c>
      <c r="N151" s="1" t="s">
        <v>184</v>
      </c>
      <c r="O151" s="22"/>
      <c r="P151" s="6">
        <v>5.2249999999999996</v>
      </c>
      <c r="Q151" s="6">
        <v>4.6130000000000004</v>
      </c>
      <c r="R151" s="6">
        <v>5.0579999999999998</v>
      </c>
      <c r="S151" s="6">
        <v>5.0259999999999998</v>
      </c>
      <c r="T151" s="6">
        <v>4.9610000000000003</v>
      </c>
      <c r="U151" s="6">
        <v>4.9480000000000004</v>
      </c>
      <c r="V151" s="6">
        <v>4.7329999999999997</v>
      </c>
      <c r="W151" s="6">
        <v>4.7240000000000002</v>
      </c>
      <c r="X151" s="121">
        <v>4.8550000000000004</v>
      </c>
      <c r="Y151" s="121">
        <v>4.6870000000000003</v>
      </c>
      <c r="Z151" s="121">
        <v>4.7359999999999998</v>
      </c>
      <c r="AA151" s="121">
        <v>4.7880000000000003</v>
      </c>
      <c r="AB151" s="121">
        <v>4.7229999999999999</v>
      </c>
      <c r="AC151" s="121">
        <v>4.7160000000000002</v>
      </c>
      <c r="AD151" s="122">
        <v>4.7350000000000003</v>
      </c>
    </row>
    <row r="152" spans="1:30">
      <c r="A152" s="1">
        <f t="shared" si="5"/>
        <v>150</v>
      </c>
      <c r="B152" s="31"/>
      <c r="C152" s="1">
        <v>2</v>
      </c>
      <c r="D152" s="4">
        <f t="shared" si="6"/>
        <v>12</v>
      </c>
      <c r="E152" s="1" t="s">
        <v>464</v>
      </c>
      <c r="F152" s="1">
        <v>2</v>
      </c>
      <c r="G152" s="1" t="s">
        <v>11</v>
      </c>
      <c r="H152" s="1"/>
      <c r="I152" s="119"/>
      <c r="J152" s="37">
        <v>6.1400000000000006</v>
      </c>
      <c r="K152" s="22" t="s">
        <v>270</v>
      </c>
      <c r="L152" s="4" t="s">
        <v>13</v>
      </c>
      <c r="M152" s="22">
        <v>6.1419999999999995</v>
      </c>
      <c r="N152" s="22" t="s">
        <v>7</v>
      </c>
      <c r="O152" s="22"/>
      <c r="P152" s="6">
        <v>6.7009999999999996</v>
      </c>
      <c r="Q152" s="6">
        <v>6.3460000000000001</v>
      </c>
      <c r="R152" s="6">
        <v>6.7430000000000003</v>
      </c>
      <c r="S152" s="6">
        <v>6.6749999999999998</v>
      </c>
      <c r="T152" s="6">
        <v>6.452</v>
      </c>
      <c r="U152" s="6">
        <v>6.4290000000000003</v>
      </c>
      <c r="V152" s="6">
        <v>6.2690000000000001</v>
      </c>
      <c r="W152" s="6">
        <v>6.2560000000000002</v>
      </c>
      <c r="X152" s="121">
        <v>6.7220000000000004</v>
      </c>
      <c r="Y152" s="121">
        <v>6.0609999999999999</v>
      </c>
      <c r="Z152" s="121">
        <v>6.2030000000000003</v>
      </c>
      <c r="AA152" s="121">
        <v>6.2320000000000002</v>
      </c>
      <c r="AB152" s="121">
        <v>6.101</v>
      </c>
      <c r="AC152" s="121">
        <v>6.2</v>
      </c>
      <c r="AD152" s="122">
        <v>6.2249999999999996</v>
      </c>
    </row>
    <row r="153" spans="1:30">
      <c r="A153" s="1">
        <f t="shared" si="5"/>
        <v>151</v>
      </c>
      <c r="B153" s="31"/>
      <c r="C153" s="1">
        <v>2</v>
      </c>
      <c r="D153" s="4">
        <f t="shared" si="6"/>
        <v>12</v>
      </c>
      <c r="E153" s="1" t="s">
        <v>465</v>
      </c>
      <c r="F153" s="1">
        <v>2</v>
      </c>
      <c r="G153" s="1" t="s">
        <v>11</v>
      </c>
      <c r="H153" s="1"/>
      <c r="I153" s="22">
        <v>3.6999999999999998E-2</v>
      </c>
      <c r="J153" s="37">
        <v>7.2459999999999996</v>
      </c>
      <c r="K153" s="22" t="s">
        <v>270</v>
      </c>
      <c r="L153" s="4" t="s">
        <v>13</v>
      </c>
      <c r="M153" s="22">
        <v>7.2329999999999988</v>
      </c>
      <c r="N153" s="1" t="s">
        <v>184</v>
      </c>
      <c r="O153" s="22"/>
      <c r="P153" s="6">
        <v>8.4149999999999991</v>
      </c>
      <c r="Q153" s="6">
        <v>7.6180000000000003</v>
      </c>
      <c r="R153" s="6">
        <v>8.1560000000000006</v>
      </c>
      <c r="S153" s="6">
        <v>8.093</v>
      </c>
      <c r="T153" s="6">
        <v>7.8170000000000002</v>
      </c>
      <c r="U153" s="6">
        <v>7.782</v>
      </c>
      <c r="V153" s="6">
        <v>7.44</v>
      </c>
      <c r="W153" s="6">
        <v>7.4219999999999997</v>
      </c>
      <c r="X153" s="121">
        <v>7.6509999999999998</v>
      </c>
      <c r="Y153" s="121">
        <v>7.306</v>
      </c>
      <c r="Z153" s="121">
        <v>7.4169999999999998</v>
      </c>
      <c r="AA153" s="121">
        <v>7.5309999999999997</v>
      </c>
      <c r="AB153" s="121">
        <v>7.4279999999999999</v>
      </c>
      <c r="AC153" s="121">
        <v>7.39</v>
      </c>
      <c r="AD153" s="122">
        <v>7.4260000000000002</v>
      </c>
    </row>
    <row r="154" spans="1:30">
      <c r="A154" s="1">
        <f t="shared" si="5"/>
        <v>152</v>
      </c>
      <c r="B154" s="31"/>
      <c r="C154" s="1">
        <v>2</v>
      </c>
      <c r="D154" s="4">
        <f t="shared" si="6"/>
        <v>12</v>
      </c>
      <c r="E154" s="1" t="s">
        <v>466</v>
      </c>
      <c r="F154" s="1">
        <v>2</v>
      </c>
      <c r="G154" s="1" t="s">
        <v>11</v>
      </c>
      <c r="H154" s="1" t="s">
        <v>321</v>
      </c>
      <c r="I154" s="22" t="s">
        <v>170</v>
      </c>
      <c r="J154" s="50">
        <v>7.6989999999999998</v>
      </c>
      <c r="K154" s="22" t="s">
        <v>270</v>
      </c>
      <c r="L154" s="10" t="s">
        <v>111</v>
      </c>
      <c r="M154" s="22">
        <v>7.7009999999999987</v>
      </c>
      <c r="N154" s="22" t="s">
        <v>7</v>
      </c>
      <c r="O154" s="22"/>
      <c r="P154" s="53"/>
      <c r="Q154" s="53"/>
      <c r="R154" s="53"/>
      <c r="S154" s="53"/>
      <c r="T154" s="53"/>
      <c r="U154" s="53"/>
      <c r="V154" s="6">
        <v>8.6690000000000005</v>
      </c>
      <c r="W154" s="6">
        <v>8.5709999999999997</v>
      </c>
      <c r="X154" s="121">
        <v>7.5960000000000001</v>
      </c>
      <c r="Y154" s="121">
        <v>7.4409999999999998</v>
      </c>
      <c r="Z154" s="121">
        <v>7.6310000000000002</v>
      </c>
      <c r="AA154" s="121">
        <v>7.7240000000000002</v>
      </c>
      <c r="AB154" s="121">
        <v>7.6749999999999998</v>
      </c>
      <c r="AC154" s="121">
        <v>7.6219999999999999</v>
      </c>
      <c r="AD154" s="122">
        <v>7.665</v>
      </c>
    </row>
    <row r="155" spans="1:30">
      <c r="A155" s="1">
        <f t="shared" si="5"/>
        <v>153</v>
      </c>
      <c r="B155" s="31"/>
      <c r="C155" s="1">
        <v>2</v>
      </c>
      <c r="D155" s="4">
        <f t="shared" si="6"/>
        <v>12</v>
      </c>
      <c r="E155" s="1" t="s">
        <v>496</v>
      </c>
      <c r="F155" s="1">
        <v>4</v>
      </c>
      <c r="G155" s="1" t="s">
        <v>11</v>
      </c>
      <c r="H155" s="1"/>
      <c r="I155" s="119"/>
      <c r="J155" s="37">
        <v>6.8910000000000009</v>
      </c>
      <c r="K155" s="22" t="s">
        <v>270</v>
      </c>
      <c r="L155" s="4" t="s">
        <v>13</v>
      </c>
      <c r="M155" s="22">
        <v>6.923</v>
      </c>
      <c r="N155" s="1" t="s">
        <v>184</v>
      </c>
      <c r="O155" s="22"/>
      <c r="P155" s="6">
        <v>8.1820000000000004</v>
      </c>
      <c r="Q155" s="6">
        <v>6.9710000000000001</v>
      </c>
      <c r="R155" s="6">
        <v>8.0359999999999996</v>
      </c>
      <c r="S155" s="6">
        <v>8.0630000000000006</v>
      </c>
      <c r="T155" s="6">
        <v>7.6449999999999996</v>
      </c>
      <c r="U155" s="6">
        <v>7.6580000000000004</v>
      </c>
      <c r="V155" s="6">
        <v>7.21</v>
      </c>
      <c r="W155" s="6">
        <v>7.202</v>
      </c>
      <c r="X155" s="121">
        <v>6.8129999999999997</v>
      </c>
      <c r="Y155" s="121">
        <v>6.6520000000000001</v>
      </c>
      <c r="Z155" s="121">
        <v>6.82</v>
      </c>
      <c r="AA155" s="121">
        <v>7.0780000000000003</v>
      </c>
      <c r="AB155" s="121">
        <v>6.883</v>
      </c>
      <c r="AC155" s="121">
        <v>6.8259999999999996</v>
      </c>
      <c r="AD155" s="122">
        <v>6.8559999999999999</v>
      </c>
    </row>
    <row r="156" spans="1:30">
      <c r="A156" s="1">
        <f t="shared" si="5"/>
        <v>154</v>
      </c>
      <c r="B156" s="31"/>
      <c r="C156" s="1">
        <v>2</v>
      </c>
      <c r="D156" s="4">
        <f t="shared" si="6"/>
        <v>12</v>
      </c>
      <c r="E156" s="1" t="s">
        <v>489</v>
      </c>
      <c r="F156" s="1">
        <v>4</v>
      </c>
      <c r="G156" s="1" t="s">
        <v>11</v>
      </c>
      <c r="H156" s="1"/>
      <c r="I156" s="119"/>
      <c r="J156" s="37">
        <v>8.1059999999999999</v>
      </c>
      <c r="K156" s="22" t="s">
        <v>270</v>
      </c>
      <c r="L156" s="4" t="s">
        <v>13</v>
      </c>
      <c r="M156" s="22">
        <v>8.1110000000000007</v>
      </c>
      <c r="N156" s="22" t="s">
        <v>7</v>
      </c>
      <c r="O156" s="22"/>
      <c r="P156" s="6">
        <v>8.4619999999999997</v>
      </c>
      <c r="Q156" s="6">
        <v>7.8680000000000003</v>
      </c>
      <c r="R156" s="6">
        <v>8.6150000000000002</v>
      </c>
      <c r="S156" s="6">
        <v>8.641</v>
      </c>
      <c r="T156" s="6">
        <v>8.4350000000000005</v>
      </c>
      <c r="U156" s="6">
        <v>8.4329999999999998</v>
      </c>
      <c r="V156" s="6">
        <v>8.3079999999999998</v>
      </c>
      <c r="W156" s="6">
        <v>8.2929999999999993</v>
      </c>
      <c r="X156" s="121">
        <v>8.4949999999999992</v>
      </c>
      <c r="Y156" s="121">
        <v>7.9690000000000003</v>
      </c>
      <c r="Z156" s="121">
        <v>8.1769999999999996</v>
      </c>
      <c r="AA156" s="121">
        <v>8.1760000000000002</v>
      </c>
      <c r="AB156" s="121">
        <v>8.0809999999999995</v>
      </c>
      <c r="AC156" s="121">
        <v>8.1039999999999992</v>
      </c>
      <c r="AD156" s="122">
        <v>8.1760000000000002</v>
      </c>
    </row>
    <row r="157" spans="1:30">
      <c r="A157" s="1">
        <f t="shared" si="5"/>
        <v>155</v>
      </c>
      <c r="B157" s="31" t="s">
        <v>518</v>
      </c>
      <c r="C157" s="1">
        <v>2</v>
      </c>
      <c r="D157" s="4">
        <f t="shared" si="6"/>
        <v>12</v>
      </c>
      <c r="E157" s="1" t="s">
        <v>506</v>
      </c>
      <c r="F157" s="1">
        <v>2</v>
      </c>
      <c r="G157" s="1" t="s">
        <v>11</v>
      </c>
      <c r="H157" s="22"/>
      <c r="I157" s="1">
        <v>1E-3</v>
      </c>
      <c r="J157" s="37">
        <v>2.093</v>
      </c>
      <c r="K157" s="22" t="s">
        <v>220</v>
      </c>
      <c r="L157" s="4" t="s">
        <v>13</v>
      </c>
      <c r="M157" s="22">
        <v>2.0880000000000001</v>
      </c>
      <c r="N157" s="22" t="s">
        <v>7</v>
      </c>
      <c r="O157" s="22"/>
      <c r="P157" s="22">
        <v>2.246</v>
      </c>
      <c r="Q157" s="22">
        <v>1.931</v>
      </c>
      <c r="R157" s="22">
        <v>2.254</v>
      </c>
      <c r="S157" s="22">
        <v>2.23</v>
      </c>
      <c r="T157" s="22">
        <v>2.137</v>
      </c>
      <c r="U157" s="22">
        <v>2.133</v>
      </c>
      <c r="V157" s="22">
        <v>2.109</v>
      </c>
      <c r="W157" s="22">
        <v>2.1080000000000001</v>
      </c>
      <c r="X157" s="41"/>
      <c r="Y157" s="41"/>
      <c r="Z157" s="41"/>
      <c r="AA157" s="41"/>
      <c r="AB157" s="41"/>
      <c r="AC157" s="41"/>
      <c r="AD157" s="41"/>
    </row>
    <row r="158" spans="1:30">
      <c r="A158" s="1">
        <f t="shared" si="5"/>
        <v>156</v>
      </c>
      <c r="B158" s="31"/>
      <c r="C158" s="1">
        <v>2</v>
      </c>
      <c r="D158" s="4">
        <f t="shared" si="6"/>
        <v>12</v>
      </c>
      <c r="E158" s="1" t="s">
        <v>508</v>
      </c>
      <c r="F158" s="1">
        <v>2</v>
      </c>
      <c r="G158" s="1" t="s">
        <v>14</v>
      </c>
      <c r="H158" s="22"/>
      <c r="I158" s="1">
        <v>3.4000000000000002E-2</v>
      </c>
      <c r="J158" s="37">
        <v>5.4550000000000001</v>
      </c>
      <c r="K158" s="22" t="s">
        <v>220</v>
      </c>
      <c r="L158" s="4" t="s">
        <v>13</v>
      </c>
      <c r="M158" s="22">
        <v>5.49</v>
      </c>
      <c r="N158" s="22" t="s">
        <v>7</v>
      </c>
      <c r="O158" s="22"/>
      <c r="P158" s="22">
        <v>5.3659999999999997</v>
      </c>
      <c r="Q158" s="22">
        <v>5.5250000000000004</v>
      </c>
      <c r="R158" s="22">
        <v>5.282</v>
      </c>
      <c r="S158" s="22">
        <v>5.266</v>
      </c>
      <c r="T158" s="22">
        <v>5.54</v>
      </c>
      <c r="U158" s="22">
        <v>5.532</v>
      </c>
      <c r="V158" s="22">
        <v>5.4390000000000001</v>
      </c>
      <c r="W158" s="22">
        <v>5.4359999999999999</v>
      </c>
      <c r="X158" s="41"/>
      <c r="Y158" s="41"/>
      <c r="Z158" s="41"/>
      <c r="AA158" s="41"/>
      <c r="AB158" s="41"/>
      <c r="AC158" s="41"/>
      <c r="AD158" s="41"/>
    </row>
    <row r="159" spans="1:30">
      <c r="A159" s="1">
        <f t="shared" si="5"/>
        <v>157</v>
      </c>
      <c r="B159" s="31"/>
      <c r="C159" s="1">
        <v>2</v>
      </c>
      <c r="D159" s="4">
        <f t="shared" si="6"/>
        <v>12</v>
      </c>
      <c r="E159" s="1" t="s">
        <v>508</v>
      </c>
      <c r="F159" s="1">
        <v>2</v>
      </c>
      <c r="G159" s="1" t="s">
        <v>207</v>
      </c>
      <c r="H159" s="22"/>
      <c r="I159" s="1">
        <v>3.4000000000000002E-2</v>
      </c>
      <c r="J159" s="37">
        <v>6.149</v>
      </c>
      <c r="K159" s="22" t="s">
        <v>220</v>
      </c>
      <c r="L159" s="4" t="s">
        <v>13</v>
      </c>
      <c r="M159" s="22">
        <v>6.16</v>
      </c>
      <c r="N159" s="22" t="s">
        <v>7</v>
      </c>
      <c r="O159" s="22"/>
      <c r="P159" s="22">
        <v>6.319</v>
      </c>
      <c r="Q159" s="22">
        <v>5.6429999999999998</v>
      </c>
      <c r="R159" s="22">
        <v>6.4340000000000002</v>
      </c>
      <c r="S159" s="22">
        <v>6.4189999999999996</v>
      </c>
      <c r="T159" s="22">
        <v>6.1890000000000001</v>
      </c>
      <c r="U159" s="22">
        <v>6.1909999999999998</v>
      </c>
      <c r="V159" s="22">
        <v>6.1849999999999996</v>
      </c>
      <c r="W159" s="22">
        <v>6.1870000000000003</v>
      </c>
      <c r="X159" s="41"/>
      <c r="Y159" s="41"/>
      <c r="Z159" s="41"/>
      <c r="AA159" s="41"/>
      <c r="AB159" s="41"/>
      <c r="AC159" s="41"/>
      <c r="AD159" s="41"/>
    </row>
    <row r="160" spans="1:30">
      <c r="A160" s="1">
        <f t="shared" si="5"/>
        <v>158</v>
      </c>
      <c r="B160" s="31"/>
      <c r="C160" s="1">
        <v>2</v>
      </c>
      <c r="D160" s="4">
        <f t="shared" si="6"/>
        <v>12</v>
      </c>
      <c r="E160" s="1" t="s">
        <v>508</v>
      </c>
      <c r="F160" s="1">
        <v>2</v>
      </c>
      <c r="G160" s="1" t="s">
        <v>14</v>
      </c>
      <c r="H160" s="22"/>
      <c r="I160" s="1">
        <v>7.0000000000000001E-3</v>
      </c>
      <c r="J160" s="37">
        <v>6.3609999999999998</v>
      </c>
      <c r="K160" s="22" t="s">
        <v>220</v>
      </c>
      <c r="L160" s="4" t="s">
        <v>13</v>
      </c>
      <c r="M160" s="22">
        <v>6.3680000000000003</v>
      </c>
      <c r="N160" s="22" t="s">
        <v>7</v>
      </c>
      <c r="O160" s="22"/>
      <c r="P160" s="22">
        <v>6.4029999999999996</v>
      </c>
      <c r="Q160" s="22">
        <v>6.4089999999999998</v>
      </c>
      <c r="R160" s="22">
        <v>6.2750000000000004</v>
      </c>
      <c r="S160" s="22">
        <v>6.2590000000000003</v>
      </c>
      <c r="T160" s="22">
        <v>6.468</v>
      </c>
      <c r="U160" s="22">
        <v>6.4610000000000003</v>
      </c>
      <c r="V160" s="22">
        <v>6.359</v>
      </c>
      <c r="W160" s="22">
        <v>6.3550000000000004</v>
      </c>
      <c r="X160" s="41"/>
      <c r="Y160" s="41"/>
      <c r="Z160" s="41"/>
      <c r="AA160" s="41"/>
      <c r="AB160" s="41"/>
      <c r="AC160" s="41"/>
      <c r="AD160" s="41"/>
    </row>
    <row r="161" spans="1:30">
      <c r="A161" s="1">
        <f t="shared" si="5"/>
        <v>159</v>
      </c>
      <c r="B161" s="31"/>
      <c r="C161" s="1">
        <v>2</v>
      </c>
      <c r="D161" s="4">
        <f t="shared" si="6"/>
        <v>12</v>
      </c>
      <c r="E161" s="1" t="s">
        <v>508</v>
      </c>
      <c r="F161" s="1">
        <v>2</v>
      </c>
      <c r="G161" s="1" t="s">
        <v>14</v>
      </c>
      <c r="H161" s="22"/>
      <c r="I161" s="1">
        <v>2.3E-2</v>
      </c>
      <c r="J161" s="37">
        <v>6.9139999999999997</v>
      </c>
      <c r="K161" s="22" t="s">
        <v>220</v>
      </c>
      <c r="L161" s="4" t="s">
        <v>13</v>
      </c>
      <c r="M161" s="33"/>
      <c r="N161" s="33"/>
      <c r="O161" s="22"/>
      <c r="P161" s="22">
        <v>6.7869999999999999</v>
      </c>
      <c r="Q161" s="22">
        <v>6.9530000000000003</v>
      </c>
      <c r="R161" s="22">
        <v>6.7949999999999999</v>
      </c>
      <c r="S161" s="22">
        <v>6.7889999999999997</v>
      </c>
      <c r="T161" s="22">
        <v>6.97</v>
      </c>
      <c r="U161" s="22">
        <v>6.9610000000000003</v>
      </c>
      <c r="V161" s="22">
        <v>6.8959999999999999</v>
      </c>
      <c r="W161" s="22">
        <v>6.8929999999999998</v>
      </c>
      <c r="X161" s="41"/>
      <c r="Y161" s="41"/>
      <c r="Z161" s="41"/>
      <c r="AA161" s="41"/>
      <c r="AB161" s="41"/>
      <c r="AC161" s="41"/>
      <c r="AD161" s="41"/>
    </row>
    <row r="162" spans="1:30">
      <c r="A162" s="1">
        <f t="shared" si="5"/>
        <v>160</v>
      </c>
      <c r="B162" s="31"/>
      <c r="C162" s="1">
        <v>2</v>
      </c>
      <c r="D162" s="4">
        <f t="shared" si="6"/>
        <v>12</v>
      </c>
      <c r="E162" s="1" t="s">
        <v>506</v>
      </c>
      <c r="F162" s="1">
        <v>2</v>
      </c>
      <c r="G162" s="1" t="s">
        <v>207</v>
      </c>
      <c r="I162" s="1">
        <v>2E-3</v>
      </c>
      <c r="J162" s="37">
        <v>6.93</v>
      </c>
      <c r="K162" s="22" t="s">
        <v>220</v>
      </c>
      <c r="L162" s="4" t="s">
        <v>13</v>
      </c>
      <c r="M162" s="22">
        <v>6.883</v>
      </c>
      <c r="N162" s="22" t="s">
        <v>7</v>
      </c>
      <c r="O162" s="22"/>
      <c r="P162" s="22">
        <v>6.85</v>
      </c>
      <c r="Q162" s="22">
        <v>6.9909999999999997</v>
      </c>
      <c r="R162" s="22">
        <v>6.7770000000000001</v>
      </c>
      <c r="S162" s="22">
        <v>6.7649999999999997</v>
      </c>
      <c r="T162" s="22">
        <v>7.0659999999999998</v>
      </c>
      <c r="U162" s="22">
        <v>7.0590000000000002</v>
      </c>
      <c r="V162" s="22">
        <v>6.9290000000000003</v>
      </c>
      <c r="W162" s="22">
        <v>6.9240000000000004</v>
      </c>
      <c r="X162" s="41"/>
      <c r="Y162" s="41"/>
      <c r="Z162" s="41"/>
      <c r="AA162" s="41"/>
      <c r="AB162" s="41"/>
      <c r="AC162" s="41"/>
      <c r="AD162" s="41"/>
    </row>
    <row r="163" spans="1:30">
      <c r="A163" s="1">
        <f t="shared" si="5"/>
        <v>161</v>
      </c>
      <c r="B163" s="31"/>
      <c r="C163" s="1">
        <v>2</v>
      </c>
      <c r="D163" s="4">
        <f t="shared" si="6"/>
        <v>12</v>
      </c>
      <c r="E163" s="1" t="s">
        <v>506</v>
      </c>
      <c r="F163" s="1">
        <v>2</v>
      </c>
      <c r="G163" s="1" t="s">
        <v>207</v>
      </c>
      <c r="H163" s="22"/>
      <c r="I163" s="1">
        <v>1E-3</v>
      </c>
      <c r="J163" s="37">
        <v>7.077</v>
      </c>
      <c r="K163" s="22" t="s">
        <v>220</v>
      </c>
      <c r="L163" s="4" t="s">
        <v>13</v>
      </c>
      <c r="M163" s="22">
        <v>7.0780000000000003</v>
      </c>
      <c r="N163" s="22" t="s">
        <v>7</v>
      </c>
      <c r="O163" s="22"/>
      <c r="P163" s="22">
        <v>7.508</v>
      </c>
      <c r="Q163" s="22">
        <v>6.77</v>
      </c>
      <c r="R163" s="22">
        <v>7.73</v>
      </c>
      <c r="S163" s="22">
        <v>7.7050000000000001</v>
      </c>
      <c r="T163" s="22">
        <v>7.2249999999999996</v>
      </c>
      <c r="U163" s="22">
        <v>7.19</v>
      </c>
      <c r="V163" s="22">
        <v>7.1360000000000001</v>
      </c>
      <c r="W163" s="22">
        <v>7.1319999999999997</v>
      </c>
      <c r="X163" s="41"/>
      <c r="Y163" s="41"/>
      <c r="Z163" s="41"/>
      <c r="AA163" s="41"/>
      <c r="AB163" s="41"/>
      <c r="AC163" s="41"/>
      <c r="AD163" s="41"/>
    </row>
    <row r="164" spans="1:30">
      <c r="A164" s="1">
        <f t="shared" si="5"/>
        <v>162</v>
      </c>
      <c r="B164" s="31"/>
      <c r="C164" s="1">
        <v>2</v>
      </c>
      <c r="D164" s="4">
        <f t="shared" si="6"/>
        <v>12</v>
      </c>
      <c r="E164" s="1" t="s">
        <v>506</v>
      </c>
      <c r="F164" s="1">
        <v>2</v>
      </c>
      <c r="G164" s="1" t="s">
        <v>11</v>
      </c>
      <c r="H164" s="22"/>
      <c r="I164" s="1">
        <v>7.0000000000000001E-3</v>
      </c>
      <c r="J164" s="37">
        <v>7.7370000000000001</v>
      </c>
      <c r="K164" s="22" t="s">
        <v>220</v>
      </c>
      <c r="L164" s="4" t="s">
        <v>13</v>
      </c>
      <c r="M164" s="22">
        <v>7.7290000000000001</v>
      </c>
      <c r="N164" s="22" t="s">
        <v>7</v>
      </c>
      <c r="O164" s="22"/>
      <c r="P164" s="22">
        <v>8.3640000000000008</v>
      </c>
      <c r="Q164" s="22">
        <v>7.5090000000000003</v>
      </c>
      <c r="R164" s="22">
        <v>8.5169999999999995</v>
      </c>
      <c r="S164" s="22">
        <v>8.4819999999999993</v>
      </c>
      <c r="T164" s="22">
        <v>8.1240000000000006</v>
      </c>
      <c r="U164" s="22">
        <v>8.1199999999999992</v>
      </c>
      <c r="V164" s="22">
        <v>7.8449999999999998</v>
      </c>
      <c r="W164" s="22">
        <v>7.84</v>
      </c>
      <c r="X164" s="41"/>
      <c r="Y164" s="41"/>
      <c r="Z164" s="41"/>
      <c r="AA164" s="41"/>
      <c r="AB164" s="41"/>
      <c r="AC164" s="41"/>
      <c r="AD164" s="41"/>
    </row>
    <row r="165" spans="1:30">
      <c r="A165" s="1">
        <f t="shared" si="5"/>
        <v>163</v>
      </c>
      <c r="B165" s="31"/>
      <c r="C165" s="1">
        <v>2</v>
      </c>
      <c r="D165" s="4">
        <f t="shared" si="6"/>
        <v>12</v>
      </c>
      <c r="E165" s="1" t="s">
        <v>507</v>
      </c>
      <c r="F165" s="1">
        <v>4</v>
      </c>
      <c r="G165" s="1" t="s">
        <v>11</v>
      </c>
      <c r="H165" s="22"/>
      <c r="I165" s="119"/>
      <c r="J165" s="37">
        <v>6.3739999999999997</v>
      </c>
      <c r="K165" s="22" t="s">
        <v>220</v>
      </c>
      <c r="L165" s="4" t="s">
        <v>13</v>
      </c>
      <c r="M165" s="22">
        <v>6.3890000000000002</v>
      </c>
      <c r="N165" s="22" t="s">
        <v>7</v>
      </c>
      <c r="O165" s="22"/>
      <c r="P165" s="22">
        <v>7.1079999999999997</v>
      </c>
      <c r="Q165" s="22">
        <v>5.843</v>
      </c>
      <c r="R165" s="22">
        <v>7.28</v>
      </c>
      <c r="S165" s="22">
        <v>7.2619999999999996</v>
      </c>
      <c r="T165" s="22">
        <v>6.8250000000000002</v>
      </c>
      <c r="U165" s="22">
        <v>6.8150000000000004</v>
      </c>
      <c r="V165" s="22">
        <v>6.5890000000000004</v>
      </c>
      <c r="W165" s="22">
        <v>6.5810000000000004</v>
      </c>
      <c r="X165" s="41"/>
      <c r="Y165" s="41"/>
      <c r="Z165" s="41"/>
      <c r="AA165" s="41"/>
      <c r="AB165" s="41"/>
      <c r="AC165" s="41"/>
      <c r="AD165" s="41"/>
    </row>
    <row r="166" spans="1:30">
      <c r="A166" s="1">
        <f t="shared" si="5"/>
        <v>164</v>
      </c>
      <c r="B166" s="31"/>
      <c r="C166" s="1">
        <v>2</v>
      </c>
      <c r="D166" s="4">
        <f t="shared" si="6"/>
        <v>12</v>
      </c>
      <c r="E166" s="1" t="s">
        <v>509</v>
      </c>
      <c r="F166" s="1">
        <v>4</v>
      </c>
      <c r="G166" s="1" t="s">
        <v>11</v>
      </c>
      <c r="H166" s="22"/>
      <c r="I166" s="119"/>
      <c r="J166" s="37">
        <v>6.7629999999999999</v>
      </c>
      <c r="K166" s="22" t="s">
        <v>270</v>
      </c>
      <c r="L166" s="4" t="s">
        <v>13</v>
      </c>
      <c r="M166" s="22">
        <v>6.778999999999999</v>
      </c>
      <c r="N166" s="22" t="s">
        <v>7</v>
      </c>
      <c r="O166" s="22"/>
      <c r="P166" s="22">
        <v>7.3780000000000001</v>
      </c>
      <c r="Q166" s="22">
        <v>6</v>
      </c>
      <c r="R166" s="22">
        <v>7.5869999999999997</v>
      </c>
      <c r="S166" s="22">
        <v>7.556</v>
      </c>
      <c r="T166" s="22">
        <v>7.1059999999999999</v>
      </c>
      <c r="U166" s="22">
        <v>7.0720000000000001</v>
      </c>
      <c r="V166" s="22">
        <v>6.97</v>
      </c>
      <c r="W166" s="22">
        <v>6.9530000000000003</v>
      </c>
      <c r="X166" s="41"/>
      <c r="Y166" s="41"/>
      <c r="Z166" s="41"/>
      <c r="AA166" s="41"/>
      <c r="AB166" s="41"/>
      <c r="AC166" s="41"/>
      <c r="AD166" s="41"/>
    </row>
    <row r="167" spans="1:30">
      <c r="A167" s="1">
        <f t="shared" si="5"/>
        <v>165</v>
      </c>
      <c r="B167" s="31" t="s">
        <v>517</v>
      </c>
      <c r="C167" s="1">
        <v>2</v>
      </c>
      <c r="D167" s="4">
        <f t="shared" si="6"/>
        <v>12</v>
      </c>
      <c r="E167" s="1" t="s">
        <v>506</v>
      </c>
      <c r="F167" s="1">
        <v>2</v>
      </c>
      <c r="G167" s="1" t="s">
        <v>11</v>
      </c>
      <c r="H167" s="22"/>
      <c r="I167" s="22">
        <v>0</v>
      </c>
      <c r="J167" s="37">
        <v>0.91900000000000004</v>
      </c>
      <c r="K167" s="22" t="s">
        <v>270</v>
      </c>
      <c r="L167" s="4" t="s">
        <v>13</v>
      </c>
      <c r="M167" s="22">
        <v>0.91100000000000003</v>
      </c>
      <c r="N167" s="22" t="s">
        <v>7</v>
      </c>
      <c r="O167" s="22"/>
      <c r="P167" s="22">
        <v>1.0309999999999999</v>
      </c>
      <c r="Q167" s="22">
        <v>0.71</v>
      </c>
      <c r="R167" s="22">
        <v>1.04</v>
      </c>
      <c r="S167" s="22">
        <v>1.0009999999999999</v>
      </c>
      <c r="T167" s="22">
        <v>0.94599999999999995</v>
      </c>
      <c r="U167" s="22">
        <v>0.93400000000000005</v>
      </c>
      <c r="V167" s="22">
        <v>0.93300000000000005</v>
      </c>
      <c r="W167" s="22">
        <v>0.93</v>
      </c>
      <c r="X167" s="41"/>
      <c r="Y167" s="41"/>
      <c r="Z167" s="41"/>
      <c r="AA167" s="41"/>
      <c r="AB167" s="41"/>
      <c r="AC167" s="41"/>
      <c r="AD167" s="41"/>
    </row>
    <row r="168" spans="1:30">
      <c r="A168" s="1">
        <f t="shared" si="5"/>
        <v>166</v>
      </c>
      <c r="B168" s="31"/>
      <c r="C168" s="1">
        <v>2</v>
      </c>
      <c r="D168" s="4">
        <f t="shared" si="6"/>
        <v>12</v>
      </c>
      <c r="E168" s="1" t="s">
        <v>508</v>
      </c>
      <c r="F168" s="1">
        <v>2</v>
      </c>
      <c r="G168" s="1" t="s">
        <v>14</v>
      </c>
      <c r="H168" s="22"/>
      <c r="I168" s="22">
        <v>8.0000000000000002E-3</v>
      </c>
      <c r="J168" s="37">
        <v>3.7930000000000001</v>
      </c>
      <c r="K168" s="22" t="s">
        <v>270</v>
      </c>
      <c r="L168" s="4" t="s">
        <v>13</v>
      </c>
      <c r="M168" s="22">
        <v>3.8180000000000001</v>
      </c>
      <c r="N168" s="22" t="s">
        <v>7</v>
      </c>
      <c r="O168" s="22"/>
      <c r="P168" s="22">
        <v>4.3239999999999998</v>
      </c>
      <c r="Q168" s="22">
        <v>3.8809999999999998</v>
      </c>
      <c r="R168" s="22">
        <v>4.1180000000000003</v>
      </c>
      <c r="S168" s="22">
        <v>4.0750000000000002</v>
      </c>
      <c r="T168" s="22">
        <v>4.04</v>
      </c>
      <c r="U168" s="22">
        <v>4.0229999999999997</v>
      </c>
      <c r="V168" s="22">
        <v>3.8029999999999999</v>
      </c>
      <c r="W168" s="22">
        <v>3.7930000000000001</v>
      </c>
      <c r="X168" s="41"/>
      <c r="Y168" s="41"/>
      <c r="Z168" s="41"/>
      <c r="AA168" s="41"/>
      <c r="AB168" s="41"/>
      <c r="AC168" s="41"/>
      <c r="AD168" s="41"/>
    </row>
    <row r="169" spans="1:30">
      <c r="A169" s="1">
        <f t="shared" si="5"/>
        <v>167</v>
      </c>
      <c r="B169" s="31"/>
      <c r="C169" s="1">
        <v>2</v>
      </c>
      <c r="D169" s="4">
        <f t="shared" si="6"/>
        <v>12</v>
      </c>
      <c r="E169" s="1" t="s">
        <v>508</v>
      </c>
      <c r="F169" s="1">
        <v>2</v>
      </c>
      <c r="G169" s="1" t="s">
        <v>11</v>
      </c>
      <c r="H169" s="22"/>
      <c r="I169" s="22">
        <v>5.0999999999999997E-2</v>
      </c>
      <c r="J169" s="37">
        <v>5.6260000000000003</v>
      </c>
      <c r="K169" s="22" t="s">
        <v>270</v>
      </c>
      <c r="L169" s="4" t="s">
        <v>13</v>
      </c>
      <c r="M169" s="22">
        <v>5.6109999999999998</v>
      </c>
      <c r="N169" s="22" t="s">
        <v>7</v>
      </c>
      <c r="O169" s="22"/>
      <c r="P169" s="22">
        <v>5.8310000000000004</v>
      </c>
      <c r="Q169" s="22">
        <v>5.3970000000000002</v>
      </c>
      <c r="R169" s="22">
        <v>5.806</v>
      </c>
      <c r="S169" s="22">
        <v>5.7539999999999996</v>
      </c>
      <c r="T169" s="22">
        <v>5.7249999999999996</v>
      </c>
      <c r="U169" s="22">
        <v>5.7060000000000004</v>
      </c>
      <c r="V169" s="22">
        <v>5.65</v>
      </c>
      <c r="W169" s="22">
        <v>5.6440000000000001</v>
      </c>
      <c r="X169" s="41"/>
      <c r="Y169" s="41"/>
      <c r="Z169" s="41"/>
      <c r="AA169" s="41"/>
      <c r="AB169" s="41"/>
      <c r="AC169" s="41"/>
      <c r="AD169" s="41"/>
    </row>
    <row r="170" spans="1:30">
      <c r="A170" s="1">
        <f t="shared" si="5"/>
        <v>168</v>
      </c>
      <c r="B170" s="31"/>
      <c r="C170" s="1">
        <v>2</v>
      </c>
      <c r="D170" s="4">
        <f t="shared" si="6"/>
        <v>12</v>
      </c>
      <c r="E170" s="1" t="s">
        <v>508</v>
      </c>
      <c r="F170" s="1">
        <v>2</v>
      </c>
      <c r="G170" s="1" t="s">
        <v>14</v>
      </c>
      <c r="H170" s="22"/>
      <c r="I170" s="22">
        <v>1.7999999999999999E-2</v>
      </c>
      <c r="J170" s="37">
        <v>6.0750000000000002</v>
      </c>
      <c r="K170" s="22" t="s">
        <v>270</v>
      </c>
      <c r="L170" s="4" t="s">
        <v>13</v>
      </c>
      <c r="M170" s="22">
        <v>6.0030000000000001</v>
      </c>
      <c r="N170" s="22" t="s">
        <v>7</v>
      </c>
      <c r="O170" s="22"/>
      <c r="P170" s="22">
        <v>6.4509999999999996</v>
      </c>
      <c r="Q170" s="22">
        <v>6.0679999999999996</v>
      </c>
      <c r="R170" s="22">
        <v>6.3029999999999999</v>
      </c>
      <c r="S170" s="22">
        <v>6.2629999999999999</v>
      </c>
      <c r="T170" s="22">
        <v>6.2530000000000001</v>
      </c>
      <c r="U170" s="22">
        <v>6.2359999999999998</v>
      </c>
      <c r="V170" s="22">
        <v>6.077</v>
      </c>
      <c r="W170" s="22">
        <v>6.07</v>
      </c>
      <c r="X170" s="41"/>
      <c r="Y170" s="41"/>
      <c r="Z170" s="41"/>
      <c r="AA170" s="41"/>
      <c r="AB170" s="41"/>
      <c r="AC170" s="41"/>
      <c r="AD170" s="41"/>
    </row>
    <row r="171" spans="1:30">
      <c r="A171" s="1">
        <f t="shared" si="5"/>
        <v>169</v>
      </c>
      <c r="B171" s="31"/>
      <c r="C171" s="1">
        <v>2</v>
      </c>
      <c r="D171" s="4">
        <f t="shared" si="6"/>
        <v>12</v>
      </c>
      <c r="E171" s="1" t="s">
        <v>506</v>
      </c>
      <c r="F171" s="1">
        <v>2</v>
      </c>
      <c r="G171" s="1" t="s">
        <v>207</v>
      </c>
      <c r="H171" s="22"/>
      <c r="I171" s="22">
        <v>0</v>
      </c>
      <c r="J171" s="37">
        <v>6.125</v>
      </c>
      <c r="K171" s="22" t="s">
        <v>270</v>
      </c>
      <c r="L171" s="4" t="s">
        <v>13</v>
      </c>
      <c r="M171" s="22">
        <v>6.03</v>
      </c>
      <c r="N171" s="22" t="s">
        <v>7</v>
      </c>
      <c r="O171" s="22"/>
      <c r="P171" s="22">
        <v>6.6059999999999999</v>
      </c>
      <c r="Q171" s="22">
        <v>6.2889999999999997</v>
      </c>
      <c r="R171" s="22">
        <v>6.4640000000000004</v>
      </c>
      <c r="S171" s="22">
        <v>6.4260000000000002</v>
      </c>
      <c r="T171" s="22">
        <v>6.4180000000000001</v>
      </c>
      <c r="U171" s="22">
        <v>6.4020000000000001</v>
      </c>
      <c r="V171" s="22">
        <v>6.2350000000000003</v>
      </c>
      <c r="W171" s="22">
        <v>6.2270000000000003</v>
      </c>
      <c r="X171" s="41"/>
      <c r="Y171" s="41"/>
      <c r="Z171" s="41"/>
      <c r="AA171" s="41"/>
      <c r="AB171" s="41"/>
      <c r="AC171" s="41"/>
      <c r="AD171" s="41"/>
    </row>
    <row r="172" spans="1:30">
      <c r="A172" s="1">
        <f t="shared" si="5"/>
        <v>170</v>
      </c>
      <c r="B172" s="31"/>
      <c r="C172" s="1">
        <v>2</v>
      </c>
      <c r="D172" s="4">
        <f t="shared" si="6"/>
        <v>12</v>
      </c>
      <c r="E172" s="1" t="s">
        <v>508</v>
      </c>
      <c r="F172" s="1">
        <v>2</v>
      </c>
      <c r="G172" s="1" t="s">
        <v>14</v>
      </c>
      <c r="H172" s="22"/>
      <c r="I172" s="22">
        <v>1.2E-2</v>
      </c>
      <c r="J172" s="37">
        <v>6.2149999999999999</v>
      </c>
      <c r="K172" s="22" t="s">
        <v>270</v>
      </c>
      <c r="L172" s="4" t="s">
        <v>13</v>
      </c>
      <c r="M172" s="22">
        <v>6.1349999999999998</v>
      </c>
      <c r="N172" s="22" t="s">
        <v>7</v>
      </c>
      <c r="O172" s="22"/>
      <c r="P172" s="22">
        <v>6.5869999999999997</v>
      </c>
      <c r="Q172" s="22">
        <v>6.2130000000000001</v>
      </c>
      <c r="R172" s="22">
        <v>6.4640000000000004</v>
      </c>
      <c r="S172" s="22">
        <v>6.4260000000000002</v>
      </c>
      <c r="T172" s="22">
        <v>6.4009999999999998</v>
      </c>
      <c r="U172" s="22">
        <v>6.3840000000000003</v>
      </c>
      <c r="V172" s="22">
        <v>6.2309999999999999</v>
      </c>
      <c r="W172" s="22">
        <v>6.2229999999999999</v>
      </c>
      <c r="X172" s="41"/>
      <c r="Y172" s="41"/>
      <c r="Z172" s="41"/>
      <c r="AA172" s="41"/>
      <c r="AB172" s="41"/>
      <c r="AC172" s="41"/>
      <c r="AD172" s="41"/>
    </row>
    <row r="173" spans="1:30">
      <c r="A173" s="1">
        <f t="shared" si="5"/>
        <v>171</v>
      </c>
      <c r="B173" s="31"/>
      <c r="C173" s="1">
        <v>2</v>
      </c>
      <c r="D173" s="4">
        <f t="shared" si="6"/>
        <v>12</v>
      </c>
      <c r="E173" s="1" t="s">
        <v>506</v>
      </c>
      <c r="F173" s="1">
        <v>2</v>
      </c>
      <c r="G173" s="1" t="s">
        <v>11</v>
      </c>
      <c r="H173" s="22"/>
      <c r="I173" s="22">
        <v>5.5E-2</v>
      </c>
      <c r="J173" s="50">
        <v>6.282</v>
      </c>
      <c r="K173" s="22" t="s">
        <v>270</v>
      </c>
      <c r="L173" s="10" t="s">
        <v>111</v>
      </c>
      <c r="M173" s="22">
        <v>6.258</v>
      </c>
      <c r="N173" s="22" t="s">
        <v>7</v>
      </c>
      <c r="O173" s="22"/>
      <c r="P173" s="22">
        <v>7.3</v>
      </c>
      <c r="Q173" s="41"/>
      <c r="R173" s="22">
        <v>7.3470000000000004</v>
      </c>
      <c r="S173" s="22">
        <v>7.3470000000000004</v>
      </c>
      <c r="T173" s="22">
        <v>6.9669999999999996</v>
      </c>
      <c r="U173" s="22">
        <v>6.9349999999999996</v>
      </c>
      <c r="V173" s="22">
        <v>6.5019999999999998</v>
      </c>
      <c r="W173" s="22">
        <v>6.4630000000000001</v>
      </c>
      <c r="X173" s="41"/>
      <c r="Y173" s="41"/>
      <c r="Z173" s="41"/>
      <c r="AA173" s="41"/>
      <c r="AB173" s="41"/>
      <c r="AC173" s="41"/>
      <c r="AD173" s="41"/>
    </row>
    <row r="174" spans="1:30">
      <c r="A174" s="1">
        <f t="shared" si="5"/>
        <v>172</v>
      </c>
      <c r="B174" s="31"/>
      <c r="C174" s="1">
        <v>2</v>
      </c>
      <c r="D174" s="4">
        <f t="shared" si="6"/>
        <v>12</v>
      </c>
      <c r="E174" s="1" t="s">
        <v>508</v>
      </c>
      <c r="F174" s="1">
        <v>2</v>
      </c>
      <c r="G174" s="1" t="s">
        <v>14</v>
      </c>
      <c r="H174" s="22"/>
      <c r="I174" s="22">
        <v>1.2999999999999999E-2</v>
      </c>
      <c r="J174" s="37">
        <v>6.9960000000000004</v>
      </c>
      <c r="K174" s="22" t="s">
        <v>117</v>
      </c>
      <c r="L174" s="4" t="s">
        <v>13</v>
      </c>
      <c r="M174" s="22">
        <v>6.9189999999999996</v>
      </c>
      <c r="N174" s="22" t="s">
        <v>7</v>
      </c>
      <c r="O174" s="22"/>
      <c r="P174" s="22">
        <v>7.3280000000000003</v>
      </c>
      <c r="Q174" s="22">
        <v>7.077</v>
      </c>
      <c r="R174" s="22">
        <v>7.1660000000000004</v>
      </c>
      <c r="S174" s="22">
        <v>7.1260000000000003</v>
      </c>
      <c r="T174" s="22">
        <v>7.1820000000000004</v>
      </c>
      <c r="U174" s="22">
        <v>7.1660000000000004</v>
      </c>
      <c r="V174" s="22">
        <v>6.9850000000000003</v>
      </c>
      <c r="W174" s="22">
        <v>6.9779999999999998</v>
      </c>
      <c r="X174" s="41"/>
      <c r="Y174" s="41"/>
      <c r="Z174" s="41"/>
      <c r="AA174" s="41"/>
      <c r="AB174" s="41"/>
      <c r="AC174" s="41"/>
      <c r="AD174" s="41"/>
    </row>
    <row r="175" spans="1:30">
      <c r="A175" s="1">
        <f t="shared" si="5"/>
        <v>173</v>
      </c>
      <c r="B175" s="31"/>
      <c r="C175" s="1">
        <v>2</v>
      </c>
      <c r="D175" s="4">
        <f t="shared" si="6"/>
        <v>12</v>
      </c>
      <c r="E175" s="1" t="s">
        <v>508</v>
      </c>
      <c r="F175" s="1">
        <v>2</v>
      </c>
      <c r="G175" s="1" t="s">
        <v>14</v>
      </c>
      <c r="H175" s="22"/>
      <c r="I175" s="22">
        <v>5.0000000000000001E-3</v>
      </c>
      <c r="J175" s="50">
        <v>7.4009999999999998</v>
      </c>
      <c r="K175" s="22" t="s">
        <v>117</v>
      </c>
      <c r="L175" s="10" t="s">
        <v>111</v>
      </c>
      <c r="M175" s="22">
        <v>7.2549999999999999</v>
      </c>
      <c r="N175" s="22" t="s">
        <v>7</v>
      </c>
      <c r="O175" s="22"/>
      <c r="P175" s="22">
        <v>7.8689999999999998</v>
      </c>
      <c r="Q175" s="41"/>
      <c r="R175" s="22">
        <v>7.7060000000000004</v>
      </c>
      <c r="S175" s="22">
        <v>7.6680000000000001</v>
      </c>
      <c r="T175" s="22">
        <v>7.6740000000000004</v>
      </c>
      <c r="U175" s="22">
        <v>7.6580000000000004</v>
      </c>
      <c r="V175" s="22">
        <v>7.4779999999999998</v>
      </c>
      <c r="W175" s="22">
        <v>7.4710000000000001</v>
      </c>
      <c r="X175" s="41"/>
      <c r="Y175" s="41"/>
      <c r="Z175" s="41"/>
      <c r="AA175" s="41"/>
      <c r="AB175" s="41"/>
      <c r="AC175" s="41"/>
      <c r="AD175" s="41"/>
    </row>
    <row r="176" spans="1:30">
      <c r="A176" s="1">
        <f t="shared" si="5"/>
        <v>174</v>
      </c>
      <c r="B176" s="31"/>
      <c r="C176" s="1">
        <v>2</v>
      </c>
      <c r="D176" s="4">
        <f t="shared" si="6"/>
        <v>12</v>
      </c>
      <c r="E176" s="1" t="s">
        <v>508</v>
      </c>
      <c r="F176" s="1">
        <v>2</v>
      </c>
      <c r="G176" s="1" t="s">
        <v>11</v>
      </c>
      <c r="H176" s="1" t="s">
        <v>320</v>
      </c>
      <c r="I176" s="22">
        <v>1.6E-2</v>
      </c>
      <c r="J176" s="50">
        <v>7.5739999999999998</v>
      </c>
      <c r="K176" s="22" t="s">
        <v>270</v>
      </c>
      <c r="L176" s="10" t="s">
        <v>111</v>
      </c>
      <c r="M176" s="33"/>
      <c r="N176" s="33"/>
      <c r="O176" s="22"/>
      <c r="P176" s="41"/>
      <c r="Q176" s="22">
        <v>6.9720000000000004</v>
      </c>
      <c r="R176" s="41"/>
      <c r="S176" s="41"/>
      <c r="T176" s="22">
        <v>8.9280000000000008</v>
      </c>
      <c r="U176" s="22">
        <v>8.8119999999999994</v>
      </c>
      <c r="V176" s="22">
        <v>7.8339999999999996</v>
      </c>
      <c r="W176" s="22">
        <v>7.8</v>
      </c>
      <c r="X176" s="41"/>
      <c r="Y176" s="41"/>
      <c r="Z176" s="41"/>
      <c r="AA176" s="41"/>
      <c r="AB176" s="41"/>
      <c r="AC176" s="41"/>
      <c r="AD176" s="41"/>
    </row>
    <row r="177" spans="1:30">
      <c r="A177" s="1">
        <f t="shared" si="5"/>
        <v>175</v>
      </c>
      <c r="B177" s="31"/>
      <c r="C177" s="1">
        <v>2</v>
      </c>
      <c r="D177" s="4">
        <f t="shared" si="6"/>
        <v>12</v>
      </c>
      <c r="E177" s="1" t="s">
        <v>507</v>
      </c>
      <c r="F177" s="1">
        <v>4</v>
      </c>
      <c r="G177" s="1" t="s">
        <v>11</v>
      </c>
      <c r="H177" s="1"/>
      <c r="I177" s="119"/>
      <c r="J177" s="37">
        <v>3.843</v>
      </c>
      <c r="K177" s="22" t="s">
        <v>270</v>
      </c>
      <c r="L177" s="4" t="s">
        <v>13</v>
      </c>
      <c r="M177" s="22">
        <v>3.8559999999999999</v>
      </c>
      <c r="N177" s="22" t="s">
        <v>7</v>
      </c>
      <c r="O177" s="22"/>
      <c r="P177" s="22">
        <v>4.5270000000000001</v>
      </c>
      <c r="Q177" s="22">
        <v>3.3290000000000002</v>
      </c>
      <c r="R177" s="22">
        <v>4.593</v>
      </c>
      <c r="S177" s="22">
        <v>4.5860000000000003</v>
      </c>
      <c r="T177" s="22">
        <v>4.2130000000000001</v>
      </c>
      <c r="U177" s="22">
        <v>4.1849999999999996</v>
      </c>
      <c r="V177" s="22">
        <v>4.0149999999999997</v>
      </c>
      <c r="W177" s="22">
        <v>3.9929999999999999</v>
      </c>
      <c r="X177" s="41"/>
      <c r="Y177" s="41"/>
      <c r="Z177" s="41"/>
      <c r="AA177" s="41"/>
      <c r="AB177" s="41"/>
      <c r="AC177" s="41"/>
      <c r="AD177" s="41"/>
    </row>
    <row r="178" spans="1:30">
      <c r="A178" s="1">
        <f t="shared" si="5"/>
        <v>176</v>
      </c>
      <c r="B178" s="31"/>
      <c r="C178" s="1">
        <v>2</v>
      </c>
      <c r="D178" s="4">
        <f t="shared" si="6"/>
        <v>12</v>
      </c>
      <c r="E178" s="1" t="s">
        <v>509</v>
      </c>
      <c r="F178" s="1">
        <v>4</v>
      </c>
      <c r="G178" s="1" t="s">
        <v>14</v>
      </c>
      <c r="H178" s="1"/>
      <c r="I178" s="119"/>
      <c r="J178" s="50">
        <v>7.7480000000000002</v>
      </c>
      <c r="K178" s="22" t="s">
        <v>270</v>
      </c>
      <c r="L178" s="10" t="s">
        <v>111</v>
      </c>
      <c r="M178" s="33"/>
      <c r="N178" s="33"/>
      <c r="O178" s="1"/>
      <c r="P178" s="22">
        <v>8.2460000000000004</v>
      </c>
      <c r="Q178" s="41"/>
      <c r="R178" s="22">
        <v>8.1110000000000007</v>
      </c>
      <c r="S178" s="22">
        <v>8.1029999999999998</v>
      </c>
      <c r="T178" s="22">
        <v>8.1590000000000007</v>
      </c>
      <c r="U178" s="22">
        <v>8.1620000000000008</v>
      </c>
      <c r="V178" s="22">
        <v>7.8959999999999999</v>
      </c>
      <c r="W178" s="22">
        <v>7.8920000000000003</v>
      </c>
      <c r="X178" s="41"/>
      <c r="Y178" s="41"/>
      <c r="Z178" s="41"/>
      <c r="AA178" s="41"/>
      <c r="AB178" s="41"/>
      <c r="AC178" s="41"/>
      <c r="AD178" s="41"/>
    </row>
    <row r="179" spans="1:30">
      <c r="A179" s="1">
        <f t="shared" si="5"/>
        <v>177</v>
      </c>
      <c r="B179" s="31"/>
      <c r="C179" s="1">
        <v>2</v>
      </c>
      <c r="D179" s="4">
        <f t="shared" si="6"/>
        <v>12</v>
      </c>
      <c r="E179" s="1" t="s">
        <v>509</v>
      </c>
      <c r="F179" s="1">
        <v>4</v>
      </c>
      <c r="G179" s="1" t="s">
        <v>207</v>
      </c>
      <c r="H179" s="1"/>
      <c r="I179" s="119"/>
      <c r="J179" s="50">
        <v>8.0210000000000008</v>
      </c>
      <c r="K179" s="22" t="s">
        <v>270</v>
      </c>
      <c r="L179" s="10" t="s">
        <v>111</v>
      </c>
      <c r="M179" s="33"/>
      <c r="N179" s="33"/>
      <c r="O179" s="1"/>
      <c r="P179" s="22">
        <v>8.3369999999999997</v>
      </c>
      <c r="Q179" s="41"/>
      <c r="R179" s="22">
        <v>8.4190000000000005</v>
      </c>
      <c r="S179" s="22">
        <v>8.4149999999999991</v>
      </c>
      <c r="T179" s="22">
        <v>8.3019999999999996</v>
      </c>
      <c r="U179" s="22">
        <v>8.2989999999999995</v>
      </c>
      <c r="V179" s="41"/>
      <c r="W179" s="22">
        <v>8.1940000000000008</v>
      </c>
      <c r="X179" s="41"/>
      <c r="Y179" s="41"/>
      <c r="Z179" s="41"/>
      <c r="AA179" s="41"/>
      <c r="AB179" s="41"/>
      <c r="AC179" s="41"/>
      <c r="AD179" s="41"/>
    </row>
    <row r="180" spans="1:30">
      <c r="A180" s="1">
        <f t="shared" si="5"/>
        <v>178</v>
      </c>
      <c r="B180" s="31" t="s">
        <v>525</v>
      </c>
      <c r="C180" s="1">
        <v>2</v>
      </c>
      <c r="D180" s="4">
        <f t="shared" si="6"/>
        <v>12</v>
      </c>
      <c r="E180" s="1" t="s">
        <v>506</v>
      </c>
      <c r="F180" s="1">
        <v>2</v>
      </c>
      <c r="G180" s="1" t="s">
        <v>11</v>
      </c>
      <c r="H180" s="1"/>
      <c r="I180" s="22">
        <v>0</v>
      </c>
      <c r="J180" s="37">
        <v>2.823</v>
      </c>
      <c r="K180" s="22" t="s">
        <v>270</v>
      </c>
      <c r="L180" s="4" t="s">
        <v>13</v>
      </c>
      <c r="M180" s="22">
        <v>2.8519999999999999</v>
      </c>
      <c r="N180" s="1" t="s">
        <v>184</v>
      </c>
      <c r="O180" s="22"/>
      <c r="P180" s="22">
        <v>3.02</v>
      </c>
      <c r="Q180" s="22">
        <v>2.7530000000000001</v>
      </c>
      <c r="R180" s="22">
        <v>3.0830000000000002</v>
      </c>
      <c r="S180" s="22">
        <v>3.0430000000000001</v>
      </c>
      <c r="T180" s="22">
        <v>2.9020000000000001</v>
      </c>
      <c r="U180" s="22">
        <v>2.9129999999999998</v>
      </c>
      <c r="V180" s="22">
        <v>2.827</v>
      </c>
      <c r="W180" s="22">
        <v>2.8319999999999999</v>
      </c>
      <c r="X180" s="41"/>
      <c r="Y180" s="41"/>
      <c r="Z180" s="41"/>
      <c r="AA180" s="41"/>
      <c r="AB180" s="41"/>
      <c r="AC180" s="41"/>
      <c r="AD180" s="41"/>
    </row>
    <row r="181" spans="1:30">
      <c r="A181" s="1">
        <f t="shared" si="5"/>
        <v>179</v>
      </c>
      <c r="B181" s="31"/>
      <c r="C181" s="1">
        <v>2</v>
      </c>
      <c r="D181" s="4">
        <f t="shared" si="6"/>
        <v>12</v>
      </c>
      <c r="E181" s="1" t="s">
        <v>508</v>
      </c>
      <c r="F181" s="1">
        <v>2</v>
      </c>
      <c r="G181" s="1" t="s">
        <v>11</v>
      </c>
      <c r="H181" s="1"/>
      <c r="I181" s="22">
        <v>3.6999999999999998E-2</v>
      </c>
      <c r="J181" s="37">
        <v>4.2140000000000004</v>
      </c>
      <c r="K181" s="22" t="s">
        <v>270</v>
      </c>
      <c r="L181" s="4" t="s">
        <v>13</v>
      </c>
      <c r="M181" s="22">
        <v>4.2220000000000004</v>
      </c>
      <c r="N181" s="1" t="s">
        <v>184</v>
      </c>
      <c r="O181" s="22"/>
      <c r="P181" s="22">
        <v>4.4279999999999999</v>
      </c>
      <c r="Q181" s="22">
        <v>3.9340000000000002</v>
      </c>
      <c r="R181" s="22">
        <v>4.5270000000000001</v>
      </c>
      <c r="S181" s="22">
        <v>4.5209999999999999</v>
      </c>
      <c r="T181" s="22">
        <v>4.2610000000000001</v>
      </c>
      <c r="U181" s="22">
        <v>4.2720000000000002</v>
      </c>
      <c r="V181" s="22">
        <v>4.2119999999999997</v>
      </c>
      <c r="W181" s="22">
        <v>4.2309999999999999</v>
      </c>
      <c r="X181" s="41"/>
      <c r="Y181" s="41"/>
      <c r="Z181" s="41"/>
      <c r="AA181" s="41"/>
      <c r="AB181" s="41"/>
      <c r="AC181" s="41"/>
      <c r="AD181" s="41"/>
    </row>
    <row r="182" spans="1:30">
      <c r="A182" s="1">
        <f t="shared" si="5"/>
        <v>180</v>
      </c>
      <c r="B182" s="31"/>
      <c r="C182" s="1">
        <v>2</v>
      </c>
      <c r="D182" s="4">
        <f t="shared" si="6"/>
        <v>12</v>
      </c>
      <c r="E182" s="1" t="s">
        <v>508</v>
      </c>
      <c r="F182" s="1">
        <v>2</v>
      </c>
      <c r="G182" s="1" t="s">
        <v>14</v>
      </c>
      <c r="H182" s="1"/>
      <c r="I182" s="22">
        <v>7.0000000000000001E-3</v>
      </c>
      <c r="J182" s="37">
        <v>4.7789999999999999</v>
      </c>
      <c r="K182" s="22" t="s">
        <v>270</v>
      </c>
      <c r="L182" s="4" t="s">
        <v>13</v>
      </c>
      <c r="M182" s="22">
        <v>4.7489999999999997</v>
      </c>
      <c r="N182" s="22" t="s">
        <v>7</v>
      </c>
      <c r="O182" s="22"/>
      <c r="P182" s="22">
        <v>4.9530000000000003</v>
      </c>
      <c r="Q182" s="22">
        <v>4.8120000000000003</v>
      </c>
      <c r="R182" s="22">
        <v>4.8879999999999999</v>
      </c>
      <c r="S182" s="22">
        <v>4.7859999999999996</v>
      </c>
      <c r="T182" s="22">
        <v>4.907</v>
      </c>
      <c r="U182" s="22">
        <v>4.883</v>
      </c>
      <c r="V182" s="22">
        <v>4.7869999999999999</v>
      </c>
      <c r="W182" s="22">
        <v>4.7770000000000001</v>
      </c>
      <c r="X182" s="41"/>
      <c r="Y182" s="41"/>
      <c r="Z182" s="41"/>
      <c r="AA182" s="41"/>
      <c r="AB182" s="41"/>
      <c r="AC182" s="41"/>
      <c r="AD182" s="41"/>
    </row>
    <row r="183" spans="1:30">
      <c r="A183" s="1">
        <f t="shared" si="5"/>
        <v>181</v>
      </c>
      <c r="B183" s="31"/>
      <c r="C183" s="1">
        <v>2</v>
      </c>
      <c r="D183" s="4">
        <f t="shared" si="6"/>
        <v>12</v>
      </c>
      <c r="E183" s="1" t="s">
        <v>508</v>
      </c>
      <c r="F183" s="1">
        <v>2</v>
      </c>
      <c r="G183" s="1" t="s">
        <v>207</v>
      </c>
      <c r="H183" s="1"/>
      <c r="I183" s="22">
        <v>1.6E-2</v>
      </c>
      <c r="J183" s="50">
        <v>5.617</v>
      </c>
      <c r="K183" s="22" t="s">
        <v>270</v>
      </c>
      <c r="L183" s="10" t="s">
        <v>111</v>
      </c>
      <c r="M183" s="22">
        <v>5.65</v>
      </c>
      <c r="N183" s="22" t="s">
        <v>7</v>
      </c>
      <c r="O183" s="22"/>
      <c r="P183" s="22">
        <v>5.5910000000000002</v>
      </c>
      <c r="Q183" s="22">
        <v>5.7380000000000004</v>
      </c>
      <c r="R183" s="22">
        <v>5.617</v>
      </c>
      <c r="S183" s="22">
        <v>5.4960000000000004</v>
      </c>
      <c r="T183" s="22">
        <v>5.7309999999999999</v>
      </c>
      <c r="U183" s="22">
        <v>5.7229999999999999</v>
      </c>
      <c r="V183" s="22">
        <v>5.6120000000000001</v>
      </c>
      <c r="W183" s="22">
        <v>5.6040000000000001</v>
      </c>
      <c r="X183" s="41"/>
      <c r="Y183" s="41"/>
      <c r="Z183" s="41"/>
      <c r="AA183" s="41"/>
      <c r="AB183" s="41"/>
      <c r="AC183" s="41"/>
      <c r="AD183" s="41"/>
    </row>
    <row r="184" spans="1:30">
      <c r="A184" s="1">
        <f t="shared" si="5"/>
        <v>182</v>
      </c>
      <c r="B184" s="31"/>
      <c r="C184" s="1">
        <v>2</v>
      </c>
      <c r="D184" s="4">
        <f t="shared" si="6"/>
        <v>12</v>
      </c>
      <c r="E184" s="1" t="s">
        <v>508</v>
      </c>
      <c r="F184" s="1">
        <v>2</v>
      </c>
      <c r="G184" s="1" t="s">
        <v>207</v>
      </c>
      <c r="H184" s="1"/>
      <c r="I184" s="22">
        <v>2.5000000000000001E-2</v>
      </c>
      <c r="J184" s="50">
        <v>5.7089999999999996</v>
      </c>
      <c r="K184" s="22" t="s">
        <v>270</v>
      </c>
      <c r="L184" s="10" t="s">
        <v>111</v>
      </c>
      <c r="M184" s="22">
        <v>5.7270000000000003</v>
      </c>
      <c r="N184" s="22" t="s">
        <v>7</v>
      </c>
      <c r="O184" s="22"/>
      <c r="P184" s="22">
        <v>5.8949999999999996</v>
      </c>
      <c r="Q184" s="22">
        <v>5.6029999999999998</v>
      </c>
      <c r="R184" s="22">
        <v>5.9619999999999997</v>
      </c>
      <c r="S184" s="22">
        <v>5.9290000000000003</v>
      </c>
      <c r="T184" s="22">
        <v>5.8150000000000004</v>
      </c>
      <c r="U184" s="22">
        <v>5.8129999999999997</v>
      </c>
      <c r="V184" s="22">
        <v>5.7089999999999996</v>
      </c>
      <c r="W184" s="22">
        <v>5.7110000000000003</v>
      </c>
      <c r="X184" s="41"/>
      <c r="Y184" s="41"/>
      <c r="Z184" s="41"/>
      <c r="AA184" s="41"/>
      <c r="AB184" s="41"/>
      <c r="AC184" s="41"/>
      <c r="AD184" s="41"/>
    </row>
    <row r="185" spans="1:30">
      <c r="A185" s="1">
        <f t="shared" si="5"/>
        <v>183</v>
      </c>
      <c r="B185" s="31"/>
      <c r="C185" s="1">
        <v>2</v>
      </c>
      <c r="D185" s="4">
        <f t="shared" si="6"/>
        <v>12</v>
      </c>
      <c r="E185" s="1" t="s">
        <v>506</v>
      </c>
      <c r="F185" s="1">
        <v>2</v>
      </c>
      <c r="G185" s="1" t="s">
        <v>207</v>
      </c>
      <c r="H185" s="1"/>
      <c r="I185" s="22">
        <v>3.5000000000000003E-2</v>
      </c>
      <c r="J185" s="37">
        <v>6.2009999999999996</v>
      </c>
      <c r="K185" s="22" t="s">
        <v>270</v>
      </c>
      <c r="L185" s="4" t="s">
        <v>13</v>
      </c>
      <c r="M185" s="22">
        <v>6.18</v>
      </c>
      <c r="N185" s="22" t="s">
        <v>7</v>
      </c>
      <c r="O185" s="22"/>
      <c r="P185" s="22">
        <v>6.3120000000000003</v>
      </c>
      <c r="Q185" s="22">
        <v>6.2960000000000003</v>
      </c>
      <c r="R185" s="22">
        <v>6.26</v>
      </c>
      <c r="S185" s="22">
        <v>6.1020000000000003</v>
      </c>
      <c r="T185" s="22">
        <v>6.343</v>
      </c>
      <c r="U185" s="22">
        <v>6.3</v>
      </c>
      <c r="V185" s="22">
        <v>6.2080000000000002</v>
      </c>
      <c r="W185" s="22">
        <v>6.1909999999999998</v>
      </c>
      <c r="X185" s="41"/>
      <c r="Y185" s="41"/>
      <c r="Z185" s="41"/>
      <c r="AA185" s="41"/>
      <c r="AB185" s="41"/>
      <c r="AC185" s="41"/>
      <c r="AD185" s="41"/>
    </row>
    <row r="186" spans="1:30">
      <c r="A186" s="1">
        <f t="shared" si="5"/>
        <v>184</v>
      </c>
      <c r="B186" s="31"/>
      <c r="C186" s="1">
        <v>2</v>
      </c>
      <c r="D186" s="4">
        <f t="shared" si="6"/>
        <v>12</v>
      </c>
      <c r="E186" s="1" t="s">
        <v>506</v>
      </c>
      <c r="F186" s="1">
        <v>2</v>
      </c>
      <c r="G186" s="1" t="s">
        <v>207</v>
      </c>
      <c r="H186" s="1"/>
      <c r="I186" s="22">
        <v>1.4999999999999999E-2</v>
      </c>
      <c r="J186" s="37">
        <v>6.8170000000000002</v>
      </c>
      <c r="K186" s="22" t="s">
        <v>270</v>
      </c>
      <c r="L186" s="4" t="s">
        <v>13</v>
      </c>
      <c r="M186" s="22">
        <v>6.8120000000000003</v>
      </c>
      <c r="N186" s="22" t="s">
        <v>7</v>
      </c>
      <c r="O186" s="22"/>
      <c r="P186" s="22">
        <v>6.6929999999999996</v>
      </c>
      <c r="Q186" s="41"/>
      <c r="R186" s="22">
        <v>6.71</v>
      </c>
      <c r="S186" s="22">
        <v>6.5289999999999999</v>
      </c>
      <c r="T186" s="22">
        <v>7.016</v>
      </c>
      <c r="U186" s="22">
        <v>6.9260000000000002</v>
      </c>
      <c r="V186" s="22">
        <v>6.8079999999999998</v>
      </c>
      <c r="W186" s="22">
        <v>6.7770000000000001</v>
      </c>
      <c r="X186" s="41"/>
      <c r="Y186" s="41"/>
      <c r="Z186" s="41"/>
      <c r="AA186" s="41"/>
      <c r="AB186" s="41"/>
      <c r="AC186" s="41"/>
      <c r="AD186" s="41"/>
    </row>
    <row r="187" spans="1:30">
      <c r="A187" s="1">
        <f t="shared" si="5"/>
        <v>185</v>
      </c>
      <c r="B187" s="31"/>
      <c r="C187" s="1">
        <v>2</v>
      </c>
      <c r="D187" s="4">
        <f t="shared" si="6"/>
        <v>12</v>
      </c>
      <c r="E187" s="1" t="s">
        <v>506</v>
      </c>
      <c r="F187" s="1">
        <v>2</v>
      </c>
      <c r="G187" s="1" t="s">
        <v>207</v>
      </c>
      <c r="H187" s="1"/>
      <c r="I187" s="22">
        <v>4.0000000000000001E-3</v>
      </c>
      <c r="J187" s="50">
        <v>6.8289999999999997</v>
      </c>
      <c r="K187" s="22" t="s">
        <v>270</v>
      </c>
      <c r="L187" s="10" t="s">
        <v>111</v>
      </c>
      <c r="M187" s="22">
        <v>6.8120000000000003</v>
      </c>
      <c r="N187" s="22" t="s">
        <v>7</v>
      </c>
      <c r="O187" s="22"/>
      <c r="P187" s="22">
        <v>6.694</v>
      </c>
      <c r="Q187" s="41"/>
      <c r="R187" s="22">
        <v>6.71</v>
      </c>
      <c r="S187" s="22">
        <v>6.5289999999999999</v>
      </c>
      <c r="T187" s="22">
        <v>7.016</v>
      </c>
      <c r="U187" s="22">
        <v>6.9260000000000002</v>
      </c>
      <c r="V187" s="22">
        <v>6.8079999999999998</v>
      </c>
      <c r="W187" s="22">
        <v>6.7770000000000001</v>
      </c>
      <c r="X187" s="41"/>
      <c r="Y187" s="41"/>
      <c r="Z187" s="41"/>
      <c r="AA187" s="41"/>
      <c r="AB187" s="41"/>
      <c r="AC187" s="41"/>
      <c r="AD187" s="41"/>
    </row>
    <row r="188" spans="1:30">
      <c r="A188" s="1">
        <f t="shared" si="5"/>
        <v>186</v>
      </c>
      <c r="B188" s="31"/>
      <c r="C188" s="1">
        <v>2</v>
      </c>
      <c r="D188" s="4">
        <f t="shared" si="6"/>
        <v>12</v>
      </c>
      <c r="E188" s="1" t="s">
        <v>508</v>
      </c>
      <c r="F188" s="1">
        <v>2</v>
      </c>
      <c r="G188" s="1" t="s">
        <v>14</v>
      </c>
      <c r="H188" s="1"/>
      <c r="I188" s="22">
        <v>4.0000000000000001E-3</v>
      </c>
      <c r="J188" s="50">
        <v>7.0140000000000002</v>
      </c>
      <c r="K188" s="22" t="s">
        <v>270</v>
      </c>
      <c r="L188" s="10" t="s">
        <v>111</v>
      </c>
      <c r="M188" s="22">
        <v>6.9169999999999998</v>
      </c>
      <c r="N188" s="22" t="s">
        <v>7</v>
      </c>
      <c r="O188" s="22"/>
      <c r="P188" s="22">
        <v>7.6929999999999996</v>
      </c>
      <c r="Q188" s="22">
        <v>6.835</v>
      </c>
      <c r="R188" s="22">
        <v>7.5510000000000002</v>
      </c>
      <c r="S188" s="22">
        <v>7.4889999999999999</v>
      </c>
      <c r="T188" s="22">
        <v>7.2119999999999997</v>
      </c>
      <c r="U188" s="22">
        <v>7.1589999999999998</v>
      </c>
      <c r="V188" s="22">
        <v>6.9589999999999996</v>
      </c>
      <c r="W188" s="22">
        <v>6.9390000000000001</v>
      </c>
      <c r="X188" s="41"/>
      <c r="Y188" s="41"/>
      <c r="Z188" s="41"/>
      <c r="AA188" s="41"/>
      <c r="AB188" s="41"/>
      <c r="AC188" s="41"/>
      <c r="AD188" s="41"/>
    </row>
    <row r="189" spans="1:30">
      <c r="A189" s="1">
        <f t="shared" si="5"/>
        <v>187</v>
      </c>
      <c r="B189" s="31"/>
      <c r="C189" s="1">
        <v>2</v>
      </c>
      <c r="D189" s="4">
        <f t="shared" si="6"/>
        <v>12</v>
      </c>
      <c r="E189" s="1" t="s">
        <v>506</v>
      </c>
      <c r="F189" s="1">
        <v>2</v>
      </c>
      <c r="G189" s="1" t="s">
        <v>14</v>
      </c>
      <c r="H189" s="1"/>
      <c r="I189" s="22">
        <v>6.0000000000000001E-3</v>
      </c>
      <c r="J189" s="37">
        <v>7.1189999999999998</v>
      </c>
      <c r="K189" s="22" t="s">
        <v>270</v>
      </c>
      <c r="L189" s="4" t="s">
        <v>13</v>
      </c>
      <c r="M189" s="22">
        <v>7.1319999999999997</v>
      </c>
      <c r="N189" s="22" t="s">
        <v>7</v>
      </c>
      <c r="O189" s="22"/>
      <c r="P189" s="22">
        <v>7.1230000000000002</v>
      </c>
      <c r="Q189" s="22">
        <v>7.1029999999999998</v>
      </c>
      <c r="R189" s="22">
        <v>7.0410000000000004</v>
      </c>
      <c r="S189" s="22">
        <v>6.9029999999999996</v>
      </c>
      <c r="T189" s="22">
        <v>7.1559999999999997</v>
      </c>
      <c r="U189" s="22">
        <v>7.1289999999999996</v>
      </c>
      <c r="V189" s="22">
        <v>7.0090000000000003</v>
      </c>
      <c r="W189" s="22">
        <v>6.9950000000000001</v>
      </c>
      <c r="X189" s="41"/>
      <c r="Y189" s="41"/>
      <c r="Z189" s="41"/>
      <c r="AA189" s="41"/>
      <c r="AB189" s="41"/>
      <c r="AC189" s="41"/>
      <c r="AD189" s="41"/>
    </row>
    <row r="190" spans="1:30">
      <c r="A190" s="1">
        <f t="shared" si="5"/>
        <v>188</v>
      </c>
      <c r="B190" s="31"/>
      <c r="C190" s="1">
        <v>2</v>
      </c>
      <c r="D190" s="4">
        <f t="shared" si="6"/>
        <v>12</v>
      </c>
      <c r="E190" s="1" t="s">
        <v>508</v>
      </c>
      <c r="F190" s="1">
        <v>2</v>
      </c>
      <c r="G190" s="1" t="s">
        <v>14</v>
      </c>
      <c r="H190" s="1"/>
      <c r="I190" s="22">
        <v>2.9000000000000001E-2</v>
      </c>
      <c r="J190" s="37">
        <v>7.3529999999999998</v>
      </c>
      <c r="K190" s="22" t="s">
        <v>117</v>
      </c>
      <c r="L190" s="4" t="s">
        <v>13</v>
      </c>
      <c r="M190" s="22">
        <v>7.3129999999999997</v>
      </c>
      <c r="N190" s="22" t="s">
        <v>7</v>
      </c>
      <c r="O190" s="22"/>
      <c r="P190" s="22">
        <v>7.0819999999999999</v>
      </c>
      <c r="Q190" s="22">
        <v>7.194</v>
      </c>
      <c r="R190" s="22">
        <v>6.9619999999999997</v>
      </c>
      <c r="S190" s="22">
        <v>6.8230000000000004</v>
      </c>
      <c r="T190" s="22">
        <v>7.2249999999999996</v>
      </c>
      <c r="U190" s="22">
        <v>7.21</v>
      </c>
      <c r="V190" s="22">
        <v>7.1059999999999999</v>
      </c>
      <c r="W190" s="22">
        <v>7.0960000000000001</v>
      </c>
      <c r="X190" s="41"/>
      <c r="Y190" s="41"/>
      <c r="Z190" s="41"/>
      <c r="AA190" s="41"/>
      <c r="AB190" s="41"/>
      <c r="AC190" s="41"/>
      <c r="AD190" s="41"/>
    </row>
    <row r="191" spans="1:30">
      <c r="A191" s="1">
        <f t="shared" si="5"/>
        <v>189</v>
      </c>
      <c r="B191" s="31"/>
      <c r="C191" s="1">
        <v>2</v>
      </c>
      <c r="D191" s="4">
        <f t="shared" si="6"/>
        <v>12</v>
      </c>
      <c r="E191" s="1" t="s">
        <v>507</v>
      </c>
      <c r="F191" s="1">
        <v>4</v>
      </c>
      <c r="G191" s="1" t="s">
        <v>207</v>
      </c>
      <c r="H191" s="1"/>
      <c r="I191" s="119"/>
      <c r="J191" s="37">
        <v>6.3209999999999997</v>
      </c>
      <c r="K191" s="22" t="s">
        <v>270</v>
      </c>
      <c r="L191" s="4" t="s">
        <v>13</v>
      </c>
      <c r="M191" s="22">
        <v>6.3250000000000002</v>
      </c>
      <c r="N191" s="22" t="s">
        <v>7</v>
      </c>
      <c r="O191" s="22"/>
      <c r="P191" s="22">
        <v>6.431</v>
      </c>
      <c r="Q191" s="22">
        <v>6.4279999999999999</v>
      </c>
      <c r="R191" s="22">
        <v>6.46</v>
      </c>
      <c r="S191" s="22">
        <v>6.274</v>
      </c>
      <c r="T191" s="22">
        <v>6.665</v>
      </c>
      <c r="U191" s="22">
        <v>6.5759999999999996</v>
      </c>
      <c r="V191" s="22">
        <v>6.4429999999999996</v>
      </c>
      <c r="W191" s="22">
        <v>6.4089999999999998</v>
      </c>
      <c r="X191" s="41"/>
      <c r="Y191" s="41"/>
      <c r="Z191" s="41"/>
      <c r="AA191" s="41"/>
      <c r="AB191" s="41"/>
      <c r="AC191" s="41"/>
      <c r="AD191" s="41"/>
    </row>
    <row r="192" spans="1:30">
      <c r="A192" s="1">
        <f t="shared" si="5"/>
        <v>190</v>
      </c>
      <c r="B192" s="31"/>
      <c r="C192" s="1">
        <v>2</v>
      </c>
      <c r="D192" s="4">
        <f t="shared" si="6"/>
        <v>12</v>
      </c>
      <c r="E192" s="1" t="s">
        <v>509</v>
      </c>
      <c r="F192" s="1">
        <v>4</v>
      </c>
      <c r="G192" s="1" t="s">
        <v>207</v>
      </c>
      <c r="H192" s="1"/>
      <c r="I192" s="119"/>
      <c r="J192" s="50">
        <v>7.3120000000000003</v>
      </c>
      <c r="K192" s="22" t="s">
        <v>270</v>
      </c>
      <c r="L192" s="10" t="s">
        <v>111</v>
      </c>
      <c r="M192" s="22">
        <v>7.3090000000000002</v>
      </c>
      <c r="N192" s="22" t="s">
        <v>7</v>
      </c>
      <c r="O192" s="22"/>
      <c r="P192" s="22">
        <v>7.65</v>
      </c>
      <c r="Q192" s="22">
        <v>7.2210000000000001</v>
      </c>
      <c r="R192" s="22">
        <v>7.7679999999999998</v>
      </c>
      <c r="S192" s="22">
        <v>7.7089999999999996</v>
      </c>
      <c r="T192" s="22">
        <v>7.6680000000000001</v>
      </c>
      <c r="U192" s="22">
        <v>7.6790000000000003</v>
      </c>
      <c r="V192" s="22">
        <v>7.47</v>
      </c>
      <c r="W192" s="22">
        <v>7.4550000000000001</v>
      </c>
      <c r="X192" s="41"/>
      <c r="Y192" s="41"/>
      <c r="Z192" s="41"/>
      <c r="AA192" s="41"/>
      <c r="AB192" s="41"/>
      <c r="AC192" s="41"/>
      <c r="AD192" s="41"/>
    </row>
    <row r="193" spans="1:30">
      <c r="A193" s="1">
        <f t="shared" si="5"/>
        <v>191</v>
      </c>
      <c r="B193" s="31"/>
      <c r="C193" s="1">
        <v>2</v>
      </c>
      <c r="D193" s="4">
        <f t="shared" si="6"/>
        <v>12</v>
      </c>
      <c r="E193" s="1" t="s">
        <v>509</v>
      </c>
      <c r="F193" s="1">
        <v>4</v>
      </c>
      <c r="G193" s="1" t="s">
        <v>207</v>
      </c>
      <c r="H193" s="1"/>
      <c r="I193" s="119"/>
      <c r="J193" s="37">
        <v>7.66</v>
      </c>
      <c r="K193" s="22" t="s">
        <v>270</v>
      </c>
      <c r="L193" s="4" t="s">
        <v>13</v>
      </c>
      <c r="M193" s="22">
        <v>7.673</v>
      </c>
      <c r="N193" s="22" t="s">
        <v>7</v>
      </c>
      <c r="O193" s="22"/>
      <c r="P193" s="22">
        <v>7.8760000000000003</v>
      </c>
      <c r="Q193" s="22">
        <v>7.7670000000000003</v>
      </c>
      <c r="R193" s="22">
        <v>7.8810000000000002</v>
      </c>
      <c r="S193" s="22">
        <v>7.6150000000000002</v>
      </c>
      <c r="T193" s="22">
        <v>8.1389999999999993</v>
      </c>
      <c r="U193" s="22">
        <v>8.0329999999999995</v>
      </c>
      <c r="V193" s="22">
        <v>7.8109999999999999</v>
      </c>
      <c r="W193" s="22">
        <v>7.766</v>
      </c>
      <c r="X193" s="41"/>
      <c r="Y193" s="41"/>
      <c r="Z193" s="41"/>
      <c r="AA193" s="41"/>
      <c r="AB193" s="41"/>
      <c r="AC193" s="41"/>
      <c r="AD193" s="41"/>
    </row>
    <row r="194" spans="1:30">
      <c r="A194" s="1">
        <f t="shared" si="5"/>
        <v>192</v>
      </c>
      <c r="B194" s="31" t="s">
        <v>541</v>
      </c>
      <c r="C194" s="1">
        <v>2</v>
      </c>
      <c r="D194" s="4">
        <f t="shared" si="6"/>
        <v>12</v>
      </c>
      <c r="E194" s="1" t="s">
        <v>506</v>
      </c>
      <c r="F194" s="1">
        <v>2</v>
      </c>
      <c r="G194" s="1" t="s">
        <v>11</v>
      </c>
      <c r="H194" s="1"/>
      <c r="I194" s="22">
        <v>0</v>
      </c>
      <c r="J194" s="37">
        <v>1.1499999999999999</v>
      </c>
      <c r="K194" s="22" t="s">
        <v>270</v>
      </c>
      <c r="L194" s="4" t="s">
        <v>13</v>
      </c>
      <c r="M194" s="22">
        <v>1.1639999999999999</v>
      </c>
      <c r="N194" s="22" t="s">
        <v>184</v>
      </c>
      <c r="O194" s="22"/>
      <c r="P194" s="22">
        <v>1.3009999999999999</v>
      </c>
      <c r="Q194" s="22">
        <v>0.97399999999999998</v>
      </c>
      <c r="R194" s="22">
        <v>1.3129999999999999</v>
      </c>
      <c r="S194" s="22">
        <v>1.2390000000000001</v>
      </c>
      <c r="T194" s="22">
        <v>1.1819999999999999</v>
      </c>
      <c r="U194" s="22">
        <v>1.143</v>
      </c>
      <c r="V194" s="22">
        <v>1.1579999999999999</v>
      </c>
      <c r="W194" s="22">
        <v>1.151</v>
      </c>
      <c r="X194" s="41"/>
      <c r="Y194" s="41"/>
      <c r="Z194" s="41"/>
      <c r="AA194" s="41"/>
      <c r="AB194" s="41"/>
      <c r="AC194" s="41"/>
      <c r="AD194" s="41"/>
    </row>
    <row r="195" spans="1:30">
      <c r="A195" s="1">
        <f t="shared" si="5"/>
        <v>193</v>
      </c>
      <c r="B195" s="31"/>
      <c r="C195" s="1">
        <v>2</v>
      </c>
      <c r="D195" s="4">
        <f t="shared" si="6"/>
        <v>12</v>
      </c>
      <c r="E195" s="1" t="s">
        <v>508</v>
      </c>
      <c r="F195" s="1">
        <v>2</v>
      </c>
      <c r="G195" s="1" t="s">
        <v>11</v>
      </c>
      <c r="H195" s="1"/>
      <c r="I195" s="22">
        <v>4.2000000000000003E-2</v>
      </c>
      <c r="J195" s="37">
        <v>2.7320000000000002</v>
      </c>
      <c r="K195" s="22" t="s">
        <v>270</v>
      </c>
      <c r="L195" s="4" t="s">
        <v>13</v>
      </c>
      <c r="M195" s="22">
        <v>2.7229999999999999</v>
      </c>
      <c r="N195" s="22" t="s">
        <v>184</v>
      </c>
      <c r="O195" s="22"/>
      <c r="P195" s="22">
        <v>2.859</v>
      </c>
      <c r="Q195" s="22">
        <v>2.4969999999999999</v>
      </c>
      <c r="R195" s="22">
        <v>2.8610000000000002</v>
      </c>
      <c r="S195" s="22">
        <v>2.83</v>
      </c>
      <c r="T195" s="22">
        <v>2.79</v>
      </c>
      <c r="U195" s="22">
        <v>2.7770000000000001</v>
      </c>
      <c r="V195" s="22">
        <v>2.7509999999999999</v>
      </c>
      <c r="W195" s="22">
        <v>2.7469999999999999</v>
      </c>
      <c r="X195" s="41"/>
      <c r="Y195" s="41"/>
      <c r="Z195" s="41"/>
      <c r="AA195" s="41"/>
      <c r="AB195" s="41"/>
      <c r="AC195" s="41"/>
      <c r="AD195" s="41"/>
    </row>
    <row r="196" spans="1:30">
      <c r="A196" s="1">
        <f t="shared" si="5"/>
        <v>194</v>
      </c>
      <c r="B196" s="31"/>
      <c r="C196" s="1">
        <v>2</v>
      </c>
      <c r="D196" s="4">
        <f t="shared" ref="D196:D259" si="7">_xlfn.SWITCH(C196,1,12,2,12,3,35,4,35,5,35)</f>
        <v>12</v>
      </c>
      <c r="E196" s="1" t="s">
        <v>508</v>
      </c>
      <c r="F196" s="1">
        <v>2</v>
      </c>
      <c r="G196" s="1" t="s">
        <v>11</v>
      </c>
      <c r="H196" s="1"/>
      <c r="I196" s="22">
        <v>1.2E-2</v>
      </c>
      <c r="J196" s="37">
        <v>4.5670000000000002</v>
      </c>
      <c r="K196" s="22" t="s">
        <v>270</v>
      </c>
      <c r="L196" s="4" t="s">
        <v>13</v>
      </c>
      <c r="M196" s="22">
        <v>4.5609999999999999</v>
      </c>
      <c r="N196" s="22" t="s">
        <v>7</v>
      </c>
      <c r="O196" s="22"/>
      <c r="P196" s="22">
        <v>4.9059999999999997</v>
      </c>
      <c r="Q196" s="22">
        <v>4.42</v>
      </c>
      <c r="R196" s="22">
        <v>4.8719999999999999</v>
      </c>
      <c r="S196" s="22">
        <v>4.79</v>
      </c>
      <c r="T196" s="22">
        <v>4.6829999999999998</v>
      </c>
      <c r="U196" s="22">
        <v>4.6420000000000003</v>
      </c>
      <c r="V196" s="22">
        <v>4.6040000000000001</v>
      </c>
      <c r="W196" s="22">
        <v>4.5940000000000003</v>
      </c>
      <c r="X196" s="41"/>
      <c r="Y196" s="41"/>
      <c r="Z196" s="41"/>
      <c r="AA196" s="41"/>
      <c r="AB196" s="41"/>
      <c r="AC196" s="41"/>
      <c r="AD196" s="41"/>
    </row>
    <row r="197" spans="1:30">
      <c r="A197" s="1">
        <f t="shared" si="5"/>
        <v>195</v>
      </c>
      <c r="B197" s="31"/>
      <c r="C197" s="1">
        <v>2</v>
      </c>
      <c r="D197" s="4">
        <f t="shared" si="7"/>
        <v>12</v>
      </c>
      <c r="E197" s="1" t="s">
        <v>508</v>
      </c>
      <c r="F197" s="1">
        <v>2</v>
      </c>
      <c r="G197" s="1" t="s">
        <v>14</v>
      </c>
      <c r="H197" s="1"/>
      <c r="I197" s="22">
        <v>0.02</v>
      </c>
      <c r="J197" s="37">
        <v>4.835</v>
      </c>
      <c r="K197" s="22" t="s">
        <v>270</v>
      </c>
      <c r="L197" s="4" t="s">
        <v>13</v>
      </c>
      <c r="M197" s="22">
        <v>4.8230000000000004</v>
      </c>
      <c r="N197" s="22" t="s">
        <v>7</v>
      </c>
      <c r="O197" s="22"/>
      <c r="P197" s="22">
        <v>5.2130000000000001</v>
      </c>
      <c r="Q197" s="22">
        <v>4.8479999999999999</v>
      </c>
      <c r="R197" s="22">
        <v>5.1589999999999998</v>
      </c>
      <c r="S197" s="22">
        <v>5.0990000000000002</v>
      </c>
      <c r="T197" s="22">
        <v>5.0149999999999997</v>
      </c>
      <c r="U197" s="22">
        <v>4.992</v>
      </c>
      <c r="V197" s="22">
        <v>4.8840000000000003</v>
      </c>
      <c r="W197" s="22">
        <v>4.88</v>
      </c>
      <c r="X197" s="41"/>
      <c r="Y197" s="41"/>
      <c r="Z197" s="41"/>
      <c r="AA197" s="41"/>
      <c r="AB197" s="41"/>
      <c r="AC197" s="41"/>
      <c r="AD197" s="41"/>
    </row>
    <row r="198" spans="1:30">
      <c r="A198" s="1">
        <f t="shared" si="5"/>
        <v>196</v>
      </c>
      <c r="B198" s="31"/>
      <c r="C198" s="1">
        <v>2</v>
      </c>
      <c r="D198" s="4">
        <f t="shared" si="7"/>
        <v>12</v>
      </c>
      <c r="E198" s="1" t="s">
        <v>508</v>
      </c>
      <c r="F198" s="1">
        <v>2</v>
      </c>
      <c r="G198" s="1" t="s">
        <v>14</v>
      </c>
      <c r="H198" s="1"/>
      <c r="I198" s="22">
        <v>8.9999999999999993E-3</v>
      </c>
      <c r="J198" s="37">
        <v>5.3390000000000004</v>
      </c>
      <c r="K198" s="22" t="s">
        <v>270</v>
      </c>
      <c r="L198" s="4" t="s">
        <v>13</v>
      </c>
      <c r="M198" s="22">
        <v>5.3689999999999998</v>
      </c>
      <c r="N198" s="22" t="s">
        <v>7</v>
      </c>
      <c r="O198" s="22"/>
      <c r="P198" s="22">
        <v>5.7030000000000003</v>
      </c>
      <c r="Q198" s="22">
        <v>5.4029999999999996</v>
      </c>
      <c r="R198" s="22">
        <v>5.63</v>
      </c>
      <c r="S198" s="22">
        <v>5.5759999999999996</v>
      </c>
      <c r="T198" s="22">
        <v>5.5229999999999997</v>
      </c>
      <c r="U198" s="22">
        <v>5.5039999999999996</v>
      </c>
      <c r="V198" s="22">
        <v>5.391</v>
      </c>
      <c r="W198" s="22">
        <v>5.3869999999999996</v>
      </c>
      <c r="X198" s="41"/>
      <c r="Y198" s="41"/>
      <c r="Z198" s="41"/>
      <c r="AA198" s="41"/>
      <c r="AB198" s="41"/>
      <c r="AC198" s="41"/>
      <c r="AD198" s="41"/>
    </row>
    <row r="199" spans="1:30">
      <c r="A199" s="1">
        <f t="shared" si="5"/>
        <v>197</v>
      </c>
      <c r="B199" s="31"/>
      <c r="C199" s="1">
        <v>2</v>
      </c>
      <c r="D199" s="4">
        <f t="shared" si="7"/>
        <v>12</v>
      </c>
      <c r="E199" s="1" t="s">
        <v>506</v>
      </c>
      <c r="F199" s="1">
        <v>2</v>
      </c>
      <c r="G199" s="1" t="s">
        <v>207</v>
      </c>
      <c r="H199" s="1"/>
      <c r="I199" s="22">
        <v>4.0000000000000001E-3</v>
      </c>
      <c r="J199" s="37">
        <v>5.4210000000000003</v>
      </c>
      <c r="K199" s="22" t="s">
        <v>550</v>
      </c>
      <c r="L199" s="4" t="s">
        <v>13</v>
      </c>
      <c r="M199" s="22">
        <v>5.3949999999999996</v>
      </c>
      <c r="N199" s="22" t="s">
        <v>7</v>
      </c>
      <c r="O199" s="22"/>
      <c r="P199" s="22">
        <v>5.91</v>
      </c>
      <c r="Q199" s="22">
        <v>5.4539999999999997</v>
      </c>
      <c r="R199" s="22">
        <v>5.8550000000000004</v>
      </c>
      <c r="S199" s="22">
        <v>5.8150000000000004</v>
      </c>
      <c r="T199" s="22">
        <v>5.6689999999999996</v>
      </c>
      <c r="U199" s="22">
        <v>5.6550000000000002</v>
      </c>
      <c r="V199" s="22">
        <v>5.5069999999999997</v>
      </c>
      <c r="W199" s="22">
        <v>5.5039999999999996</v>
      </c>
      <c r="X199" s="41"/>
      <c r="Y199" s="41"/>
      <c r="Z199" s="41"/>
      <c r="AA199" s="41"/>
      <c r="AB199" s="41"/>
      <c r="AC199" s="41"/>
      <c r="AD199" s="41"/>
    </row>
    <row r="200" spans="1:30">
      <c r="A200" s="1">
        <f t="shared" si="5"/>
        <v>198</v>
      </c>
      <c r="B200" s="31"/>
      <c r="C200" s="1">
        <v>2</v>
      </c>
      <c r="D200" s="4">
        <f t="shared" si="7"/>
        <v>12</v>
      </c>
      <c r="E200" s="1" t="s">
        <v>506</v>
      </c>
      <c r="F200" s="1">
        <v>2</v>
      </c>
      <c r="G200" s="1" t="s">
        <v>207</v>
      </c>
      <c r="H200" s="1"/>
      <c r="I200" s="22">
        <v>0.03</v>
      </c>
      <c r="J200" s="37">
        <v>5.7149999999999999</v>
      </c>
      <c r="K200" s="22" t="s">
        <v>270</v>
      </c>
      <c r="L200" s="4" t="s">
        <v>13</v>
      </c>
      <c r="M200" s="22">
        <v>5.72</v>
      </c>
      <c r="N200" s="22" t="s">
        <v>7</v>
      </c>
      <c r="O200" s="22"/>
      <c r="P200" s="22">
        <v>6.2160000000000002</v>
      </c>
      <c r="Q200" s="22">
        <v>5.7670000000000003</v>
      </c>
      <c r="R200" s="22">
        <v>6.1</v>
      </c>
      <c r="S200" s="22">
        <v>6.12</v>
      </c>
      <c r="T200" s="22">
        <v>6.0339999999999998</v>
      </c>
      <c r="U200" s="22">
        <v>6.0620000000000003</v>
      </c>
      <c r="V200" s="22">
        <v>5.798</v>
      </c>
      <c r="W200" s="22">
        <v>5.806</v>
      </c>
      <c r="X200" s="41"/>
      <c r="Y200" s="41"/>
      <c r="Z200" s="41"/>
      <c r="AA200" s="41"/>
      <c r="AB200" s="41"/>
      <c r="AC200" s="41"/>
      <c r="AD200" s="41"/>
    </row>
    <row r="201" spans="1:30">
      <c r="A201" s="1">
        <f t="shared" si="5"/>
        <v>199</v>
      </c>
      <c r="B201" s="31"/>
      <c r="C201" s="1">
        <v>2</v>
      </c>
      <c r="D201" s="4">
        <f t="shared" si="7"/>
        <v>12</v>
      </c>
      <c r="E201" s="1" t="s">
        <v>506</v>
      </c>
      <c r="F201" s="1">
        <v>2</v>
      </c>
      <c r="G201" s="1" t="s">
        <v>11</v>
      </c>
      <c r="H201" s="1"/>
      <c r="I201" s="22">
        <v>6.0000000000000001E-3</v>
      </c>
      <c r="J201" s="50">
        <v>5.9580000000000002</v>
      </c>
      <c r="K201" s="22" t="s">
        <v>557</v>
      </c>
      <c r="L201" s="10" t="s">
        <v>111</v>
      </c>
      <c r="M201" s="22">
        <v>6.0060000000000002</v>
      </c>
      <c r="N201" s="22" t="s">
        <v>7</v>
      </c>
      <c r="O201" s="22"/>
      <c r="P201" s="41"/>
      <c r="Q201" s="41"/>
      <c r="R201" s="41"/>
      <c r="S201" s="41"/>
      <c r="T201" s="22">
        <v>6.4139999999999997</v>
      </c>
      <c r="U201" s="22">
        <v>6.4459999999999997</v>
      </c>
      <c r="V201" s="22">
        <v>6.125</v>
      </c>
      <c r="W201" s="22">
        <v>6.1310000000000002</v>
      </c>
      <c r="X201" s="41"/>
      <c r="Y201" s="41"/>
      <c r="Z201" s="41"/>
      <c r="AA201" s="41"/>
      <c r="AB201" s="41"/>
      <c r="AC201" s="41"/>
      <c r="AD201" s="41"/>
    </row>
    <row r="202" spans="1:30">
      <c r="A202" s="1">
        <f t="shared" si="5"/>
        <v>200</v>
      </c>
      <c r="B202" s="31"/>
      <c r="C202" s="1">
        <v>2</v>
      </c>
      <c r="D202" s="4">
        <f t="shared" si="7"/>
        <v>12</v>
      </c>
      <c r="E202" s="1" t="s">
        <v>507</v>
      </c>
      <c r="F202" s="1">
        <v>4</v>
      </c>
      <c r="G202" s="1" t="s">
        <v>11</v>
      </c>
      <c r="H202" s="1"/>
      <c r="I202" s="119"/>
      <c r="J202" s="50">
        <v>5.1210000000000004</v>
      </c>
      <c r="K202" s="22" t="s">
        <v>270</v>
      </c>
      <c r="L202" s="10" t="s">
        <v>111</v>
      </c>
      <c r="M202" s="22">
        <v>5.1379999999999999</v>
      </c>
      <c r="N202" s="22" t="s">
        <v>7</v>
      </c>
      <c r="O202" s="22"/>
      <c r="P202" s="22">
        <v>5.758</v>
      </c>
      <c r="Q202" s="22">
        <v>5.1210000000000004</v>
      </c>
      <c r="R202" s="22">
        <v>5.6639999999999997</v>
      </c>
      <c r="S202" s="22">
        <v>5.6849999999999996</v>
      </c>
      <c r="T202" s="22">
        <v>5.5529999999999999</v>
      </c>
      <c r="U202" s="22">
        <v>5.5730000000000004</v>
      </c>
      <c r="V202" s="22">
        <v>5.3150000000000004</v>
      </c>
      <c r="W202" s="22">
        <v>5.3140000000000001</v>
      </c>
      <c r="X202" s="41"/>
      <c r="Y202" s="41"/>
      <c r="Z202" s="41"/>
      <c r="AA202" s="41"/>
      <c r="AB202" s="41"/>
      <c r="AC202" s="41"/>
      <c r="AD202" s="41"/>
    </row>
    <row r="203" spans="1:30">
      <c r="A203" s="1">
        <f t="shared" si="5"/>
        <v>201</v>
      </c>
      <c r="B203" s="31"/>
      <c r="C203" s="1">
        <v>2</v>
      </c>
      <c r="D203" s="4">
        <f t="shared" si="7"/>
        <v>12</v>
      </c>
      <c r="E203" s="1" t="s">
        <v>507</v>
      </c>
      <c r="F203" s="1">
        <v>4</v>
      </c>
      <c r="G203" s="1" t="s">
        <v>11</v>
      </c>
      <c r="H203" s="1"/>
      <c r="I203" s="119"/>
      <c r="J203" s="50">
        <v>5.7629999999999999</v>
      </c>
      <c r="K203" s="22" t="s">
        <v>270</v>
      </c>
      <c r="L203" s="10" t="s">
        <v>111</v>
      </c>
      <c r="M203" s="22">
        <v>5.8090000000000002</v>
      </c>
      <c r="N203" s="22" t="s">
        <v>7</v>
      </c>
      <c r="O203" s="22"/>
      <c r="P203" s="41"/>
      <c r="Q203" s="41"/>
      <c r="R203" s="41"/>
      <c r="S203" s="41"/>
      <c r="T203" s="22">
        <v>6.14</v>
      </c>
      <c r="U203" s="22">
        <v>6.1680000000000001</v>
      </c>
      <c r="V203" s="22">
        <v>5.9109999999999996</v>
      </c>
      <c r="W203" s="22">
        <v>5.9160000000000004</v>
      </c>
      <c r="X203" s="41"/>
      <c r="Y203" s="41"/>
      <c r="Z203" s="41"/>
      <c r="AA203" s="41"/>
      <c r="AB203" s="41"/>
      <c r="AC203" s="41"/>
      <c r="AD203" s="41"/>
    </row>
    <row r="204" spans="1:30">
      <c r="A204" s="1">
        <f t="shared" si="5"/>
        <v>202</v>
      </c>
      <c r="B204" s="31"/>
      <c r="C204" s="1">
        <v>2</v>
      </c>
      <c r="D204" s="4">
        <f t="shared" si="7"/>
        <v>12</v>
      </c>
      <c r="E204" s="1" t="s">
        <v>509</v>
      </c>
      <c r="F204" s="1">
        <v>4</v>
      </c>
      <c r="G204" s="1" t="s">
        <v>207</v>
      </c>
      <c r="H204" s="1"/>
      <c r="I204" s="119"/>
      <c r="J204" s="50">
        <v>5.7869999999999999</v>
      </c>
      <c r="K204" s="22" t="s">
        <v>270</v>
      </c>
      <c r="L204" s="10" t="s">
        <v>111</v>
      </c>
      <c r="M204" s="22">
        <v>5.774</v>
      </c>
      <c r="N204" s="22" t="s">
        <v>7</v>
      </c>
      <c r="O204" s="22"/>
      <c r="P204" s="22">
        <v>6.6909999999999998</v>
      </c>
      <c r="Q204" s="22">
        <v>5.7750000000000004</v>
      </c>
      <c r="R204" s="22">
        <v>6.5439999999999996</v>
      </c>
      <c r="S204" s="22">
        <v>6.6079999999999997</v>
      </c>
      <c r="T204" s="22">
        <v>6.3879999999999999</v>
      </c>
      <c r="U204" s="22">
        <v>6.4080000000000004</v>
      </c>
      <c r="V204" s="22">
        <v>6.0510000000000002</v>
      </c>
      <c r="W204" s="22">
        <v>6.0519999999999996</v>
      </c>
      <c r="X204" s="41"/>
      <c r="Y204" s="41"/>
      <c r="Z204" s="41"/>
      <c r="AA204" s="41"/>
      <c r="AB204" s="41"/>
      <c r="AC204" s="41"/>
      <c r="AD204" s="41"/>
    </row>
    <row r="205" spans="1:30">
      <c r="A205" s="1">
        <f t="shared" si="5"/>
        <v>203</v>
      </c>
      <c r="B205" s="31"/>
      <c r="C205" s="1">
        <v>2</v>
      </c>
      <c r="D205" s="4">
        <f t="shared" si="7"/>
        <v>12</v>
      </c>
      <c r="E205" s="1" t="s">
        <v>509</v>
      </c>
      <c r="F205" s="1">
        <v>4</v>
      </c>
      <c r="G205" s="1" t="s">
        <v>11</v>
      </c>
      <c r="H205" s="1"/>
      <c r="I205" s="119"/>
      <c r="J205" s="50">
        <v>6.0529999999999999</v>
      </c>
      <c r="K205" s="22" t="s">
        <v>270</v>
      </c>
      <c r="L205" s="10" t="s">
        <v>111</v>
      </c>
      <c r="M205" s="22">
        <v>6.0570000000000004</v>
      </c>
      <c r="N205" s="22" t="s">
        <v>7</v>
      </c>
      <c r="O205" s="22"/>
      <c r="P205" s="22">
        <v>6.5640000000000001</v>
      </c>
      <c r="Q205" s="22">
        <v>5.9050000000000002</v>
      </c>
      <c r="R205" s="22">
        <v>6.5830000000000002</v>
      </c>
      <c r="S205" s="22">
        <v>6.57</v>
      </c>
      <c r="T205" s="22">
        <v>6.4359999999999999</v>
      </c>
      <c r="U205" s="22">
        <v>6.4459999999999997</v>
      </c>
      <c r="V205" s="22">
        <v>6.2469999999999999</v>
      </c>
      <c r="W205" s="22">
        <v>6.2329999999999997</v>
      </c>
      <c r="X205" s="41"/>
      <c r="Y205" s="41"/>
      <c r="Z205" s="41"/>
      <c r="AA205" s="41"/>
      <c r="AB205" s="41"/>
      <c r="AC205" s="41"/>
      <c r="AD205" s="41"/>
    </row>
    <row r="206" spans="1:30">
      <c r="A206" s="1">
        <f t="shared" si="5"/>
        <v>204</v>
      </c>
      <c r="B206" s="31" t="s">
        <v>543</v>
      </c>
      <c r="C206" s="1">
        <v>2</v>
      </c>
      <c r="D206" s="4">
        <f t="shared" si="7"/>
        <v>12</v>
      </c>
      <c r="E206" s="1" t="s">
        <v>544</v>
      </c>
      <c r="F206" s="1">
        <v>2</v>
      </c>
      <c r="G206" s="1" t="s">
        <v>11</v>
      </c>
      <c r="H206" s="1"/>
      <c r="I206" s="22">
        <v>4.0000000000000001E-3</v>
      </c>
      <c r="J206" s="37">
        <v>1.323</v>
      </c>
      <c r="K206" s="22" t="s">
        <v>103</v>
      </c>
      <c r="L206" s="22" t="s">
        <v>13</v>
      </c>
      <c r="M206" s="22">
        <v>1.3169999999999999</v>
      </c>
      <c r="N206" s="22" t="s">
        <v>184</v>
      </c>
      <c r="O206" s="22"/>
      <c r="P206" s="6">
        <v>1.915</v>
      </c>
      <c r="Q206" s="6">
        <v>0.40300000000000002</v>
      </c>
      <c r="R206" s="6">
        <v>2.09</v>
      </c>
      <c r="S206" s="6">
        <v>2.1219999999999999</v>
      </c>
      <c r="T206" s="6">
        <v>1.4019999999999999</v>
      </c>
      <c r="U206" s="6">
        <v>1.381</v>
      </c>
      <c r="V206" s="6">
        <v>1.3109999999999999</v>
      </c>
      <c r="W206" s="6">
        <v>1.2949999999999999</v>
      </c>
      <c r="X206" s="61">
        <v>1.367</v>
      </c>
      <c r="Y206" s="61">
        <v>1.482</v>
      </c>
      <c r="Z206" s="61">
        <v>1.4370000000000001</v>
      </c>
      <c r="AA206" s="61">
        <v>1.3560000000000001</v>
      </c>
      <c r="AB206" s="61">
        <v>1.35</v>
      </c>
      <c r="AC206" s="61">
        <v>1.343</v>
      </c>
      <c r="AD206" s="126">
        <v>1.3460000000000001</v>
      </c>
    </row>
    <row r="207" spans="1:30">
      <c r="A207" s="1">
        <f t="shared" si="5"/>
        <v>205</v>
      </c>
      <c r="B207" s="31"/>
      <c r="C207" s="1">
        <v>2</v>
      </c>
      <c r="D207" s="4">
        <f t="shared" si="7"/>
        <v>12</v>
      </c>
      <c r="E207" s="1" t="s">
        <v>546</v>
      </c>
      <c r="F207" s="1">
        <v>2</v>
      </c>
      <c r="G207" s="1" t="s">
        <v>11</v>
      </c>
      <c r="H207" s="1"/>
      <c r="I207" s="22">
        <v>4.3999999999999997E-2</v>
      </c>
      <c r="J207" s="37">
        <v>3.3010000000000002</v>
      </c>
      <c r="K207" s="22" t="s">
        <v>103</v>
      </c>
      <c r="L207" s="22" t="s">
        <v>13</v>
      </c>
      <c r="M207" s="22">
        <v>3.3</v>
      </c>
      <c r="N207" s="22" t="s">
        <v>184</v>
      </c>
      <c r="O207" s="22"/>
      <c r="P207" s="6">
        <v>3.871</v>
      </c>
      <c r="Q207" s="6">
        <v>2.36</v>
      </c>
      <c r="R207" s="6">
        <v>4.069</v>
      </c>
      <c r="S207" s="6">
        <v>4.1399999999999997</v>
      </c>
      <c r="T207" s="6">
        <v>3.4129999999999998</v>
      </c>
      <c r="U207" s="6">
        <v>3.41</v>
      </c>
      <c r="V207" s="6">
        <v>3.3210000000000002</v>
      </c>
      <c r="W207" s="6">
        <v>3.2930000000000001</v>
      </c>
      <c r="X207" s="61">
        <v>3.25</v>
      </c>
      <c r="Y207" s="61">
        <v>3.2429999999999999</v>
      </c>
      <c r="Z207" s="61">
        <v>3.2909999999999999</v>
      </c>
      <c r="AA207" s="61">
        <v>3.3780000000000001</v>
      </c>
      <c r="AB207" s="61">
        <v>3.3330000000000002</v>
      </c>
      <c r="AC207" s="61">
        <v>3.3069999999999999</v>
      </c>
      <c r="AD207" s="126">
        <v>3.3119999999999998</v>
      </c>
    </row>
    <row r="208" spans="1:30">
      <c r="A208" s="1">
        <f t="shared" si="5"/>
        <v>206</v>
      </c>
      <c r="B208" s="31"/>
      <c r="C208" s="1">
        <v>2</v>
      </c>
      <c r="D208" s="4">
        <f t="shared" si="7"/>
        <v>12</v>
      </c>
      <c r="E208" s="1" t="s">
        <v>545</v>
      </c>
      <c r="F208" s="1">
        <v>2</v>
      </c>
      <c r="G208" s="1" t="s">
        <v>11</v>
      </c>
      <c r="H208" s="1"/>
      <c r="I208" s="119"/>
      <c r="J208" s="37">
        <v>8.7990000000000013</v>
      </c>
      <c r="K208" s="22" t="s">
        <v>210</v>
      </c>
      <c r="L208" s="22" t="s">
        <v>13</v>
      </c>
      <c r="M208" s="22">
        <v>8.793000000000001</v>
      </c>
      <c r="N208" s="22" t="s">
        <v>184</v>
      </c>
      <c r="O208" s="22"/>
      <c r="P208" s="6">
        <v>9.7089999999999996</v>
      </c>
      <c r="Q208" s="41"/>
      <c r="R208" s="6">
        <v>9.5809999999999995</v>
      </c>
      <c r="S208" s="6">
        <v>9.5340000000000007</v>
      </c>
      <c r="T208" s="6">
        <v>9.0630000000000006</v>
      </c>
      <c r="U208" s="6">
        <v>9.0500000000000007</v>
      </c>
      <c r="V208" s="6">
        <v>8.8979999999999997</v>
      </c>
      <c r="W208" s="6">
        <v>8.8840000000000003</v>
      </c>
      <c r="X208" s="61">
        <v>9.0269999999999992</v>
      </c>
      <c r="Y208" s="61">
        <v>8.68</v>
      </c>
      <c r="Z208" s="61">
        <v>8.7759999999999998</v>
      </c>
      <c r="AA208" s="61">
        <v>8.9</v>
      </c>
      <c r="AB208" s="61">
        <v>8.8699999999999992</v>
      </c>
      <c r="AC208" s="61">
        <v>8.83</v>
      </c>
      <c r="AD208" s="126">
        <v>8.8279999999999994</v>
      </c>
    </row>
    <row r="209" spans="1:30">
      <c r="A209" s="1">
        <f t="shared" si="5"/>
        <v>207</v>
      </c>
      <c r="B209" s="31"/>
      <c r="C209" s="1">
        <v>2</v>
      </c>
      <c r="D209" s="4">
        <f t="shared" si="7"/>
        <v>12</v>
      </c>
      <c r="E209" s="1" t="s">
        <v>547</v>
      </c>
      <c r="F209" s="1">
        <v>2</v>
      </c>
      <c r="G209" s="1" t="s">
        <v>11</v>
      </c>
      <c r="H209" s="1"/>
      <c r="I209" s="119"/>
      <c r="J209" s="37">
        <v>6.6550000000000002</v>
      </c>
      <c r="K209" s="22" t="s">
        <v>210</v>
      </c>
      <c r="L209" s="22" t="s">
        <v>13</v>
      </c>
      <c r="M209" s="22">
        <v>6.6959999999999997</v>
      </c>
      <c r="N209" s="22" t="s">
        <v>184</v>
      </c>
      <c r="O209" s="22"/>
      <c r="P209" s="6">
        <v>8.2010000000000005</v>
      </c>
      <c r="Q209" s="6">
        <v>5.5220000000000002</v>
      </c>
      <c r="R209" s="6">
        <v>8.3620000000000001</v>
      </c>
      <c r="S209" s="6">
        <v>8.4220000000000006</v>
      </c>
      <c r="T209" s="6">
        <v>7.26</v>
      </c>
      <c r="U209" s="6">
        <v>7.2169999999999996</v>
      </c>
      <c r="V209" s="6">
        <v>6.9189999999999996</v>
      </c>
      <c r="W209" s="6">
        <v>6.8819999999999997</v>
      </c>
      <c r="X209" s="61">
        <v>6.8739999999999997</v>
      </c>
      <c r="Y209" s="61">
        <v>6.423</v>
      </c>
      <c r="Z209" s="61">
        <v>6.633</v>
      </c>
      <c r="AA209" s="61">
        <v>6.7350000000000003</v>
      </c>
      <c r="AB209" s="61">
        <v>6.6779999999999999</v>
      </c>
      <c r="AC209" s="61">
        <v>6.6440000000000001</v>
      </c>
      <c r="AD209" s="126">
        <v>6.6719999999999997</v>
      </c>
    </row>
    <row r="210" spans="1:30">
      <c r="A210" s="1">
        <f t="shared" si="5"/>
        <v>208</v>
      </c>
      <c r="B210" s="31"/>
      <c r="C210" s="1">
        <v>2</v>
      </c>
      <c r="D210" s="4">
        <f t="shared" si="7"/>
        <v>12</v>
      </c>
      <c r="E210" s="1" t="s">
        <v>549</v>
      </c>
      <c r="F210" s="1">
        <v>2</v>
      </c>
      <c r="G210" s="1" t="s">
        <v>11</v>
      </c>
      <c r="H210" s="1"/>
      <c r="I210" s="119"/>
      <c r="J210" s="37">
        <v>8.0170000000000012</v>
      </c>
      <c r="K210" s="22" t="s">
        <v>210</v>
      </c>
      <c r="L210" s="22" t="s">
        <v>13</v>
      </c>
      <c r="M210" s="22">
        <v>8.0289999999999999</v>
      </c>
      <c r="N210" s="22" t="s">
        <v>184</v>
      </c>
      <c r="O210" s="22"/>
      <c r="P210" s="6">
        <v>9.2490000000000006</v>
      </c>
      <c r="Q210" s="6">
        <v>6.71</v>
      </c>
      <c r="R210" s="6">
        <v>9.4030000000000005</v>
      </c>
      <c r="S210" s="6">
        <v>9.4629999999999992</v>
      </c>
      <c r="T210" s="6">
        <v>8.6039999999999992</v>
      </c>
      <c r="U210" s="6">
        <v>8.5719999999999992</v>
      </c>
      <c r="V210" s="6">
        <v>8.31</v>
      </c>
      <c r="W210" s="6">
        <v>8.2850000000000001</v>
      </c>
      <c r="X210" s="61">
        <v>8.5020000000000007</v>
      </c>
      <c r="Y210" s="61">
        <v>7.8070000000000004</v>
      </c>
      <c r="Z210" s="61">
        <v>8.0229999999999997</v>
      </c>
      <c r="AA210" s="61">
        <v>8.1219999999999999</v>
      </c>
      <c r="AB210" s="61">
        <v>8.0690000000000008</v>
      </c>
      <c r="AC210" s="61">
        <v>7.9989999999999997</v>
      </c>
      <c r="AD210" s="126">
        <v>8.0359999999999996</v>
      </c>
    </row>
    <row r="211" spans="1:30">
      <c r="A211" s="1">
        <f t="shared" si="5"/>
        <v>209</v>
      </c>
      <c r="B211" s="31"/>
      <c r="C211" s="1">
        <v>2</v>
      </c>
      <c r="D211" s="4">
        <f t="shared" si="7"/>
        <v>12</v>
      </c>
      <c r="E211" s="1" t="s">
        <v>547</v>
      </c>
      <c r="F211" s="1">
        <v>2</v>
      </c>
      <c r="G211" s="1" t="s">
        <v>11</v>
      </c>
      <c r="H211" s="1"/>
      <c r="I211" s="119"/>
      <c r="J211" s="37">
        <v>8.9260000000000002</v>
      </c>
      <c r="K211" s="22" t="s">
        <v>204</v>
      </c>
      <c r="L211" s="22" t="s">
        <v>13</v>
      </c>
      <c r="M211" s="22">
        <v>8.9320000000000004</v>
      </c>
      <c r="N211" s="22" t="s">
        <v>184</v>
      </c>
      <c r="O211" s="22"/>
      <c r="P211" s="41"/>
      <c r="Q211" s="41"/>
      <c r="R211" s="41"/>
      <c r="S211" s="41"/>
      <c r="T211" s="6">
        <v>9.66</v>
      </c>
      <c r="U211" s="6">
        <v>9.6289999999999996</v>
      </c>
      <c r="V211" s="6">
        <v>9.2690000000000001</v>
      </c>
      <c r="W211" s="6">
        <v>9.2449999999999992</v>
      </c>
      <c r="X211" s="61">
        <v>9.3089999999999993</v>
      </c>
      <c r="Y211" s="61">
        <v>8.6940000000000008</v>
      </c>
      <c r="Z211" s="61">
        <v>8.923</v>
      </c>
      <c r="AA211" s="61">
        <v>9.0820000000000007</v>
      </c>
      <c r="AB211" s="61">
        <v>9.0180000000000007</v>
      </c>
      <c r="AC211" s="61">
        <v>8.9179999999999993</v>
      </c>
      <c r="AD211" s="126">
        <v>8.952</v>
      </c>
    </row>
    <row r="212" spans="1:30">
      <c r="A212" s="1">
        <f t="shared" si="5"/>
        <v>210</v>
      </c>
      <c r="B212" s="31"/>
      <c r="C212" s="1">
        <v>2</v>
      </c>
      <c r="D212" s="4">
        <f t="shared" si="7"/>
        <v>12</v>
      </c>
      <c r="E212" s="1" t="s">
        <v>548</v>
      </c>
      <c r="F212" s="1">
        <v>2</v>
      </c>
      <c r="G212" s="1" t="s">
        <v>11</v>
      </c>
      <c r="H212" s="1" t="s">
        <v>321</v>
      </c>
      <c r="I212" s="119"/>
      <c r="J212" s="37">
        <v>8.9759999999999991</v>
      </c>
      <c r="K212" s="22" t="s">
        <v>204</v>
      </c>
      <c r="L212" s="22" t="s">
        <v>13</v>
      </c>
      <c r="M212" s="22">
        <v>9.0069999999999997</v>
      </c>
      <c r="N212" s="22" t="s">
        <v>184</v>
      </c>
      <c r="O212" s="22"/>
      <c r="P212" s="41"/>
      <c r="Q212" s="41"/>
      <c r="R212" s="41"/>
      <c r="S212" s="41"/>
      <c r="T212" s="6">
        <v>12.381</v>
      </c>
      <c r="U212" s="6">
        <v>12.143000000000001</v>
      </c>
      <c r="V212" s="6">
        <v>10.073</v>
      </c>
      <c r="W212" s="6">
        <v>10.006</v>
      </c>
      <c r="X212" s="61">
        <v>9.125</v>
      </c>
      <c r="Y212" s="61">
        <v>8.9979999999999993</v>
      </c>
      <c r="Z212" s="61">
        <v>9.0649999999999995</v>
      </c>
      <c r="AA212" s="61">
        <v>9.0459999999999994</v>
      </c>
      <c r="AB212" s="61">
        <v>9.01</v>
      </c>
      <c r="AC212" s="61">
        <v>8.952</v>
      </c>
      <c r="AD212" s="126">
        <v>8.9849999999999994</v>
      </c>
    </row>
    <row r="213" spans="1:30">
      <c r="A213" s="1">
        <f t="shared" si="5"/>
        <v>211</v>
      </c>
      <c r="B213" s="31" t="s">
        <v>542</v>
      </c>
      <c r="C213" s="1">
        <v>3</v>
      </c>
      <c r="D213" s="4">
        <f t="shared" si="7"/>
        <v>35</v>
      </c>
      <c r="E213" s="1" t="s">
        <v>479</v>
      </c>
      <c r="F213" s="1">
        <v>2</v>
      </c>
      <c r="G213" s="1" t="s">
        <v>11</v>
      </c>
      <c r="H213" s="1"/>
      <c r="I213" s="22">
        <v>5.0000000000000001E-3</v>
      </c>
      <c r="J213" s="37">
        <v>2.8660000000000001</v>
      </c>
      <c r="K213" s="22" t="s">
        <v>117</v>
      </c>
      <c r="L213" s="22" t="s">
        <v>13</v>
      </c>
      <c r="M213" s="22">
        <v>2.859</v>
      </c>
      <c r="N213" s="22" t="s">
        <v>7</v>
      </c>
      <c r="O213" s="22"/>
      <c r="P213" s="6">
        <v>3.05</v>
      </c>
      <c r="Q213" s="6">
        <v>2.9830000000000001</v>
      </c>
      <c r="R213" s="6">
        <v>2.9049999999999998</v>
      </c>
      <c r="S213" s="6">
        <v>2.8610000000000002</v>
      </c>
      <c r="T213" s="6">
        <v>3.04</v>
      </c>
      <c r="U213" s="6">
        <v>2.9359999999999999</v>
      </c>
      <c r="V213" s="6">
        <v>2.8679999999999999</v>
      </c>
      <c r="W213" s="6">
        <v>2.863</v>
      </c>
      <c r="X213" s="121">
        <v>3.048</v>
      </c>
      <c r="Y213" s="121">
        <v>2.8109999999999999</v>
      </c>
      <c r="Z213" s="121">
        <v>2.8330000000000002</v>
      </c>
      <c r="AA213" s="121">
        <v>2.8959999999999999</v>
      </c>
      <c r="AB213" s="121">
        <v>2.8660000000000001</v>
      </c>
      <c r="AC213" s="121">
        <v>2.8849999999999998</v>
      </c>
      <c r="AD213" s="122">
        <v>2.8849999999999998</v>
      </c>
    </row>
    <row r="214" spans="1:30">
      <c r="A214" s="1">
        <f t="shared" si="5"/>
        <v>212</v>
      </c>
      <c r="B214" s="31"/>
      <c r="C214" s="1">
        <v>3</v>
      </c>
      <c r="D214" s="4">
        <f t="shared" si="7"/>
        <v>35</v>
      </c>
      <c r="E214" s="1" t="s">
        <v>478</v>
      </c>
      <c r="F214" s="1">
        <v>2</v>
      </c>
      <c r="G214" s="1" t="s">
        <v>11</v>
      </c>
      <c r="H214" s="1"/>
      <c r="I214" s="22">
        <v>2.3E-2</v>
      </c>
      <c r="J214" s="37">
        <v>4.7389999999999999</v>
      </c>
      <c r="K214" s="22" t="s">
        <v>117</v>
      </c>
      <c r="L214" s="22" t="s">
        <v>13</v>
      </c>
      <c r="M214" s="22">
        <v>4.7350000000000003</v>
      </c>
      <c r="N214" s="22" t="s">
        <v>7</v>
      </c>
      <c r="O214" s="22"/>
      <c r="P214" s="22">
        <v>5.3889999999999993</v>
      </c>
      <c r="Q214" s="22">
        <v>4.8550000000000004</v>
      </c>
      <c r="R214" s="22">
        <v>5.2835000000000001</v>
      </c>
      <c r="S214" s="22">
        <v>5.2305000000000001</v>
      </c>
      <c r="T214" s="22">
        <v>5.141</v>
      </c>
      <c r="U214" s="22">
        <v>5.1275000000000004</v>
      </c>
      <c r="V214" s="22">
        <v>4.8324999999999996</v>
      </c>
      <c r="W214" s="22">
        <v>4.8245000000000005</v>
      </c>
      <c r="X214" s="22">
        <v>4.8739999999999997</v>
      </c>
      <c r="Y214" s="22">
        <v>4.6520000000000001</v>
      </c>
      <c r="Z214" s="22">
        <v>4.6989999999999998</v>
      </c>
      <c r="AA214" s="22">
        <v>4.766</v>
      </c>
      <c r="AB214" s="22">
        <v>4.7450000000000001</v>
      </c>
      <c r="AC214" s="22">
        <v>4.7300000000000004</v>
      </c>
      <c r="AD214" s="22">
        <v>4.7270000000000003</v>
      </c>
    </row>
    <row r="215" spans="1:30">
      <c r="A215" s="1">
        <f t="shared" si="5"/>
        <v>213</v>
      </c>
      <c r="B215" s="31"/>
      <c r="C215" s="1">
        <v>3</v>
      </c>
      <c r="D215" s="4">
        <f t="shared" si="7"/>
        <v>35</v>
      </c>
      <c r="E215" s="1" t="s">
        <v>479</v>
      </c>
      <c r="F215" s="1">
        <v>2</v>
      </c>
      <c r="G215" s="1" t="s">
        <v>11</v>
      </c>
      <c r="H215" s="1"/>
      <c r="I215" s="22">
        <v>2E-3</v>
      </c>
      <c r="J215" s="37">
        <v>7.0380000000000003</v>
      </c>
      <c r="K215" s="22" t="s">
        <v>117</v>
      </c>
      <c r="L215" s="22" t="s">
        <v>13</v>
      </c>
      <c r="M215" s="22">
        <v>7.0330000000000004</v>
      </c>
      <c r="N215" s="22" t="s">
        <v>7</v>
      </c>
      <c r="O215" s="22"/>
      <c r="P215" s="6">
        <v>7.4550000000000001</v>
      </c>
      <c r="Q215" s="6">
        <v>7.6349999999999998</v>
      </c>
      <c r="R215" s="6">
        <v>7.3360000000000003</v>
      </c>
      <c r="S215" s="6">
        <v>7.1630000000000003</v>
      </c>
      <c r="T215" s="6">
        <v>7.548</v>
      </c>
      <c r="U215" s="6">
        <v>7.5629999999999997</v>
      </c>
      <c r="V215" s="6">
        <v>7.0629999999999997</v>
      </c>
      <c r="W215" s="6">
        <v>7.024</v>
      </c>
      <c r="X215" s="121">
        <v>7.3970000000000002</v>
      </c>
      <c r="Y215" s="121">
        <v>7.02</v>
      </c>
      <c r="Z215" s="121">
        <v>7.0579999999999998</v>
      </c>
      <c r="AA215" s="121">
        <v>7.1189999999999998</v>
      </c>
      <c r="AB215" s="121">
        <v>7.0750000000000002</v>
      </c>
      <c r="AC215" s="121">
        <v>7.0620000000000003</v>
      </c>
      <c r="AD215" s="122">
        <v>7.0670000000000002</v>
      </c>
    </row>
    <row r="216" spans="1:30">
      <c r="A216" s="1">
        <f t="shared" si="5"/>
        <v>214</v>
      </c>
      <c r="B216" s="31"/>
      <c r="C216" s="1">
        <v>3</v>
      </c>
      <c r="D216" s="4">
        <f t="shared" si="7"/>
        <v>35</v>
      </c>
      <c r="E216" s="1" t="s">
        <v>478</v>
      </c>
      <c r="F216" s="1">
        <v>2</v>
      </c>
      <c r="G216" s="1" t="s">
        <v>11</v>
      </c>
      <c r="H216" s="1" t="s">
        <v>320</v>
      </c>
      <c r="I216" s="22">
        <v>1E-3</v>
      </c>
      <c r="J216" s="50">
        <v>7.476</v>
      </c>
      <c r="K216" s="22" t="s">
        <v>117</v>
      </c>
      <c r="L216" s="10" t="s">
        <v>111</v>
      </c>
      <c r="M216" s="22">
        <v>7.4749999999999996</v>
      </c>
      <c r="N216" s="22" t="s">
        <v>7</v>
      </c>
      <c r="O216" s="22"/>
      <c r="P216" s="22">
        <v>8.3814999999999991</v>
      </c>
      <c r="Q216" s="22">
        <v>7.2844999999999995</v>
      </c>
      <c r="R216" s="22">
        <v>8.4209999999999994</v>
      </c>
      <c r="S216" s="22">
        <v>8.3445</v>
      </c>
      <c r="T216" s="22">
        <v>8.1705000000000005</v>
      </c>
      <c r="U216" s="22">
        <v>8.1020000000000003</v>
      </c>
      <c r="V216" s="22">
        <v>7.7545000000000002</v>
      </c>
      <c r="W216" s="22">
        <v>7.7065000000000001</v>
      </c>
      <c r="X216" s="22">
        <v>8.0579999999999998</v>
      </c>
      <c r="Y216" s="22">
        <v>7.1280000000000001</v>
      </c>
      <c r="Z216" s="22">
        <v>7.4829999999999997</v>
      </c>
      <c r="AA216" s="22">
        <v>7.6470000000000002</v>
      </c>
      <c r="AB216" s="22">
        <v>7.55</v>
      </c>
      <c r="AC216" s="22">
        <v>7.5049999999999999</v>
      </c>
      <c r="AD216" s="22">
        <v>7.5369999999999999</v>
      </c>
    </row>
    <row r="217" spans="1:30">
      <c r="A217" s="1">
        <f t="shared" si="5"/>
        <v>215</v>
      </c>
      <c r="B217" s="31"/>
      <c r="C217" s="1">
        <v>3</v>
      </c>
      <c r="D217" s="4">
        <f t="shared" si="7"/>
        <v>35</v>
      </c>
      <c r="E217" s="1" t="s">
        <v>486</v>
      </c>
      <c r="F217" s="1">
        <v>2</v>
      </c>
      <c r="G217" s="1" t="s">
        <v>14</v>
      </c>
      <c r="H217" s="1" t="s">
        <v>320</v>
      </c>
      <c r="I217" s="22">
        <v>8.9999999999999993E-3</v>
      </c>
      <c r="J217" s="50">
        <v>7.5819999999999999</v>
      </c>
      <c r="K217" s="22" t="s">
        <v>117</v>
      </c>
      <c r="L217" s="10" t="s">
        <v>111</v>
      </c>
      <c r="M217" s="22">
        <v>7.6280000000000001</v>
      </c>
      <c r="N217" s="22" t="s">
        <v>7</v>
      </c>
      <c r="O217" s="22"/>
      <c r="P217" s="6">
        <v>8.0619999999999994</v>
      </c>
      <c r="Q217" s="6">
        <v>7.6109999999999998</v>
      </c>
      <c r="R217" s="6">
        <v>7.9450000000000003</v>
      </c>
      <c r="S217" s="6">
        <v>7.8639999999999999</v>
      </c>
      <c r="T217" s="6">
        <v>7.984</v>
      </c>
      <c r="U217" s="6">
        <v>7.9420000000000002</v>
      </c>
      <c r="V217" s="6">
        <v>7.7320000000000002</v>
      </c>
      <c r="W217" s="6">
        <v>7.7009999999999996</v>
      </c>
      <c r="X217" s="121">
        <v>7.0549999999999997</v>
      </c>
      <c r="Y217" s="121">
        <v>7.1660000000000004</v>
      </c>
      <c r="Z217" s="121">
        <v>7.4160000000000004</v>
      </c>
      <c r="AA217" s="121">
        <v>7.569</v>
      </c>
      <c r="AB217" s="121">
        <v>7.59</v>
      </c>
      <c r="AC217" s="121">
        <v>7.56</v>
      </c>
      <c r="AD217" s="122">
        <v>7.5350000000000001</v>
      </c>
    </row>
    <row r="218" spans="1:30">
      <c r="A218" s="1">
        <f t="shared" si="5"/>
        <v>216</v>
      </c>
      <c r="B218" s="31"/>
      <c r="C218" s="1">
        <v>3</v>
      </c>
      <c r="D218" s="4">
        <f t="shared" si="7"/>
        <v>35</v>
      </c>
      <c r="E218" s="1" t="s">
        <v>483</v>
      </c>
      <c r="F218" s="1">
        <v>4</v>
      </c>
      <c r="G218" s="1" t="s">
        <v>11</v>
      </c>
      <c r="H218" s="1"/>
      <c r="I218" s="119"/>
      <c r="J218" s="50">
        <v>6.8129999999999997</v>
      </c>
      <c r="K218" s="22" t="s">
        <v>117</v>
      </c>
      <c r="L218" s="10" t="s">
        <v>111</v>
      </c>
      <c r="M218" s="119"/>
      <c r="N218" s="119"/>
      <c r="O218" s="22"/>
      <c r="P218" s="22">
        <v>7.4260000000000002</v>
      </c>
      <c r="Q218" s="22">
        <v>6.6395</v>
      </c>
      <c r="R218" s="22">
        <v>7.4930000000000003</v>
      </c>
      <c r="S218" s="22">
        <v>7.4584999999999999</v>
      </c>
      <c r="T218" s="22">
        <v>7.2409999999999997</v>
      </c>
      <c r="U218" s="22">
        <v>7.1895000000000007</v>
      </c>
      <c r="V218" s="22">
        <v>7.0385</v>
      </c>
      <c r="W218" s="22">
        <v>7.0065000000000008</v>
      </c>
      <c r="X218" s="22">
        <v>7.1420000000000003</v>
      </c>
      <c r="Y218" s="22">
        <v>6.5419999999999998</v>
      </c>
      <c r="Z218" s="22">
        <v>6.7960000000000003</v>
      </c>
      <c r="AA218" s="22">
        <v>6.91</v>
      </c>
      <c r="AB218" s="22">
        <v>6.8540000000000001</v>
      </c>
      <c r="AC218" s="22">
        <v>6.8250000000000002</v>
      </c>
      <c r="AD218" s="22">
        <v>6.8410000000000002</v>
      </c>
    </row>
    <row r="219" spans="1:30">
      <c r="A219" s="1">
        <f t="shared" si="5"/>
        <v>217</v>
      </c>
      <c r="B219" s="31"/>
      <c r="C219" s="1">
        <v>3</v>
      </c>
      <c r="D219" s="4">
        <f t="shared" si="7"/>
        <v>35</v>
      </c>
      <c r="E219" s="1" t="s">
        <v>487</v>
      </c>
      <c r="F219" s="1">
        <v>4</v>
      </c>
      <c r="G219" s="1" t="s">
        <v>14</v>
      </c>
      <c r="H219" s="1"/>
      <c r="I219" s="119"/>
      <c r="J219" s="50">
        <v>7.23</v>
      </c>
      <c r="K219" s="22" t="s">
        <v>117</v>
      </c>
      <c r="L219" s="10" t="s">
        <v>111</v>
      </c>
      <c r="M219" s="119"/>
      <c r="N219" s="119"/>
      <c r="O219" s="22"/>
      <c r="P219" s="6">
        <v>7.3710000000000004</v>
      </c>
      <c r="Q219" s="6">
        <v>7.2080000000000002</v>
      </c>
      <c r="R219" s="6">
        <v>7.2910000000000004</v>
      </c>
      <c r="S219" s="6">
        <v>7.4320000000000004</v>
      </c>
      <c r="T219" s="6">
        <v>7.45</v>
      </c>
      <c r="U219" s="6">
        <v>7.4939999999999998</v>
      </c>
      <c r="V219" s="6">
        <v>7.3470000000000004</v>
      </c>
      <c r="W219" s="6">
        <v>7.335</v>
      </c>
      <c r="X219" s="121">
        <v>6.7320000000000002</v>
      </c>
      <c r="Y219" s="121">
        <v>6.827</v>
      </c>
      <c r="Z219" s="121">
        <v>7.0650000000000004</v>
      </c>
      <c r="AA219" s="121">
        <v>7.218</v>
      </c>
      <c r="AB219" s="121">
        <v>7.2279999999999998</v>
      </c>
      <c r="AC219" s="121">
        <v>7.202</v>
      </c>
      <c r="AD219" s="122">
        <v>7.181</v>
      </c>
    </row>
    <row r="220" spans="1:30">
      <c r="A220" s="1">
        <f t="shared" si="5"/>
        <v>218</v>
      </c>
      <c r="B220" s="31" t="s">
        <v>540</v>
      </c>
      <c r="C220" s="1">
        <v>1</v>
      </c>
      <c r="D220" s="4">
        <f t="shared" si="7"/>
        <v>12</v>
      </c>
      <c r="E220" s="1" t="s">
        <v>465</v>
      </c>
      <c r="F220" s="1">
        <v>2</v>
      </c>
      <c r="G220" s="1" t="s">
        <v>11</v>
      </c>
      <c r="H220" s="1"/>
      <c r="I220" s="22">
        <v>2E-3</v>
      </c>
      <c r="J220" s="125">
        <v>2.1190000000000002</v>
      </c>
      <c r="K220" s="1" t="s">
        <v>103</v>
      </c>
      <c r="L220" s="4" t="s">
        <v>13</v>
      </c>
      <c r="M220" s="22">
        <v>2.1110000000000002</v>
      </c>
      <c r="N220" s="22" t="s">
        <v>434</v>
      </c>
      <c r="O220" s="22"/>
      <c r="P220" s="22">
        <v>2.2309999999999999</v>
      </c>
      <c r="Q220" s="22">
        <v>2.0489999999999999</v>
      </c>
      <c r="R220" s="22">
        <v>2.2170000000000001</v>
      </c>
      <c r="S220" s="22">
        <v>2.1749999999999998</v>
      </c>
      <c r="T220" s="22">
        <v>2.1339999999999999</v>
      </c>
      <c r="U220" s="22">
        <v>2.1219999999999999</v>
      </c>
      <c r="V220" s="22">
        <v>2.1259999999999999</v>
      </c>
      <c r="W220" s="22">
        <v>2.1219999999999999</v>
      </c>
      <c r="X220" s="41"/>
      <c r="Y220" s="41"/>
      <c r="Z220" s="41"/>
      <c r="AA220" s="41"/>
      <c r="AB220" s="41"/>
      <c r="AC220" s="41"/>
      <c r="AD220" s="41"/>
    </row>
    <row r="221" spans="1:30">
      <c r="A221" s="1">
        <f t="shared" si="5"/>
        <v>219</v>
      </c>
      <c r="B221" s="31"/>
      <c r="C221" s="1">
        <v>1</v>
      </c>
      <c r="D221" s="4">
        <f t="shared" si="7"/>
        <v>12</v>
      </c>
      <c r="E221" s="1" t="s">
        <v>466</v>
      </c>
      <c r="F221" s="1">
        <v>2</v>
      </c>
      <c r="G221" s="1" t="s">
        <v>11</v>
      </c>
      <c r="H221" s="1"/>
      <c r="I221" s="119"/>
      <c r="J221" s="125">
        <v>6.4790000000000001</v>
      </c>
      <c r="K221" s="1" t="s">
        <v>103</v>
      </c>
      <c r="L221" s="4" t="s">
        <v>13</v>
      </c>
      <c r="M221" s="22">
        <v>6.4640000000000013</v>
      </c>
      <c r="N221" s="22" t="s">
        <v>434</v>
      </c>
      <c r="O221" s="22"/>
      <c r="P221" s="22">
        <v>6.7309999999999999</v>
      </c>
      <c r="Q221" s="22">
        <v>6.4349999999999996</v>
      </c>
      <c r="R221" s="22">
        <v>6.694</v>
      </c>
      <c r="S221" s="22">
        <v>6.6289999999999996</v>
      </c>
      <c r="T221" s="22">
        <v>6.5119999999999996</v>
      </c>
      <c r="U221" s="22">
        <v>6.4930000000000003</v>
      </c>
      <c r="V221" s="22">
        <v>6.4930000000000003</v>
      </c>
      <c r="W221" s="22">
        <v>6.4880000000000004</v>
      </c>
      <c r="X221" s="41"/>
      <c r="Y221" s="41"/>
      <c r="Z221" s="41"/>
      <c r="AA221" s="41"/>
      <c r="AB221" s="41"/>
      <c r="AC221" s="41"/>
      <c r="AD221" s="41"/>
    </row>
    <row r="222" spans="1:30">
      <c r="A222" s="1">
        <f t="shared" si="5"/>
        <v>220</v>
      </c>
      <c r="B222" s="31"/>
      <c r="C222" s="1">
        <v>1</v>
      </c>
      <c r="D222" s="4">
        <f t="shared" si="7"/>
        <v>12</v>
      </c>
      <c r="E222" s="1" t="s">
        <v>464</v>
      </c>
      <c r="F222" s="1">
        <v>2</v>
      </c>
      <c r="G222" s="1" t="s">
        <v>14</v>
      </c>
      <c r="H222" s="1"/>
      <c r="I222" s="22">
        <v>2.1999999999999999E-2</v>
      </c>
      <c r="J222" s="125">
        <v>7.758</v>
      </c>
      <c r="K222" s="1" t="s">
        <v>103</v>
      </c>
      <c r="L222" s="4" t="s">
        <v>13</v>
      </c>
      <c r="M222" s="22">
        <v>7.6260000000000003</v>
      </c>
      <c r="N222" s="22" t="s">
        <v>184</v>
      </c>
      <c r="O222" s="22"/>
      <c r="P222" s="22">
        <v>8.3439999999999994</v>
      </c>
      <c r="Q222" s="22">
        <v>7.8250000000000002</v>
      </c>
      <c r="R222" s="22">
        <v>8.3409999999999993</v>
      </c>
      <c r="S222" s="22">
        <v>8.3369999999999997</v>
      </c>
      <c r="T222" s="22">
        <v>8.2110000000000003</v>
      </c>
      <c r="U222" s="22">
        <v>8.19</v>
      </c>
      <c r="V222" s="22">
        <v>7.9160000000000004</v>
      </c>
      <c r="W222" s="22">
        <v>7.8959999999999999</v>
      </c>
      <c r="X222" s="41"/>
      <c r="Y222" s="41"/>
      <c r="Z222" s="41"/>
      <c r="AA222" s="41"/>
      <c r="AB222" s="41"/>
      <c r="AC222" s="41"/>
      <c r="AD222" s="41"/>
    </row>
    <row r="223" spans="1:30">
      <c r="A223" s="1">
        <f t="shared" si="5"/>
        <v>221</v>
      </c>
      <c r="B223" s="31"/>
      <c r="C223" s="1">
        <v>1</v>
      </c>
      <c r="D223" s="4">
        <f t="shared" si="7"/>
        <v>12</v>
      </c>
      <c r="E223" s="1" t="s">
        <v>465</v>
      </c>
      <c r="F223" s="1">
        <v>2</v>
      </c>
      <c r="G223" s="1" t="s">
        <v>14</v>
      </c>
      <c r="H223" s="1"/>
      <c r="I223" s="22">
        <v>3.3000000000000002E-2</v>
      </c>
      <c r="J223" s="125">
        <v>7.6890000000000001</v>
      </c>
      <c r="K223" s="1" t="s">
        <v>103</v>
      </c>
      <c r="L223" s="4" t="s">
        <v>13</v>
      </c>
      <c r="M223" s="22">
        <v>7.7090000000000005</v>
      </c>
      <c r="N223" s="22" t="s">
        <v>434</v>
      </c>
      <c r="O223" s="22"/>
      <c r="P223" s="22">
        <v>7.8559999999999999</v>
      </c>
      <c r="Q223" s="22">
        <v>7.734</v>
      </c>
      <c r="R223" s="22">
        <v>7.8079999999999998</v>
      </c>
      <c r="S223" s="22">
        <v>7.758</v>
      </c>
      <c r="T223" s="22">
        <v>7.7489999999999997</v>
      </c>
      <c r="U223" s="22">
        <v>7.7290000000000001</v>
      </c>
      <c r="V223" s="22">
        <v>7.6950000000000003</v>
      </c>
      <c r="W223" s="22">
        <v>7.6909999999999998</v>
      </c>
      <c r="X223" s="41"/>
      <c r="Y223" s="41"/>
      <c r="Z223" s="41"/>
      <c r="AA223" s="41"/>
      <c r="AB223" s="41"/>
      <c r="AC223" s="41"/>
      <c r="AD223" s="41"/>
    </row>
    <row r="224" spans="1:30">
      <c r="A224" s="1">
        <f t="shared" si="5"/>
        <v>222</v>
      </c>
      <c r="B224" s="31"/>
      <c r="C224" s="1">
        <v>1</v>
      </c>
      <c r="D224" s="4">
        <f t="shared" si="7"/>
        <v>12</v>
      </c>
      <c r="E224" s="1" t="s">
        <v>484</v>
      </c>
      <c r="F224" s="1">
        <v>2</v>
      </c>
      <c r="G224" s="1" t="s">
        <v>14</v>
      </c>
      <c r="H224" s="1"/>
      <c r="I224" s="6">
        <v>4.0000000000000001E-3</v>
      </c>
      <c r="J224" s="125">
        <v>9.1709999999999994</v>
      </c>
      <c r="K224" s="1" t="s">
        <v>103</v>
      </c>
      <c r="L224" s="4" t="s">
        <v>13</v>
      </c>
      <c r="M224" s="22">
        <v>9.2100000000000009</v>
      </c>
      <c r="N224" s="22" t="s">
        <v>434</v>
      </c>
      <c r="O224" s="22"/>
      <c r="P224" s="41"/>
      <c r="Q224" s="41"/>
      <c r="R224" s="41"/>
      <c r="S224" s="41"/>
      <c r="T224" s="41"/>
      <c r="U224" s="41"/>
      <c r="V224" s="41"/>
      <c r="W224" s="41"/>
      <c r="X224" s="41"/>
      <c r="Y224" s="41"/>
      <c r="Z224" s="41"/>
      <c r="AA224" s="41"/>
      <c r="AB224" s="41"/>
      <c r="AC224" s="41"/>
      <c r="AD224" s="41"/>
    </row>
    <row r="225" spans="1:30">
      <c r="A225" s="1">
        <f t="shared" si="5"/>
        <v>223</v>
      </c>
      <c r="B225" s="31"/>
      <c r="C225" s="1">
        <v>1</v>
      </c>
      <c r="D225" s="4">
        <f t="shared" si="7"/>
        <v>12</v>
      </c>
      <c r="E225" s="1" t="s">
        <v>466</v>
      </c>
      <c r="F225" s="1">
        <v>2</v>
      </c>
      <c r="G225" s="1" t="s">
        <v>14</v>
      </c>
      <c r="H225" s="1"/>
      <c r="I225" s="119"/>
      <c r="J225" s="125">
        <v>9.3550000000000004</v>
      </c>
      <c r="K225" s="1" t="s">
        <v>103</v>
      </c>
      <c r="L225" s="4" t="s">
        <v>13</v>
      </c>
      <c r="M225" s="22">
        <v>9.3680000000000003</v>
      </c>
      <c r="N225" s="22" t="s">
        <v>434</v>
      </c>
      <c r="O225" s="22"/>
      <c r="P225" s="22">
        <v>9.4529999999999994</v>
      </c>
      <c r="Q225" s="22">
        <v>9.4049999999999994</v>
      </c>
      <c r="R225" s="22">
        <v>9.4049999999999994</v>
      </c>
      <c r="S225" s="22">
        <v>9.36</v>
      </c>
      <c r="T225" s="22">
        <v>9.4120000000000008</v>
      </c>
      <c r="U225" s="22">
        <v>9.3930000000000007</v>
      </c>
      <c r="V225" s="22">
        <v>9.3580000000000005</v>
      </c>
      <c r="W225" s="22">
        <v>9.3539999999999992</v>
      </c>
      <c r="X225" s="41"/>
      <c r="Y225" s="41"/>
      <c r="Z225" s="41"/>
      <c r="AA225" s="41"/>
      <c r="AB225" s="41"/>
      <c r="AC225" s="41"/>
      <c r="AD225" s="41"/>
    </row>
    <row r="226" spans="1:30">
      <c r="A226" s="1">
        <f t="shared" si="5"/>
        <v>224</v>
      </c>
      <c r="B226" s="31"/>
      <c r="C226" s="1">
        <v>1</v>
      </c>
      <c r="D226" s="4">
        <f t="shared" si="7"/>
        <v>12</v>
      </c>
      <c r="E226" s="1" t="s">
        <v>489</v>
      </c>
      <c r="F226" s="1">
        <v>4</v>
      </c>
      <c r="G226" s="1" t="s">
        <v>14</v>
      </c>
      <c r="H226" s="1"/>
      <c r="I226" s="119"/>
      <c r="J226" s="125">
        <v>7.2939999999999996</v>
      </c>
      <c r="K226" s="1" t="s">
        <v>103</v>
      </c>
      <c r="L226" s="4" t="s">
        <v>13</v>
      </c>
      <c r="M226" s="22">
        <v>7.339999999999999</v>
      </c>
      <c r="N226" s="22" t="s">
        <v>434</v>
      </c>
      <c r="O226" s="22"/>
      <c r="P226" s="22">
        <v>7.42</v>
      </c>
      <c r="Q226" s="22">
        <v>7.3360000000000003</v>
      </c>
      <c r="R226" s="22">
        <v>7.42</v>
      </c>
      <c r="S226" s="22">
        <v>7.4290000000000003</v>
      </c>
      <c r="T226" s="22">
        <v>7.5350000000000001</v>
      </c>
      <c r="U226" s="22">
        <v>7.5369999999999999</v>
      </c>
      <c r="V226" s="22">
        <v>7.4450000000000003</v>
      </c>
      <c r="W226" s="22">
        <v>7.4349999999999996</v>
      </c>
      <c r="X226" s="41"/>
      <c r="Y226" s="41"/>
      <c r="Z226" s="41"/>
      <c r="AA226" s="41"/>
      <c r="AB226" s="41"/>
      <c r="AC226" s="41"/>
      <c r="AD226" s="41"/>
    </row>
    <row r="227" spans="1:30">
      <c r="A227" s="1">
        <f t="shared" si="5"/>
        <v>225</v>
      </c>
      <c r="B227" s="31"/>
      <c r="C227" s="1">
        <v>1</v>
      </c>
      <c r="D227" s="4">
        <f t="shared" si="7"/>
        <v>12</v>
      </c>
      <c r="E227" s="1" t="s">
        <v>467</v>
      </c>
      <c r="F227" s="1">
        <v>4</v>
      </c>
      <c r="G227" s="1" t="s">
        <v>14</v>
      </c>
      <c r="H227" s="1"/>
      <c r="I227" s="119"/>
      <c r="J227" s="125">
        <v>8.8940000000000001</v>
      </c>
      <c r="K227" s="1" t="s">
        <v>103</v>
      </c>
      <c r="L227" s="4" t="s">
        <v>13</v>
      </c>
      <c r="M227" s="22">
        <v>8.9339999999999975</v>
      </c>
      <c r="N227" s="22" t="s">
        <v>434</v>
      </c>
      <c r="O227" s="22"/>
      <c r="P227" s="41"/>
      <c r="Q227" s="41"/>
      <c r="R227" s="41"/>
      <c r="S227" s="41"/>
      <c r="T227" s="41"/>
      <c r="U227" s="41"/>
      <c r="V227" s="41"/>
      <c r="W227" s="41"/>
      <c r="X227" s="41"/>
      <c r="Y227" s="41"/>
      <c r="Z227" s="41"/>
      <c r="AA227" s="41"/>
      <c r="AB227" s="41"/>
      <c r="AC227" s="41"/>
      <c r="AD227" s="41"/>
    </row>
    <row r="228" spans="1:30">
      <c r="A228" s="1">
        <f t="shared" si="5"/>
        <v>226</v>
      </c>
      <c r="B228" s="31" t="s">
        <v>539</v>
      </c>
      <c r="C228" s="1">
        <v>3</v>
      </c>
      <c r="D228" s="4">
        <f t="shared" si="7"/>
        <v>35</v>
      </c>
      <c r="E228" s="1" t="s">
        <v>466</v>
      </c>
      <c r="F228" s="1">
        <v>2</v>
      </c>
      <c r="G228" s="1" t="s">
        <v>11</v>
      </c>
      <c r="H228" s="1"/>
      <c r="I228" s="119"/>
      <c r="J228" s="125">
        <v>1.9990000000000001</v>
      </c>
      <c r="K228" s="1" t="s">
        <v>554</v>
      </c>
      <c r="L228" s="4" t="s">
        <v>13</v>
      </c>
      <c r="M228" s="119"/>
      <c r="N228" s="119"/>
      <c r="O228" s="22"/>
      <c r="P228" s="22">
        <v>2.16</v>
      </c>
      <c r="Q228" s="22">
        <v>2.4159999999999999</v>
      </c>
      <c r="R228" s="22">
        <v>2.2919999999999998</v>
      </c>
      <c r="S228" s="22">
        <v>2.2480000000000002</v>
      </c>
      <c r="T228" s="22">
        <v>2.4670000000000001</v>
      </c>
      <c r="U228" s="22">
        <v>2.4649999999999999</v>
      </c>
      <c r="V228" s="22">
        <v>2.0619999999999998</v>
      </c>
      <c r="W228" s="22">
        <v>2.0470000000000002</v>
      </c>
      <c r="X228" s="41"/>
      <c r="Y228" s="41"/>
      <c r="Z228" s="41"/>
      <c r="AA228" s="41"/>
      <c r="AB228" s="41"/>
      <c r="AC228" s="41"/>
      <c r="AD228" s="41"/>
    </row>
    <row r="229" spans="1:30">
      <c r="A229" s="1">
        <f t="shared" si="5"/>
        <v>227</v>
      </c>
      <c r="B229" s="31"/>
      <c r="C229" s="1">
        <v>3</v>
      </c>
      <c r="D229" s="4">
        <f t="shared" si="7"/>
        <v>35</v>
      </c>
      <c r="E229" s="1" t="s">
        <v>484</v>
      </c>
      <c r="F229" s="1">
        <v>2</v>
      </c>
      <c r="G229" s="1" t="s">
        <v>11</v>
      </c>
      <c r="H229" s="1" t="s">
        <v>320</v>
      </c>
      <c r="I229" s="22">
        <v>0.01</v>
      </c>
      <c r="J229" s="50">
        <v>2.3450000000000002</v>
      </c>
      <c r="K229" s="1" t="s">
        <v>554</v>
      </c>
      <c r="L229" s="10" t="s">
        <v>111</v>
      </c>
      <c r="M229" s="119"/>
      <c r="N229" s="119"/>
      <c r="O229" s="22"/>
      <c r="P229" s="22">
        <v>2.9020000000000001</v>
      </c>
      <c r="Q229" s="22">
        <v>2.1019999999999999</v>
      </c>
      <c r="R229" s="22">
        <v>3.129</v>
      </c>
      <c r="S229" s="22">
        <v>3.12</v>
      </c>
      <c r="T229" s="22">
        <v>2.7050000000000001</v>
      </c>
      <c r="U229" s="22">
        <v>2.7109999999999999</v>
      </c>
      <c r="V229" s="22">
        <v>2.4670000000000001</v>
      </c>
      <c r="W229" s="22">
        <v>2.4569999999999999</v>
      </c>
      <c r="X229" s="41"/>
      <c r="Y229" s="41"/>
      <c r="Z229" s="41"/>
      <c r="AA229" s="41"/>
      <c r="AB229" s="41"/>
      <c r="AC229" s="41"/>
      <c r="AD229" s="41"/>
    </row>
    <row r="230" spans="1:30">
      <c r="A230" s="1">
        <f t="shared" si="5"/>
        <v>228</v>
      </c>
      <c r="B230" s="31"/>
      <c r="C230" s="1">
        <v>3</v>
      </c>
      <c r="D230" s="4">
        <f t="shared" si="7"/>
        <v>35</v>
      </c>
      <c r="E230" s="1" t="s">
        <v>465</v>
      </c>
      <c r="F230" s="1">
        <v>2</v>
      </c>
      <c r="G230" s="1" t="s">
        <v>11</v>
      </c>
      <c r="H230" s="1"/>
      <c r="I230" s="22">
        <v>0</v>
      </c>
      <c r="J230" s="125">
        <v>2.508</v>
      </c>
      <c r="K230" s="1" t="s">
        <v>554</v>
      </c>
      <c r="L230" s="4" t="s">
        <v>13</v>
      </c>
      <c r="M230" s="119"/>
      <c r="N230" s="119"/>
      <c r="O230" s="22"/>
      <c r="P230" s="22">
        <v>2.6909999999999998</v>
      </c>
      <c r="Q230" s="22">
        <v>2.7829999999999999</v>
      </c>
      <c r="R230" s="22">
        <v>2.8149999999999999</v>
      </c>
      <c r="S230" s="22">
        <v>2.7709999999999999</v>
      </c>
      <c r="T230" s="22">
        <v>2.9409999999999998</v>
      </c>
      <c r="U230" s="22">
        <v>2.931</v>
      </c>
      <c r="V230" s="22">
        <v>2.5609999999999999</v>
      </c>
      <c r="W230" s="22">
        <v>2.5499999999999998</v>
      </c>
      <c r="X230" s="41"/>
      <c r="Y230" s="41"/>
      <c r="Z230" s="41"/>
      <c r="AA230" s="41"/>
      <c r="AB230" s="41"/>
      <c r="AC230" s="41"/>
      <c r="AD230" s="41"/>
    </row>
    <row r="231" spans="1:30">
      <c r="A231" s="1">
        <f t="shared" si="5"/>
        <v>229</v>
      </c>
      <c r="B231" s="31"/>
      <c r="C231" s="1">
        <v>3</v>
      </c>
      <c r="D231" s="4">
        <f t="shared" si="7"/>
        <v>35</v>
      </c>
      <c r="E231" s="1" t="s">
        <v>466</v>
      </c>
      <c r="F231" s="1">
        <v>2</v>
      </c>
      <c r="G231" s="1" t="s">
        <v>11</v>
      </c>
      <c r="H231" s="1" t="s">
        <v>320</v>
      </c>
      <c r="I231" s="119"/>
      <c r="J231" s="130">
        <v>4.7069999999999999</v>
      </c>
      <c r="K231" s="1" t="s">
        <v>554</v>
      </c>
      <c r="L231" s="10" t="s">
        <v>111</v>
      </c>
      <c r="M231" s="119"/>
      <c r="N231" s="119"/>
      <c r="O231" s="22"/>
      <c r="P231" s="22">
        <v>5.3410000000000002</v>
      </c>
      <c r="Q231" s="22">
        <v>5.3769999999999998</v>
      </c>
      <c r="R231" s="22">
        <v>5.4909999999999997</v>
      </c>
      <c r="S231" s="22">
        <v>5.4880000000000004</v>
      </c>
      <c r="T231" s="22">
        <v>5.9370000000000003</v>
      </c>
      <c r="U231" s="22">
        <v>5.9370000000000003</v>
      </c>
      <c r="V231" s="22">
        <v>4.9989999999999997</v>
      </c>
      <c r="W231" s="22">
        <v>4.9489999999999998</v>
      </c>
      <c r="X231" s="41"/>
      <c r="Y231" s="41"/>
      <c r="Z231" s="41"/>
      <c r="AA231" s="41"/>
      <c r="AB231" s="41"/>
      <c r="AC231" s="41"/>
      <c r="AD231" s="41"/>
    </row>
    <row r="232" spans="1:30">
      <c r="A232" s="1">
        <f t="shared" si="5"/>
        <v>230</v>
      </c>
      <c r="B232" s="31"/>
      <c r="C232" s="1">
        <v>3</v>
      </c>
      <c r="D232" s="4">
        <f t="shared" si="7"/>
        <v>35</v>
      </c>
      <c r="E232" s="1" t="s">
        <v>464</v>
      </c>
      <c r="F232" s="1">
        <v>2</v>
      </c>
      <c r="G232" s="1" t="s">
        <v>11</v>
      </c>
      <c r="H232" s="1"/>
      <c r="I232" s="22">
        <v>7.6999999999999999E-2</v>
      </c>
      <c r="J232" s="125">
        <v>5.2930000000000001</v>
      </c>
      <c r="K232" s="1" t="s">
        <v>554</v>
      </c>
      <c r="L232" s="4" t="s">
        <v>13</v>
      </c>
      <c r="M232" s="119"/>
      <c r="N232" s="119"/>
      <c r="O232" s="22"/>
      <c r="P232" s="22">
        <v>5.6909999999999998</v>
      </c>
      <c r="Q232" s="22">
        <v>5.2530000000000001</v>
      </c>
      <c r="R232" s="22">
        <v>5.81</v>
      </c>
      <c r="S232" s="22">
        <v>5.7629999999999999</v>
      </c>
      <c r="T232" s="22">
        <v>5.585</v>
      </c>
      <c r="U232" s="22">
        <v>5.556</v>
      </c>
      <c r="V232" s="22">
        <v>5.3769999999999998</v>
      </c>
      <c r="W232" s="22">
        <v>5.3609999999999998</v>
      </c>
      <c r="X232" s="41"/>
      <c r="Y232" s="41"/>
      <c r="Z232" s="41"/>
      <c r="AA232" s="41"/>
      <c r="AB232" s="41"/>
      <c r="AC232" s="41"/>
      <c r="AD232" s="41"/>
    </row>
    <row r="233" spans="1:30">
      <c r="A233" s="1">
        <f t="shared" si="5"/>
        <v>231</v>
      </c>
      <c r="B233" s="31"/>
      <c r="C233" s="1">
        <v>3</v>
      </c>
      <c r="D233" s="4">
        <f t="shared" si="7"/>
        <v>35</v>
      </c>
      <c r="E233" s="1" t="s">
        <v>465</v>
      </c>
      <c r="F233" s="1">
        <v>2</v>
      </c>
      <c r="G233" s="1" t="s">
        <v>11</v>
      </c>
      <c r="H233" s="1" t="s">
        <v>320</v>
      </c>
      <c r="I233" s="22">
        <v>1E-3</v>
      </c>
      <c r="J233" s="130">
        <v>5.2469999999999999</v>
      </c>
      <c r="K233" s="1" t="s">
        <v>554</v>
      </c>
      <c r="L233" s="10" t="s">
        <v>111</v>
      </c>
      <c r="M233" s="119"/>
      <c r="N233" s="119"/>
      <c r="O233" s="22"/>
      <c r="P233" s="22">
        <v>5.89</v>
      </c>
      <c r="Q233" s="22">
        <v>5.66</v>
      </c>
      <c r="R233" s="22">
        <v>6.0410000000000004</v>
      </c>
      <c r="S233" s="22">
        <v>6.0469999999999997</v>
      </c>
      <c r="T233" s="22">
        <v>6.3810000000000002</v>
      </c>
      <c r="U233" s="22">
        <v>6.3849999999999998</v>
      </c>
      <c r="V233" s="22">
        <v>5.5149999999999997</v>
      </c>
      <c r="W233" s="22">
        <v>5.476</v>
      </c>
      <c r="X233" s="41"/>
      <c r="Y233" s="41"/>
      <c r="Z233" s="41"/>
      <c r="AA233" s="41"/>
      <c r="AB233" s="41"/>
      <c r="AC233" s="41"/>
      <c r="AD233" s="41"/>
    </row>
    <row r="234" spans="1:30">
      <c r="A234" s="1">
        <f t="shared" si="5"/>
        <v>232</v>
      </c>
      <c r="B234" s="31"/>
      <c r="C234" s="1">
        <v>3</v>
      </c>
      <c r="D234" s="4">
        <f t="shared" si="7"/>
        <v>35</v>
      </c>
      <c r="E234" s="1" t="s">
        <v>484</v>
      </c>
      <c r="F234" s="1">
        <v>2</v>
      </c>
      <c r="G234" s="1" t="s">
        <v>11</v>
      </c>
      <c r="H234" s="1"/>
      <c r="I234" s="22">
        <v>0.18099999999999999</v>
      </c>
      <c r="J234" s="125">
        <v>6.6929999999999996</v>
      </c>
      <c r="K234" s="1" t="s">
        <v>554</v>
      </c>
      <c r="L234" s="4" t="s">
        <v>13</v>
      </c>
      <c r="M234" s="119"/>
      <c r="N234" s="119"/>
      <c r="O234" s="22"/>
      <c r="P234" s="22">
        <v>6.681</v>
      </c>
      <c r="Q234" s="22">
        <v>6.38</v>
      </c>
      <c r="R234" s="22">
        <v>7.0949999999999998</v>
      </c>
      <c r="S234" s="22">
        <v>7.1059999999999999</v>
      </c>
      <c r="T234" s="22">
        <v>6.9809999999999999</v>
      </c>
      <c r="U234" s="22">
        <v>6.992</v>
      </c>
      <c r="V234" s="22">
        <v>6.7830000000000004</v>
      </c>
      <c r="W234" s="22">
        <v>6.7789999999999999</v>
      </c>
      <c r="X234" s="41"/>
      <c r="Y234" s="41"/>
      <c r="Z234" s="41"/>
      <c r="AA234" s="41"/>
      <c r="AB234" s="41"/>
      <c r="AC234" s="41"/>
      <c r="AD234" s="41"/>
    </row>
    <row r="235" spans="1:30">
      <c r="A235" s="1">
        <f t="shared" si="5"/>
        <v>233</v>
      </c>
      <c r="B235" s="31"/>
      <c r="C235" s="1">
        <v>3</v>
      </c>
      <c r="D235" s="4">
        <f t="shared" si="7"/>
        <v>35</v>
      </c>
      <c r="E235" s="1" t="s">
        <v>466</v>
      </c>
      <c r="F235" s="1">
        <v>2</v>
      </c>
      <c r="G235" s="1" t="s">
        <v>11</v>
      </c>
      <c r="H235" s="1" t="s">
        <v>320</v>
      </c>
      <c r="I235" s="119"/>
      <c r="J235" s="130">
        <v>6.5090000000000003</v>
      </c>
      <c r="K235" s="1" t="s">
        <v>554</v>
      </c>
      <c r="L235" s="10" t="s">
        <v>111</v>
      </c>
      <c r="M235" s="119"/>
      <c r="N235" s="119"/>
      <c r="O235" s="22"/>
      <c r="P235" s="22">
        <v>7.1959999999999997</v>
      </c>
      <c r="Q235" s="22">
        <v>6.69</v>
      </c>
      <c r="R235" s="22">
        <v>7.2069999999999999</v>
      </c>
      <c r="S235" s="22">
        <v>7.1310000000000002</v>
      </c>
      <c r="T235" s="22">
        <v>7.1319999999999997</v>
      </c>
      <c r="U235" s="22">
        <v>7.09</v>
      </c>
      <c r="V235" s="22">
        <v>6.7439999999999998</v>
      </c>
      <c r="W235" s="22">
        <v>6.7089999999999996</v>
      </c>
      <c r="X235" s="41"/>
      <c r="Y235" s="41"/>
      <c r="Z235" s="41"/>
      <c r="AA235" s="41"/>
      <c r="AB235" s="41"/>
      <c r="AC235" s="41"/>
      <c r="AD235" s="41"/>
    </row>
    <row r="236" spans="1:30">
      <c r="A236" s="1">
        <f t="shared" si="5"/>
        <v>234</v>
      </c>
      <c r="B236" s="31"/>
      <c r="C236" s="1">
        <v>3</v>
      </c>
      <c r="D236" s="4">
        <f t="shared" si="7"/>
        <v>35</v>
      </c>
      <c r="E236" s="1" t="s">
        <v>465</v>
      </c>
      <c r="F236" s="1">
        <v>2</v>
      </c>
      <c r="G236" s="1" t="s">
        <v>14</v>
      </c>
      <c r="I236" s="22">
        <v>1.7000000000000001E-2</v>
      </c>
      <c r="J236" s="130">
        <v>7.0819999999999999</v>
      </c>
      <c r="K236" s="1" t="s">
        <v>554</v>
      </c>
      <c r="L236" s="10" t="s">
        <v>111</v>
      </c>
      <c r="M236" s="119"/>
      <c r="N236" s="119"/>
      <c r="O236" s="22"/>
      <c r="P236" s="22">
        <v>7.476</v>
      </c>
      <c r="Q236" s="22">
        <v>7.109</v>
      </c>
      <c r="R236" s="22">
        <v>7.2939999999999996</v>
      </c>
      <c r="S236" s="22">
        <v>7.2560000000000002</v>
      </c>
      <c r="T236" s="22">
        <v>7.383</v>
      </c>
      <c r="U236" s="22">
        <v>7.36</v>
      </c>
      <c r="V236" s="22">
        <v>7.0990000000000002</v>
      </c>
      <c r="W236" s="22">
        <v>7.09</v>
      </c>
      <c r="X236" s="41"/>
      <c r="Y236" s="41"/>
      <c r="Z236" s="41"/>
      <c r="AA236" s="41"/>
      <c r="AB236" s="41"/>
      <c r="AC236" s="41"/>
      <c r="AD236" s="41"/>
    </row>
    <row r="237" spans="1:30">
      <c r="A237" s="1">
        <f t="shared" si="5"/>
        <v>235</v>
      </c>
      <c r="B237" s="31"/>
      <c r="C237" s="1">
        <v>3</v>
      </c>
      <c r="D237" s="4">
        <f t="shared" si="7"/>
        <v>35</v>
      </c>
      <c r="E237" s="1" t="s">
        <v>467</v>
      </c>
      <c r="F237" s="1">
        <v>4</v>
      </c>
      <c r="G237" s="1" t="s">
        <v>11</v>
      </c>
      <c r="H237" s="1"/>
      <c r="I237" s="119"/>
      <c r="J237" s="50">
        <v>4.34</v>
      </c>
      <c r="K237" s="1" t="s">
        <v>554</v>
      </c>
      <c r="L237" s="10" t="s">
        <v>111</v>
      </c>
      <c r="M237" s="119"/>
      <c r="N237" s="119"/>
      <c r="O237" s="22"/>
      <c r="P237" s="22">
        <v>5.3319999999999999</v>
      </c>
      <c r="Q237" s="22">
        <v>3.8660000000000001</v>
      </c>
      <c r="R237" s="22">
        <v>5.657</v>
      </c>
      <c r="S237" s="22">
        <v>5.6609999999999996</v>
      </c>
      <c r="T237" s="22">
        <v>5.28</v>
      </c>
      <c r="U237" s="22">
        <v>5.2679999999999998</v>
      </c>
      <c r="V237" s="22">
        <v>4.5990000000000002</v>
      </c>
      <c r="W237" s="22">
        <v>4.5709999999999997</v>
      </c>
      <c r="X237" s="41"/>
      <c r="Y237" s="41"/>
      <c r="Z237" s="41"/>
      <c r="AA237" s="41"/>
      <c r="AB237" s="41"/>
      <c r="AC237" s="41"/>
      <c r="AD237" s="41"/>
    </row>
    <row r="238" spans="1:30">
      <c r="A238" s="1">
        <f t="shared" si="5"/>
        <v>236</v>
      </c>
      <c r="B238" s="31"/>
      <c r="C238" s="1">
        <v>3</v>
      </c>
      <c r="D238" s="4">
        <f t="shared" si="7"/>
        <v>35</v>
      </c>
      <c r="E238" s="1" t="s">
        <v>496</v>
      </c>
      <c r="F238" s="1">
        <v>4</v>
      </c>
      <c r="G238" s="1" t="s">
        <v>11</v>
      </c>
      <c r="H238" s="1"/>
      <c r="I238" s="119"/>
      <c r="J238" s="125">
        <v>4.4489999999999998</v>
      </c>
      <c r="K238" s="1" t="s">
        <v>554</v>
      </c>
      <c r="L238" s="4" t="s">
        <v>13</v>
      </c>
      <c r="M238" s="119"/>
      <c r="N238" s="119"/>
      <c r="O238" s="22"/>
      <c r="P238" s="22">
        <v>4.2300000000000004</v>
      </c>
      <c r="Q238" s="22">
        <v>4.6820000000000004</v>
      </c>
      <c r="R238" s="22">
        <v>4.5419999999999998</v>
      </c>
      <c r="S238" s="22">
        <v>4.5069999999999997</v>
      </c>
      <c r="T238" s="22">
        <v>4.7119999999999997</v>
      </c>
      <c r="U238" s="22">
        <v>4.6609999999999996</v>
      </c>
      <c r="V238" s="22">
        <v>4.5679999999999996</v>
      </c>
      <c r="W238" s="22">
        <v>4.5579999999999998</v>
      </c>
      <c r="X238" s="41"/>
      <c r="Y238" s="41"/>
      <c r="Z238" s="41"/>
      <c r="AA238" s="41"/>
      <c r="AB238" s="41"/>
      <c r="AC238" s="41"/>
      <c r="AD238" s="41"/>
    </row>
    <row r="239" spans="1:30">
      <c r="A239" s="1">
        <f t="shared" si="5"/>
        <v>237</v>
      </c>
      <c r="B239" s="31"/>
      <c r="C239" s="1">
        <v>3</v>
      </c>
      <c r="D239" s="4">
        <f t="shared" si="7"/>
        <v>35</v>
      </c>
      <c r="E239" s="1" t="s">
        <v>522</v>
      </c>
      <c r="F239" s="1">
        <v>4</v>
      </c>
      <c r="G239" s="1" t="s">
        <v>11</v>
      </c>
      <c r="H239" s="1"/>
      <c r="I239" s="119"/>
      <c r="J239" s="125">
        <v>4.9480000000000004</v>
      </c>
      <c r="K239" s="1" t="s">
        <v>554</v>
      </c>
      <c r="L239" s="4" t="s">
        <v>13</v>
      </c>
      <c r="M239" s="119"/>
      <c r="N239" s="119"/>
      <c r="O239" s="22"/>
      <c r="P239" s="22">
        <v>4.8979999999999997</v>
      </c>
      <c r="Q239" s="22">
        <v>5.1379999999999999</v>
      </c>
      <c r="R239" s="22">
        <v>5.2</v>
      </c>
      <c r="S239" s="22">
        <v>5.173</v>
      </c>
      <c r="T239" s="22">
        <v>5.3</v>
      </c>
      <c r="U239" s="22">
        <v>5.2590000000000003</v>
      </c>
      <c r="V239" s="22">
        <v>5.0999999999999996</v>
      </c>
      <c r="W239" s="22">
        <v>5.0890000000000004</v>
      </c>
      <c r="X239" s="41"/>
      <c r="Y239" s="41"/>
      <c r="Z239" s="41"/>
      <c r="AA239" s="41"/>
      <c r="AB239" s="41"/>
      <c r="AC239" s="41"/>
      <c r="AD239" s="41"/>
    </row>
    <row r="240" spans="1:30">
      <c r="A240" s="1">
        <f t="shared" si="5"/>
        <v>238</v>
      </c>
      <c r="B240" s="31" t="s">
        <v>500</v>
      </c>
      <c r="C240" s="1">
        <v>2</v>
      </c>
      <c r="D240" s="4">
        <f t="shared" si="7"/>
        <v>12</v>
      </c>
      <c r="E240" s="1" t="s">
        <v>479</v>
      </c>
      <c r="F240" s="1">
        <v>2</v>
      </c>
      <c r="G240" s="1" t="s">
        <v>14</v>
      </c>
      <c r="H240" s="1"/>
      <c r="I240" s="1">
        <v>1E-3</v>
      </c>
      <c r="J240" s="37">
        <v>6.1150000000000002</v>
      </c>
      <c r="K240" s="1" t="s">
        <v>204</v>
      </c>
      <c r="L240" s="4" t="s">
        <v>13</v>
      </c>
      <c r="M240" s="1">
        <v>6.1040000000000001</v>
      </c>
      <c r="N240" s="1" t="s">
        <v>184</v>
      </c>
      <c r="O240" s="1"/>
      <c r="P240" s="6">
        <v>6.1420000000000003</v>
      </c>
      <c r="Q240" s="6">
        <v>6.1980000000000004</v>
      </c>
      <c r="R240" s="6">
        <v>5.9530000000000003</v>
      </c>
      <c r="S240" s="6">
        <v>5.9210000000000003</v>
      </c>
      <c r="T240" s="6">
        <v>6.23</v>
      </c>
      <c r="U240" s="6">
        <v>6.2110000000000003</v>
      </c>
      <c r="V240" s="6">
        <v>6.133</v>
      </c>
      <c r="W240" s="6">
        <v>6.12</v>
      </c>
      <c r="X240" s="121">
        <v>5.2869999999999999</v>
      </c>
      <c r="Y240" s="121">
        <v>6.0579999999999998</v>
      </c>
      <c r="Z240" s="121">
        <v>6.0570000000000004</v>
      </c>
      <c r="AA240" s="121">
        <v>6.0570000000000004</v>
      </c>
      <c r="AB240" s="121">
        <v>6.0830000000000002</v>
      </c>
      <c r="AC240" s="121">
        <v>6.0650000000000004</v>
      </c>
      <c r="AD240" s="122">
        <v>6.0519999999999996</v>
      </c>
    </row>
    <row r="241" spans="1:30">
      <c r="A241" s="1">
        <f t="shared" si="5"/>
        <v>239</v>
      </c>
      <c r="B241" s="31"/>
      <c r="C241" s="1">
        <v>2</v>
      </c>
      <c r="D241" s="4">
        <f t="shared" si="7"/>
        <v>12</v>
      </c>
      <c r="E241" s="1" t="s">
        <v>478</v>
      </c>
      <c r="F241" s="1">
        <v>2</v>
      </c>
      <c r="G241" s="1" t="s">
        <v>14</v>
      </c>
      <c r="H241" s="1"/>
      <c r="I241" s="119"/>
      <c r="J241" s="37">
        <v>7.22</v>
      </c>
      <c r="K241" s="1" t="s">
        <v>204</v>
      </c>
      <c r="L241" s="4" t="s">
        <v>13</v>
      </c>
      <c r="M241" s="1">
        <v>7.1440000000000001</v>
      </c>
      <c r="N241" s="1" t="s">
        <v>184</v>
      </c>
      <c r="O241" s="1"/>
      <c r="P241" s="22">
        <v>7.2129999999999992</v>
      </c>
      <c r="Q241" s="41"/>
      <c r="R241" s="22">
        <v>7.0950000000000006</v>
      </c>
      <c r="S241" s="22">
        <v>7.0735000000000001</v>
      </c>
      <c r="T241" s="22">
        <v>7.4610000000000003</v>
      </c>
      <c r="U241" s="22">
        <v>7.444</v>
      </c>
      <c r="V241" s="22">
        <v>7.3</v>
      </c>
      <c r="W241" s="22">
        <v>7.2835000000000001</v>
      </c>
      <c r="X241" s="121">
        <v>5.92</v>
      </c>
      <c r="Y241" s="121">
        <v>7.18</v>
      </c>
      <c r="Z241" s="121">
        <v>7.085</v>
      </c>
      <c r="AA241" s="121">
        <v>7.1390000000000002</v>
      </c>
      <c r="AB241" s="121">
        <v>7.2880000000000003</v>
      </c>
      <c r="AC241" s="121">
        <v>7.1689999999999996</v>
      </c>
      <c r="AD241" s="122">
        <v>7.13</v>
      </c>
    </row>
    <row r="242" spans="1:30">
      <c r="A242" s="1">
        <f t="shared" si="5"/>
        <v>240</v>
      </c>
      <c r="B242" s="31"/>
      <c r="C242" s="1">
        <v>2</v>
      </c>
      <c r="D242" s="4">
        <f t="shared" si="7"/>
        <v>12</v>
      </c>
      <c r="E242" s="1" t="s">
        <v>479</v>
      </c>
      <c r="F242" s="1">
        <v>2</v>
      </c>
      <c r="G242" s="1" t="s">
        <v>14</v>
      </c>
      <c r="H242" s="1"/>
      <c r="I242" s="1">
        <v>2.1000000000000001E-2</v>
      </c>
      <c r="J242" s="37">
        <v>7.2839999999999998</v>
      </c>
      <c r="K242" s="1" t="s">
        <v>204</v>
      </c>
      <c r="L242" s="4" t="s">
        <v>13</v>
      </c>
      <c r="M242" s="1">
        <v>7.2039999999999997</v>
      </c>
      <c r="N242" s="1" t="s">
        <v>184</v>
      </c>
      <c r="O242" s="1"/>
      <c r="P242" s="6">
        <v>7.1890000000000001</v>
      </c>
      <c r="Q242" s="6">
        <v>7.3339999999999996</v>
      </c>
      <c r="R242" s="6">
        <v>7.0309999999999997</v>
      </c>
      <c r="S242" s="6">
        <v>7.0039999999999996</v>
      </c>
      <c r="T242" s="6">
        <v>7.399</v>
      </c>
      <c r="U242" s="6">
        <v>7.38</v>
      </c>
      <c r="V242" s="6">
        <v>7.2960000000000003</v>
      </c>
      <c r="W242" s="6">
        <v>7.2839999999999998</v>
      </c>
      <c r="X242" s="121">
        <v>5.9210000000000003</v>
      </c>
      <c r="Y242" s="121">
        <v>7.2450000000000001</v>
      </c>
      <c r="Z242" s="121">
        <v>7.13</v>
      </c>
      <c r="AA242" s="121">
        <v>7.1529999999999996</v>
      </c>
      <c r="AB242" s="121">
        <v>7.2930000000000001</v>
      </c>
      <c r="AC242" s="121">
        <v>7.1760000000000002</v>
      </c>
      <c r="AD242" s="122">
        <v>7.1459999999999999</v>
      </c>
    </row>
    <row r="243" spans="1:30">
      <c r="A243" s="1">
        <f t="shared" si="5"/>
        <v>241</v>
      </c>
      <c r="B243" s="31"/>
      <c r="C243" s="1">
        <v>2</v>
      </c>
      <c r="D243" s="4">
        <f t="shared" si="7"/>
        <v>12</v>
      </c>
      <c r="E243" s="1" t="s">
        <v>478</v>
      </c>
      <c r="F243" s="1">
        <v>2</v>
      </c>
      <c r="G243" s="1" t="s">
        <v>11</v>
      </c>
      <c r="H243" s="1" t="s">
        <v>320</v>
      </c>
      <c r="I243" s="119"/>
      <c r="J243" s="37">
        <v>7.7930000000000001</v>
      </c>
      <c r="K243" s="1" t="s">
        <v>204</v>
      </c>
      <c r="L243" s="4" t="s">
        <v>13</v>
      </c>
      <c r="M243" s="1">
        <v>7.7759999999999998</v>
      </c>
      <c r="N243" s="1" t="s">
        <v>184</v>
      </c>
      <c r="O243" s="1"/>
      <c r="P243" s="22">
        <v>8.8810000000000002</v>
      </c>
      <c r="Q243" s="41"/>
      <c r="R243" s="22">
        <v>9.0190000000000001</v>
      </c>
      <c r="S243" s="22">
        <v>8.9795000000000016</v>
      </c>
      <c r="T243" s="22">
        <v>8.4314999999999998</v>
      </c>
      <c r="U243" s="22">
        <v>8.4134999999999991</v>
      </c>
      <c r="V243" s="22">
        <v>8.0579999999999998</v>
      </c>
      <c r="W243" s="22">
        <v>8.0399999999999991</v>
      </c>
      <c r="X243" s="121">
        <v>7.944</v>
      </c>
      <c r="Y243" s="121">
        <v>7.6040000000000001</v>
      </c>
      <c r="Z243" s="121">
        <v>7.7519999999999998</v>
      </c>
      <c r="AA243" s="121">
        <v>7.8380000000000001</v>
      </c>
      <c r="AB243" s="121">
        <v>7.8109999999999999</v>
      </c>
      <c r="AC243" s="121">
        <v>7.7050000000000001</v>
      </c>
      <c r="AD243" s="122">
        <v>7.7439999999999998</v>
      </c>
    </row>
    <row r="244" spans="1:30">
      <c r="A244" s="1">
        <f t="shared" si="5"/>
        <v>242</v>
      </c>
      <c r="B244" s="31"/>
      <c r="C244" s="1">
        <v>2</v>
      </c>
      <c r="D244" s="4">
        <f t="shared" si="7"/>
        <v>12</v>
      </c>
      <c r="E244" s="1" t="s">
        <v>487</v>
      </c>
      <c r="F244" s="1">
        <v>4</v>
      </c>
      <c r="G244" s="1" t="s">
        <v>11</v>
      </c>
      <c r="H244" s="1"/>
      <c r="I244" s="119"/>
      <c r="J244" s="37">
        <v>6.3630000000000004</v>
      </c>
      <c r="K244" s="1" t="s">
        <v>204</v>
      </c>
      <c r="L244" s="4" t="s">
        <v>13</v>
      </c>
      <c r="M244" s="1">
        <v>6.8070000000000004</v>
      </c>
      <c r="N244" s="1" t="s">
        <v>184</v>
      </c>
      <c r="O244" s="1"/>
      <c r="P244" s="6">
        <v>7.1390000000000002</v>
      </c>
      <c r="Q244" s="6">
        <v>5.7130000000000001</v>
      </c>
      <c r="R244" s="6">
        <v>7.1829999999999998</v>
      </c>
      <c r="S244" s="6">
        <v>7.1929999999999996</v>
      </c>
      <c r="T244" s="6">
        <v>6.8940000000000001</v>
      </c>
      <c r="U244" s="6">
        <v>6.875</v>
      </c>
      <c r="V244" s="6">
        <v>6.6289999999999996</v>
      </c>
      <c r="W244" s="6">
        <v>6.61</v>
      </c>
      <c r="X244" s="121">
        <v>6.7249999999999996</v>
      </c>
      <c r="Y244" s="121">
        <v>6.093</v>
      </c>
      <c r="Z244" s="121">
        <v>6.28</v>
      </c>
      <c r="AA244" s="121">
        <v>6.4169999999999998</v>
      </c>
      <c r="AB244" s="121">
        <v>6.3680000000000003</v>
      </c>
      <c r="AC244" s="121">
        <v>6.3760000000000003</v>
      </c>
      <c r="AD244" s="122">
        <v>6.3959999999999999</v>
      </c>
    </row>
    <row r="245" spans="1:30">
      <c r="A245" s="1">
        <f t="shared" si="5"/>
        <v>243</v>
      </c>
      <c r="B245" s="31"/>
      <c r="C245" s="1">
        <v>2</v>
      </c>
      <c r="D245" s="4">
        <f t="shared" si="7"/>
        <v>12</v>
      </c>
      <c r="E245" s="1" t="s">
        <v>483</v>
      </c>
      <c r="F245" s="1">
        <v>4</v>
      </c>
      <c r="G245" s="1" t="s">
        <v>11</v>
      </c>
      <c r="H245" s="1"/>
      <c r="I245" s="119"/>
      <c r="J245" s="37">
        <v>6.7850000000000001</v>
      </c>
      <c r="K245" s="1" t="s">
        <v>204</v>
      </c>
      <c r="L245" s="4" t="s">
        <v>13</v>
      </c>
      <c r="M245" s="1">
        <v>6.8109999999999999</v>
      </c>
      <c r="N245" s="1" t="s">
        <v>184</v>
      </c>
      <c r="O245" s="1"/>
      <c r="P245" s="22">
        <v>7.5490000000000004</v>
      </c>
      <c r="Q245" s="41"/>
      <c r="R245" s="22">
        <v>7.7095000000000002</v>
      </c>
      <c r="S245" s="22">
        <v>7.7385000000000002</v>
      </c>
      <c r="T245" s="22">
        <v>7.133</v>
      </c>
      <c r="U245" s="22">
        <v>7.1174999999999997</v>
      </c>
      <c r="V245" s="22">
        <v>6.9984999999999999</v>
      </c>
      <c r="W245" s="22">
        <v>6.9949999999999992</v>
      </c>
      <c r="X245" s="121">
        <v>6.8019999999999996</v>
      </c>
      <c r="Y245" s="121">
        <v>6.6669999999999998</v>
      </c>
      <c r="Z245" s="121">
        <v>6.7729999999999997</v>
      </c>
      <c r="AA245" s="121">
        <v>6.8129999999999997</v>
      </c>
      <c r="AB245" s="121">
        <v>6.8120000000000003</v>
      </c>
      <c r="AC245" s="121">
        <v>6.7450000000000001</v>
      </c>
      <c r="AD245" s="122">
        <v>6.7690000000000001</v>
      </c>
    </row>
    <row r="246" spans="1:30">
      <c r="A246" s="1">
        <f t="shared" si="5"/>
        <v>244</v>
      </c>
      <c r="B246" s="31" t="s">
        <v>501</v>
      </c>
      <c r="C246" s="1">
        <v>3</v>
      </c>
      <c r="D246" s="4">
        <f t="shared" si="7"/>
        <v>35</v>
      </c>
      <c r="E246" s="1" t="s">
        <v>464</v>
      </c>
      <c r="F246" s="1">
        <v>2</v>
      </c>
      <c r="G246" s="1" t="s">
        <v>11</v>
      </c>
      <c r="H246" s="1"/>
      <c r="I246" s="22">
        <v>0</v>
      </c>
      <c r="J246" s="37">
        <v>2.8690000000000007</v>
      </c>
      <c r="K246" s="1" t="s">
        <v>117</v>
      </c>
      <c r="L246" s="4" t="s">
        <v>13</v>
      </c>
      <c r="M246" s="33"/>
      <c r="N246" s="33"/>
      <c r="O246" s="1"/>
      <c r="P246" s="6">
        <v>2.9079999999999999</v>
      </c>
      <c r="Q246" s="6">
        <v>2.6120000000000001</v>
      </c>
      <c r="R246" s="6">
        <v>3.081</v>
      </c>
      <c r="S246" s="6">
        <v>3.0819999999999999</v>
      </c>
      <c r="T246" s="6">
        <v>2.94</v>
      </c>
      <c r="U246" s="6">
        <v>2.9260000000000002</v>
      </c>
      <c r="V246" s="6">
        <v>2.9049999999999998</v>
      </c>
      <c r="W246" s="6">
        <v>2.903</v>
      </c>
      <c r="X246" s="121">
        <v>2.9329999999999998</v>
      </c>
      <c r="Y246" s="121">
        <v>2.8210000000000002</v>
      </c>
      <c r="Z246" s="121">
        <v>2.8380000000000001</v>
      </c>
      <c r="AA246" s="121">
        <v>2.84</v>
      </c>
      <c r="AB246" s="121">
        <v>2.8610000000000002</v>
      </c>
      <c r="AC246" s="121">
        <v>2.8660000000000001</v>
      </c>
      <c r="AD246" s="121">
        <v>2.8519999999999999</v>
      </c>
    </row>
    <row r="247" spans="1:30">
      <c r="A247" s="1">
        <f t="shared" si="5"/>
        <v>245</v>
      </c>
      <c r="B247" s="31"/>
      <c r="C247" s="1">
        <v>3</v>
      </c>
      <c r="D247" s="4">
        <f t="shared" si="7"/>
        <v>35</v>
      </c>
      <c r="E247" s="1" t="s">
        <v>466</v>
      </c>
      <c r="F247" s="1">
        <v>2</v>
      </c>
      <c r="G247" s="1" t="s">
        <v>11</v>
      </c>
      <c r="H247" s="1"/>
      <c r="I247" s="4">
        <v>8.9999999999999993E-3</v>
      </c>
      <c r="J247" s="37">
        <v>3.3549999999999995</v>
      </c>
      <c r="K247" s="1" t="s">
        <v>117</v>
      </c>
      <c r="L247" s="4" t="s">
        <v>13</v>
      </c>
      <c r="M247" s="33"/>
      <c r="N247" s="33"/>
      <c r="P247" s="6">
        <v>3.3820000000000001</v>
      </c>
      <c r="Q247" s="6">
        <v>3.07</v>
      </c>
      <c r="R247" s="6">
        <v>3.6259999999999999</v>
      </c>
      <c r="S247" s="6">
        <v>3.6259999999999999</v>
      </c>
      <c r="T247" s="6">
        <v>3.3</v>
      </c>
      <c r="U247" s="6">
        <v>3.2890000000000001</v>
      </c>
      <c r="V247" s="6">
        <v>3.4020000000000001</v>
      </c>
      <c r="W247" s="6">
        <v>3.4060000000000001</v>
      </c>
      <c r="X247" s="121">
        <v>3.387</v>
      </c>
      <c r="Y247" s="121">
        <v>3.383</v>
      </c>
      <c r="Z247" s="121">
        <v>3.4089999999999998</v>
      </c>
      <c r="AA247" s="121">
        <v>3.4409999999999998</v>
      </c>
      <c r="AB247" s="121">
        <v>3.4359999999999999</v>
      </c>
      <c r="AC247" s="121">
        <v>3.3849999999999998</v>
      </c>
      <c r="AD247" s="121">
        <v>3.3849999999999998</v>
      </c>
    </row>
    <row r="248" spans="1:30">
      <c r="A248" s="1">
        <f t="shared" si="5"/>
        <v>246</v>
      </c>
      <c r="B248" s="31"/>
      <c r="C248" s="1">
        <v>3</v>
      </c>
      <c r="D248" s="4">
        <f t="shared" si="7"/>
        <v>35</v>
      </c>
      <c r="E248" s="1" t="s">
        <v>484</v>
      </c>
      <c r="F248" s="1">
        <v>2</v>
      </c>
      <c r="G248" s="1" t="s">
        <v>11</v>
      </c>
      <c r="H248" s="1"/>
      <c r="I248" s="119"/>
      <c r="J248" s="37">
        <v>3.6940000000000008</v>
      </c>
      <c r="K248" s="1" t="s">
        <v>117</v>
      </c>
      <c r="L248" s="4" t="s">
        <v>13</v>
      </c>
      <c r="M248" s="33"/>
      <c r="N248" s="33"/>
      <c r="P248" s="6">
        <v>3.9449999999999998</v>
      </c>
      <c r="Q248" s="6">
        <v>3.3740000000000001</v>
      </c>
      <c r="R248" s="6">
        <v>4.1559999999999997</v>
      </c>
      <c r="S248" s="6">
        <v>4.1660000000000004</v>
      </c>
      <c r="T248" s="6">
        <v>3.7010000000000001</v>
      </c>
      <c r="U248" s="6">
        <v>3.6579999999999999</v>
      </c>
      <c r="V248" s="6">
        <v>3.7629999999999999</v>
      </c>
      <c r="W248" s="6">
        <v>3.7650000000000001</v>
      </c>
      <c r="X248" s="121">
        <v>3.5409999999999999</v>
      </c>
      <c r="Y248" s="121">
        <v>3.8519999999999999</v>
      </c>
      <c r="Z248" s="121">
        <v>3.802</v>
      </c>
      <c r="AA248" s="121">
        <v>3.7280000000000002</v>
      </c>
      <c r="AB248" s="121">
        <v>3.7629999999999999</v>
      </c>
      <c r="AC248" s="121">
        <v>3.6869999999999998</v>
      </c>
      <c r="AD248" s="121">
        <v>3.6930000000000001</v>
      </c>
    </row>
    <row r="249" spans="1:30">
      <c r="A249" s="1">
        <f t="shared" si="5"/>
        <v>247</v>
      </c>
      <c r="B249" s="31"/>
      <c r="C249" s="1">
        <v>3</v>
      </c>
      <c r="D249" s="4">
        <f t="shared" si="7"/>
        <v>35</v>
      </c>
      <c r="E249" s="1" t="s">
        <v>484</v>
      </c>
      <c r="F249" s="1">
        <v>2</v>
      </c>
      <c r="G249" s="1" t="s">
        <v>11</v>
      </c>
      <c r="H249" s="1"/>
      <c r="I249" s="119"/>
      <c r="J249" s="37">
        <v>5.5300000000000011</v>
      </c>
      <c r="K249" s="1" t="s">
        <v>117</v>
      </c>
      <c r="L249" s="4" t="s">
        <v>13</v>
      </c>
      <c r="M249" s="33"/>
      <c r="N249" s="33"/>
      <c r="P249" s="6">
        <v>5.0730000000000004</v>
      </c>
      <c r="Q249" s="41"/>
      <c r="R249" s="6">
        <v>5.4029999999999996</v>
      </c>
      <c r="S249" s="6">
        <v>5.8170000000000002</v>
      </c>
      <c r="T249" s="6">
        <v>5.6909999999999998</v>
      </c>
      <c r="U249" s="6">
        <v>5.6859999999999999</v>
      </c>
      <c r="V249" s="6">
        <v>5.5890000000000004</v>
      </c>
      <c r="W249" s="6">
        <v>5.5860000000000003</v>
      </c>
      <c r="X249" s="121">
        <v>5.798</v>
      </c>
      <c r="Y249" s="121">
        <v>5.3380000000000001</v>
      </c>
      <c r="Z249" s="121">
        <v>5.5460000000000003</v>
      </c>
      <c r="AA249" s="121">
        <v>5.6139999999999999</v>
      </c>
      <c r="AB249" s="121">
        <v>5.5919999999999996</v>
      </c>
      <c r="AC249" s="121">
        <v>5.5259999999999998</v>
      </c>
      <c r="AD249" s="121">
        <v>5.5529999999999999</v>
      </c>
    </row>
    <row r="250" spans="1:30">
      <c r="A250" s="1">
        <f t="shared" si="5"/>
        <v>248</v>
      </c>
      <c r="B250" s="31"/>
      <c r="C250" s="1">
        <v>3</v>
      </c>
      <c r="D250" s="4">
        <f t="shared" si="7"/>
        <v>35</v>
      </c>
      <c r="E250" s="1" t="s">
        <v>466</v>
      </c>
      <c r="F250" s="1">
        <v>2</v>
      </c>
      <c r="G250" s="1" t="s">
        <v>11</v>
      </c>
      <c r="H250" s="1" t="s">
        <v>321</v>
      </c>
      <c r="I250" s="1" t="s">
        <v>170</v>
      </c>
      <c r="J250" s="50">
        <v>6.0500000000000016</v>
      </c>
      <c r="K250" s="1" t="s">
        <v>502</v>
      </c>
      <c r="L250" s="10" t="s">
        <v>111</v>
      </c>
      <c r="M250" s="33"/>
      <c r="N250" s="33"/>
      <c r="P250" s="41"/>
      <c r="Q250" s="41"/>
      <c r="R250" s="41"/>
      <c r="S250" s="41"/>
      <c r="T250" s="41"/>
      <c r="U250" s="41"/>
      <c r="V250" s="6">
        <v>6.9279999999999999</v>
      </c>
      <c r="W250" s="6">
        <v>6.8440000000000003</v>
      </c>
      <c r="X250" s="121">
        <v>6.2859999999999996</v>
      </c>
      <c r="Y250" s="121">
        <v>5.734</v>
      </c>
      <c r="Z250" s="121">
        <v>5.9420000000000002</v>
      </c>
      <c r="AA250" s="121">
        <v>6.024</v>
      </c>
      <c r="AB250" s="121">
        <v>5.9930000000000003</v>
      </c>
      <c r="AC250" s="121">
        <v>5.9409999999999998</v>
      </c>
      <c r="AD250" s="121">
        <v>5.9660000000000002</v>
      </c>
    </row>
    <row r="251" spans="1:30">
      <c r="A251" s="1">
        <f t="shared" si="5"/>
        <v>249</v>
      </c>
      <c r="B251" s="31"/>
      <c r="C251" s="1">
        <v>3</v>
      </c>
      <c r="D251" s="4">
        <f t="shared" si="7"/>
        <v>35</v>
      </c>
      <c r="E251" s="1" t="s">
        <v>484</v>
      </c>
      <c r="F251" s="1">
        <v>2</v>
      </c>
      <c r="G251" s="1" t="s">
        <v>11</v>
      </c>
      <c r="H251" s="1" t="s">
        <v>321</v>
      </c>
      <c r="I251" s="119"/>
      <c r="J251" s="50">
        <v>6.9119999999999999</v>
      </c>
      <c r="K251" s="1" t="s">
        <v>502</v>
      </c>
      <c r="L251" s="10" t="s">
        <v>111</v>
      </c>
      <c r="M251" s="33"/>
      <c r="N251" s="33"/>
      <c r="P251" s="41"/>
      <c r="Q251" s="41"/>
      <c r="R251" s="41"/>
      <c r="S251" s="41"/>
      <c r="T251" s="41"/>
      <c r="U251" s="41"/>
      <c r="V251" s="41"/>
      <c r="W251" s="6">
        <v>7.7430000000000003</v>
      </c>
      <c r="X251" s="121">
        <v>7.1749999999999998</v>
      </c>
      <c r="Y251" s="121">
        <v>6.5090000000000003</v>
      </c>
      <c r="Z251" s="121">
        <v>6.7720000000000002</v>
      </c>
      <c r="AA251" s="121">
        <v>6.8819999999999997</v>
      </c>
      <c r="AB251" s="121">
        <v>6.827</v>
      </c>
      <c r="AC251" s="121">
        <v>6.8040000000000003</v>
      </c>
      <c r="AD251" s="121">
        <v>6.8209999999999997</v>
      </c>
    </row>
    <row r="252" spans="1:30">
      <c r="A252" s="1">
        <f t="shared" si="5"/>
        <v>250</v>
      </c>
      <c r="B252" s="31"/>
      <c r="C252" s="1">
        <v>3</v>
      </c>
      <c r="D252" s="4">
        <f t="shared" si="7"/>
        <v>35</v>
      </c>
      <c r="E252" s="1" t="s">
        <v>465</v>
      </c>
      <c r="F252" s="1">
        <v>2</v>
      </c>
      <c r="G252" s="1" t="s">
        <v>14</v>
      </c>
      <c r="H252" s="1"/>
      <c r="I252" s="1">
        <v>1E-3</v>
      </c>
      <c r="J252" s="37">
        <v>7.5230000000000006</v>
      </c>
      <c r="K252" s="1" t="s">
        <v>117</v>
      </c>
      <c r="L252" s="4" t="s">
        <v>13</v>
      </c>
      <c r="M252" s="33"/>
      <c r="N252" s="33"/>
      <c r="P252" s="6">
        <v>7.4530000000000003</v>
      </c>
      <c r="Q252" s="41"/>
      <c r="R252" s="6">
        <v>7.2629999999999999</v>
      </c>
      <c r="S252" s="6">
        <v>7.2530000000000001</v>
      </c>
      <c r="T252" s="6">
        <v>7.8079999999999998</v>
      </c>
      <c r="U252" s="6">
        <v>7.7930000000000001</v>
      </c>
      <c r="V252" s="6">
        <v>7.5049999999999999</v>
      </c>
      <c r="W252" s="6">
        <v>7.4930000000000003</v>
      </c>
      <c r="X252" s="121">
        <v>6.6390000000000002</v>
      </c>
      <c r="Y252" s="121">
        <v>7.3540000000000001</v>
      </c>
      <c r="Z252" s="121">
        <v>7.407</v>
      </c>
      <c r="AA252" s="121">
        <v>7.5949999999999998</v>
      </c>
      <c r="AB252" s="121">
        <v>7.7220000000000004</v>
      </c>
      <c r="AC252" s="121">
        <v>7.5780000000000003</v>
      </c>
      <c r="AD252" s="121">
        <v>7.5090000000000003</v>
      </c>
    </row>
    <row r="253" spans="1:30">
      <c r="A253" s="1">
        <f t="shared" si="5"/>
        <v>251</v>
      </c>
      <c r="B253" s="31"/>
      <c r="C253" s="1">
        <v>3</v>
      </c>
      <c r="D253" s="4">
        <f t="shared" si="7"/>
        <v>35</v>
      </c>
      <c r="E253" s="1" t="s">
        <v>466</v>
      </c>
      <c r="F253" s="1">
        <v>2</v>
      </c>
      <c r="G253" s="1" t="s">
        <v>11</v>
      </c>
      <c r="H253" s="1"/>
      <c r="I253" s="4">
        <v>0.183</v>
      </c>
      <c r="J253" s="37">
        <v>7.766</v>
      </c>
      <c r="K253" s="1" t="s">
        <v>117</v>
      </c>
      <c r="L253" s="4" t="s">
        <v>13</v>
      </c>
      <c r="M253" s="33"/>
      <c r="N253" s="33"/>
      <c r="P253" s="6">
        <v>7.32</v>
      </c>
      <c r="Q253" s="41"/>
      <c r="R253" s="6">
        <v>7.7910000000000004</v>
      </c>
      <c r="S253" s="6">
        <v>7.7869999999999999</v>
      </c>
      <c r="T253" s="6">
        <v>7.7949999999999999</v>
      </c>
      <c r="U253" s="6">
        <v>7.7789999999999999</v>
      </c>
      <c r="V253" s="6">
        <v>7.8529999999999998</v>
      </c>
      <c r="W253" s="6">
        <v>7.8449999999999998</v>
      </c>
      <c r="X253" s="121">
        <v>8.42</v>
      </c>
      <c r="Y253" s="121">
        <v>7.657</v>
      </c>
      <c r="Z253" s="121">
        <v>7.9569999999999999</v>
      </c>
      <c r="AA253" s="121">
        <v>8.1159999999999997</v>
      </c>
      <c r="AB253" s="121">
        <v>8.0020000000000007</v>
      </c>
      <c r="AC253" s="121">
        <v>7.9960000000000004</v>
      </c>
      <c r="AD253" s="121">
        <v>8.0280000000000005</v>
      </c>
    </row>
    <row r="254" spans="1:30">
      <c r="A254" s="1">
        <f t="shared" si="5"/>
        <v>252</v>
      </c>
      <c r="B254" s="31"/>
      <c r="C254" s="1">
        <v>3</v>
      </c>
      <c r="D254" s="4">
        <f t="shared" si="7"/>
        <v>35</v>
      </c>
      <c r="E254" s="1" t="s">
        <v>464</v>
      </c>
      <c r="F254" s="1">
        <v>2</v>
      </c>
      <c r="G254" s="1" t="s">
        <v>207</v>
      </c>
      <c r="H254" s="1" t="s">
        <v>320</v>
      </c>
      <c r="I254" s="4">
        <v>7.0000000000000001E-3</v>
      </c>
      <c r="J254" s="50">
        <v>8.0400000000000009</v>
      </c>
      <c r="K254" s="1" t="s">
        <v>117</v>
      </c>
      <c r="L254" s="10" t="s">
        <v>111</v>
      </c>
      <c r="M254" s="33"/>
      <c r="N254" s="33"/>
      <c r="P254" s="6">
        <v>9.1029999999999998</v>
      </c>
      <c r="Q254" s="41"/>
      <c r="R254" s="6">
        <v>9.1999999999999993</v>
      </c>
      <c r="S254" s="6">
        <v>9.2010000000000005</v>
      </c>
      <c r="T254" s="6">
        <v>8.7370000000000001</v>
      </c>
      <c r="U254" s="6">
        <v>8.7159999999999993</v>
      </c>
      <c r="V254" s="6">
        <v>8.2159999999999993</v>
      </c>
      <c r="W254" s="6">
        <v>8.2050000000000001</v>
      </c>
      <c r="X254" s="121">
        <v>8.109</v>
      </c>
      <c r="Y254" s="121">
        <v>8.0660000000000007</v>
      </c>
      <c r="Z254" s="121">
        <v>8.1329999999999991</v>
      </c>
      <c r="AA254" s="121">
        <v>8.1069999999999993</v>
      </c>
      <c r="AB254" s="121">
        <v>8.09</v>
      </c>
      <c r="AC254" s="121">
        <v>8.0129999999999999</v>
      </c>
      <c r="AD254" s="121">
        <v>8.0329999999999995</v>
      </c>
    </row>
    <row r="255" spans="1:30">
      <c r="A255" s="1">
        <f t="shared" si="5"/>
        <v>253</v>
      </c>
      <c r="B255" s="31"/>
      <c r="C255" s="1">
        <v>3</v>
      </c>
      <c r="D255" s="4">
        <f t="shared" si="7"/>
        <v>35</v>
      </c>
      <c r="E255" s="1" t="s">
        <v>465</v>
      </c>
      <c r="F255" s="1">
        <v>2</v>
      </c>
      <c r="G255" s="1" t="s">
        <v>207</v>
      </c>
      <c r="H255" s="1"/>
      <c r="I255" s="4">
        <v>3.9E-2</v>
      </c>
      <c r="J255" s="50">
        <v>8.0790000000000006</v>
      </c>
      <c r="K255" s="1" t="s">
        <v>117</v>
      </c>
      <c r="L255" s="10" t="s">
        <v>111</v>
      </c>
      <c r="M255" s="33"/>
      <c r="N255" s="33"/>
      <c r="P255" s="6">
        <v>8.5069999999999997</v>
      </c>
      <c r="Q255" s="41"/>
      <c r="R255" s="6">
        <v>8.6929999999999996</v>
      </c>
      <c r="S255" s="6">
        <v>8.6920000000000002</v>
      </c>
      <c r="T255" s="6">
        <v>8.4740000000000002</v>
      </c>
      <c r="U255" s="6">
        <v>8.4589999999999996</v>
      </c>
      <c r="V255" s="6">
        <v>8.1630000000000003</v>
      </c>
      <c r="W255" s="6">
        <v>8.1560000000000006</v>
      </c>
      <c r="X255" s="121">
        <v>8.2970000000000006</v>
      </c>
      <c r="Y255" s="121">
        <v>7.944</v>
      </c>
      <c r="Z255" s="121">
        <v>8.0609999999999999</v>
      </c>
      <c r="AA255" s="121">
        <v>8.17</v>
      </c>
      <c r="AB255" s="121">
        <v>8.1310000000000002</v>
      </c>
      <c r="AC255" s="121">
        <v>8.0660000000000007</v>
      </c>
      <c r="AD255" s="121">
        <v>8.0779999999999994</v>
      </c>
    </row>
    <row r="256" spans="1:30">
      <c r="A256" s="1">
        <f t="shared" si="5"/>
        <v>254</v>
      </c>
      <c r="B256" s="31"/>
      <c r="C256" s="1">
        <v>3</v>
      </c>
      <c r="D256" s="4">
        <f t="shared" si="7"/>
        <v>35</v>
      </c>
      <c r="E256" s="1" t="s">
        <v>467</v>
      </c>
      <c r="F256" s="1">
        <v>4</v>
      </c>
      <c r="G256" s="1" t="s">
        <v>11</v>
      </c>
      <c r="H256" s="1"/>
      <c r="I256" s="119"/>
      <c r="J256" s="50">
        <v>4.6169999999999991</v>
      </c>
      <c r="K256" s="1" t="s">
        <v>117</v>
      </c>
      <c r="L256" s="10" t="s">
        <v>111</v>
      </c>
      <c r="M256" s="33"/>
      <c r="N256" s="33"/>
      <c r="P256" s="6">
        <v>5.4450000000000003</v>
      </c>
      <c r="Q256" s="41"/>
      <c r="R256" s="6">
        <v>5.8319999999999999</v>
      </c>
      <c r="S256" s="6">
        <v>5.36</v>
      </c>
      <c r="T256" s="6">
        <v>5.0469999999999997</v>
      </c>
      <c r="U256" s="6">
        <v>5.0430000000000001</v>
      </c>
      <c r="V256" s="6">
        <v>4.8940000000000001</v>
      </c>
      <c r="W256" s="6">
        <v>4.883</v>
      </c>
      <c r="X256" s="121">
        <v>4.7750000000000004</v>
      </c>
      <c r="Y256" s="121">
        <v>4.4379999999999997</v>
      </c>
      <c r="Z256" s="121">
        <v>4.609</v>
      </c>
      <c r="AA256" s="121">
        <v>4.6689999999999996</v>
      </c>
      <c r="AB256" s="121">
        <v>4.6639999999999997</v>
      </c>
      <c r="AC256" s="121">
        <v>4.6130000000000004</v>
      </c>
      <c r="AD256" s="121">
        <v>4.6280000000000001</v>
      </c>
    </row>
    <row r="257" spans="1:30">
      <c r="A257" s="1">
        <f t="shared" si="5"/>
        <v>255</v>
      </c>
      <c r="B257" s="31"/>
      <c r="C257" s="1">
        <v>3</v>
      </c>
      <c r="D257" s="4">
        <f t="shared" si="7"/>
        <v>35</v>
      </c>
      <c r="E257" s="1" t="s">
        <v>496</v>
      </c>
      <c r="F257" s="1">
        <v>4</v>
      </c>
      <c r="G257" s="1" t="s">
        <v>11</v>
      </c>
      <c r="H257" s="1"/>
      <c r="I257" s="119"/>
      <c r="J257" s="50">
        <v>4.8049999999999988</v>
      </c>
      <c r="K257" s="1" t="s">
        <v>117</v>
      </c>
      <c r="L257" s="10" t="s">
        <v>111</v>
      </c>
      <c r="M257" s="33"/>
      <c r="N257" s="33"/>
      <c r="P257" s="6">
        <v>5.2590000000000003</v>
      </c>
      <c r="Q257" s="6">
        <v>5.048</v>
      </c>
      <c r="R257" s="6">
        <v>5.5679999999999996</v>
      </c>
      <c r="S257" s="6">
        <v>5.5609999999999999</v>
      </c>
      <c r="T257" s="22">
        <v>4.9480000000000004</v>
      </c>
      <c r="U257" s="6">
        <v>4.93</v>
      </c>
      <c r="V257" s="6">
        <v>5.0350000000000001</v>
      </c>
      <c r="W257" s="6">
        <v>5.0289999999999999</v>
      </c>
      <c r="X257" s="121">
        <v>4.9569999999999999</v>
      </c>
      <c r="Y257" s="121">
        <v>4.5999999999999996</v>
      </c>
      <c r="Z257" s="121">
        <v>4.7750000000000004</v>
      </c>
      <c r="AA257" s="121">
        <v>4.8410000000000002</v>
      </c>
      <c r="AB257" s="121">
        <v>4.827</v>
      </c>
      <c r="AC257" s="121">
        <v>4.7779999999999996</v>
      </c>
      <c r="AD257" s="121">
        <v>4.7949999999999999</v>
      </c>
    </row>
    <row r="258" spans="1:30">
      <c r="A258" s="1">
        <f t="shared" si="5"/>
        <v>256</v>
      </c>
      <c r="B258" s="31" t="s">
        <v>503</v>
      </c>
      <c r="C258" s="1">
        <v>1</v>
      </c>
      <c r="D258" s="4">
        <f t="shared" si="7"/>
        <v>12</v>
      </c>
      <c r="E258" s="1" t="s">
        <v>479</v>
      </c>
      <c r="F258" s="1">
        <v>2</v>
      </c>
      <c r="G258" s="1" t="s">
        <v>11</v>
      </c>
      <c r="H258" s="1"/>
      <c r="I258" s="1">
        <v>2E-3</v>
      </c>
      <c r="J258" s="37">
        <v>4.1150000000000002</v>
      </c>
      <c r="K258" s="1" t="s">
        <v>103</v>
      </c>
      <c r="L258" s="4" t="s">
        <v>13</v>
      </c>
      <c r="M258" s="22">
        <v>4.1010000000000009</v>
      </c>
      <c r="N258" s="1" t="s">
        <v>434</v>
      </c>
      <c r="P258" s="22">
        <v>4.2880000000000003</v>
      </c>
      <c r="Q258" s="22">
        <v>4.0519999999999996</v>
      </c>
      <c r="R258" s="22">
        <v>4.2569999999999997</v>
      </c>
      <c r="S258" s="22">
        <v>4.2080000000000002</v>
      </c>
      <c r="T258" s="22">
        <v>4.1399999999999997</v>
      </c>
      <c r="U258" s="22">
        <v>4.1260000000000003</v>
      </c>
      <c r="V258" s="22">
        <v>4.1289999999999996</v>
      </c>
      <c r="W258" s="22">
        <v>4.125</v>
      </c>
      <c r="X258" s="55">
        <v>4.5460000000000003</v>
      </c>
      <c r="Y258" s="55">
        <v>4.18</v>
      </c>
      <c r="Z258" s="55">
        <v>4.1740000000000004</v>
      </c>
      <c r="AA258" s="55">
        <v>4.1829999999999998</v>
      </c>
      <c r="AB258" s="55">
        <v>4.1539999999999999</v>
      </c>
      <c r="AC258" s="55">
        <v>4.1680000000000001</v>
      </c>
      <c r="AD258" s="133">
        <v>4.1760000000000002</v>
      </c>
    </row>
    <row r="259" spans="1:30">
      <c r="A259" s="1">
        <f t="shared" si="5"/>
        <v>257</v>
      </c>
      <c r="B259" s="31"/>
      <c r="C259" s="1">
        <v>1</v>
      </c>
      <c r="D259" s="4">
        <f t="shared" si="7"/>
        <v>12</v>
      </c>
      <c r="E259" s="1" t="s">
        <v>486</v>
      </c>
      <c r="F259" s="1">
        <v>2</v>
      </c>
      <c r="G259" s="1" t="s">
        <v>14</v>
      </c>
      <c r="H259" s="1"/>
      <c r="I259" s="119"/>
      <c r="J259" s="37">
        <v>8.0299999999999994</v>
      </c>
      <c r="K259" s="1" t="s">
        <v>103</v>
      </c>
      <c r="L259" s="4" t="s">
        <v>13</v>
      </c>
      <c r="M259" s="22">
        <v>8.0879999999999974</v>
      </c>
      <c r="N259" s="1" t="s">
        <v>434</v>
      </c>
      <c r="P259" s="22">
        <v>8.4809999999999999</v>
      </c>
      <c r="Q259" s="22">
        <v>8.2189999999999994</v>
      </c>
      <c r="R259" s="22">
        <v>8.5299999999999994</v>
      </c>
      <c r="S259" s="22">
        <v>8.52</v>
      </c>
      <c r="T259" s="22">
        <v>8.5109999999999992</v>
      </c>
      <c r="U259" s="22">
        <v>8.4879999999999995</v>
      </c>
      <c r="V259" s="22">
        <v>8.1920000000000002</v>
      </c>
      <c r="W259" s="22">
        <v>8.1739999999999995</v>
      </c>
      <c r="X259" s="55">
        <v>7.3879999999999999</v>
      </c>
      <c r="Y259" s="55">
        <v>7.7210000000000001</v>
      </c>
      <c r="Z259" s="55">
        <v>7.9160000000000004</v>
      </c>
      <c r="AA259" s="55">
        <v>8.0009999999999994</v>
      </c>
      <c r="AB259" s="55">
        <v>8.0120000000000005</v>
      </c>
      <c r="AC259" s="55">
        <v>7.9470000000000001</v>
      </c>
      <c r="AD259" s="133">
        <v>7.9610000000000003</v>
      </c>
    </row>
    <row r="260" spans="1:30">
      <c r="A260" s="1">
        <f t="shared" si="5"/>
        <v>258</v>
      </c>
      <c r="B260" s="31"/>
      <c r="C260" s="1">
        <v>1</v>
      </c>
      <c r="D260" s="4">
        <f t="shared" ref="D260:D283" si="8">_xlfn.SWITCH(C260,1,12,2,12,3,35,4,35,5,35)</f>
        <v>12</v>
      </c>
      <c r="E260" s="1" t="s">
        <v>481</v>
      </c>
      <c r="F260" s="1">
        <v>2</v>
      </c>
      <c r="G260" s="1" t="s">
        <v>14</v>
      </c>
      <c r="H260" s="1" t="s">
        <v>320</v>
      </c>
      <c r="I260" s="119"/>
      <c r="J260" s="37">
        <v>9.843</v>
      </c>
      <c r="K260" s="1" t="s">
        <v>103</v>
      </c>
      <c r="L260" s="4" t="s">
        <v>13</v>
      </c>
      <c r="M260" s="22">
        <v>9.8649999999999984</v>
      </c>
      <c r="N260" s="1" t="s">
        <v>434</v>
      </c>
      <c r="P260" s="22">
        <v>10.452999999999999</v>
      </c>
      <c r="Q260" s="22">
        <v>10.3535</v>
      </c>
      <c r="R260" s="22">
        <v>10.4885</v>
      </c>
      <c r="S260" s="22">
        <v>10.467499999999999</v>
      </c>
      <c r="T260" s="22">
        <v>10.561499999999999</v>
      </c>
      <c r="U260" s="22">
        <v>10.553000000000001</v>
      </c>
      <c r="V260" s="22">
        <v>10.4085</v>
      </c>
      <c r="W260" s="22">
        <v>10.3985</v>
      </c>
      <c r="X260" s="55">
        <v>9.1120000000000001</v>
      </c>
      <c r="Y260" s="55">
        <v>9.5440000000000005</v>
      </c>
      <c r="Z260" s="55">
        <v>9.6609999999999996</v>
      </c>
      <c r="AA260" s="55">
        <v>9.766</v>
      </c>
      <c r="AB260" s="55">
        <v>9.8350000000000009</v>
      </c>
      <c r="AC260" s="55">
        <v>9.7319999999999993</v>
      </c>
      <c r="AD260" s="133">
        <v>9.7260000000000009</v>
      </c>
    </row>
    <row r="261" spans="1:30">
      <c r="A261" s="1">
        <f t="shared" si="5"/>
        <v>259</v>
      </c>
      <c r="B261" s="31"/>
      <c r="C261" s="1">
        <v>1</v>
      </c>
      <c r="D261" s="4">
        <f t="shared" si="8"/>
        <v>12</v>
      </c>
      <c r="E261" s="4" t="s">
        <v>487</v>
      </c>
      <c r="F261" s="1">
        <v>4</v>
      </c>
      <c r="G261" s="1" t="s">
        <v>14</v>
      </c>
      <c r="H261" s="1"/>
      <c r="I261" s="119"/>
      <c r="J261" s="37">
        <v>7.4989999999999997</v>
      </c>
      <c r="K261" s="1" t="s">
        <v>103</v>
      </c>
      <c r="L261" s="4" t="s">
        <v>13</v>
      </c>
      <c r="M261" s="22">
        <v>7.5610000000000008</v>
      </c>
      <c r="N261" s="1" t="s">
        <v>434</v>
      </c>
      <c r="P261" s="22">
        <v>7.5350000000000001</v>
      </c>
      <c r="Q261" s="22">
        <v>7.6559999999999997</v>
      </c>
      <c r="R261" s="22">
        <v>7.5910000000000002</v>
      </c>
      <c r="S261" s="22">
        <v>7.6020000000000003</v>
      </c>
      <c r="T261" s="22">
        <v>7.7510000000000003</v>
      </c>
      <c r="U261" s="22">
        <v>7.758</v>
      </c>
      <c r="V261" s="22">
        <v>7.6630000000000003</v>
      </c>
      <c r="W261" s="22">
        <v>7.6529999999999996</v>
      </c>
      <c r="X261" s="55">
        <v>6.8579999999999997</v>
      </c>
      <c r="Y261" s="55">
        <v>7.2080000000000002</v>
      </c>
      <c r="Z261" s="55">
        <v>7.3929999999999998</v>
      </c>
      <c r="AA261" s="55">
        <v>7.4809999999999999</v>
      </c>
      <c r="AB261" s="55">
        <v>7.492</v>
      </c>
      <c r="AC261" s="55">
        <v>7.4139999999999997</v>
      </c>
      <c r="AD261" s="133">
        <v>7.431</v>
      </c>
    </row>
    <row r="262" spans="1:30">
      <c r="A262" s="1">
        <f t="shared" si="5"/>
        <v>260</v>
      </c>
      <c r="B262" s="31" t="s">
        <v>504</v>
      </c>
      <c r="C262" s="1">
        <v>1</v>
      </c>
      <c r="D262" s="4">
        <f t="shared" si="8"/>
        <v>12</v>
      </c>
      <c r="E262" s="1" t="s">
        <v>465</v>
      </c>
      <c r="F262" s="1">
        <v>2</v>
      </c>
      <c r="G262" s="1" t="s">
        <v>11</v>
      </c>
      <c r="H262" s="1"/>
      <c r="I262" s="1">
        <v>4.0000000000000001E-3</v>
      </c>
      <c r="J262" s="120">
        <v>2.766</v>
      </c>
      <c r="K262" s="1" t="s">
        <v>103</v>
      </c>
      <c r="L262" s="4" t="s">
        <v>13</v>
      </c>
      <c r="M262" s="22">
        <v>2.7569999999999997</v>
      </c>
      <c r="N262" s="1" t="s">
        <v>434</v>
      </c>
      <c r="P262" s="22">
        <v>2.9889999999999999</v>
      </c>
      <c r="Q262" s="22">
        <v>2.6429999999999998</v>
      </c>
      <c r="R262" s="22">
        <v>2.95</v>
      </c>
      <c r="S262" s="22">
        <v>2.8639999999999999</v>
      </c>
      <c r="T262" s="22">
        <v>2.8079999999999998</v>
      </c>
      <c r="U262" s="22">
        <v>2.7829999999999999</v>
      </c>
      <c r="V262" s="22">
        <v>2.7789999999999999</v>
      </c>
      <c r="W262" s="22">
        <v>2.7730000000000001</v>
      </c>
      <c r="X262" s="41"/>
      <c r="Y262" s="41"/>
      <c r="Z262" s="41"/>
      <c r="AA262" s="41"/>
      <c r="AB262" s="41"/>
      <c r="AC262" s="41"/>
      <c r="AD262" s="41"/>
    </row>
    <row r="263" spans="1:30">
      <c r="A263" s="1">
        <f t="shared" si="5"/>
        <v>261</v>
      </c>
      <c r="B263" s="31"/>
      <c r="C263" s="1">
        <v>1</v>
      </c>
      <c r="D263" s="4">
        <f t="shared" si="8"/>
        <v>12</v>
      </c>
      <c r="E263" s="1" t="s">
        <v>466</v>
      </c>
      <c r="F263" s="1">
        <v>2</v>
      </c>
      <c r="G263" s="1" t="s">
        <v>11</v>
      </c>
      <c r="I263" s="119"/>
      <c r="J263" s="120">
        <v>5.165</v>
      </c>
      <c r="K263" s="1" t="s">
        <v>103</v>
      </c>
      <c r="L263" s="4" t="s">
        <v>13</v>
      </c>
      <c r="M263" s="22">
        <v>5.1530000000000005</v>
      </c>
      <c r="N263" s="1" t="s">
        <v>434</v>
      </c>
      <c r="P263" s="22">
        <v>5.5789999999999997</v>
      </c>
      <c r="Q263" s="22">
        <v>5.0990000000000002</v>
      </c>
      <c r="R263" s="22">
        <v>5.5359999999999996</v>
      </c>
      <c r="S263" s="22">
        <v>5.4539999999999997</v>
      </c>
      <c r="T263" s="22">
        <v>5.2450000000000001</v>
      </c>
      <c r="U263" s="22">
        <v>5.2149999999999999</v>
      </c>
      <c r="V263" s="22">
        <v>5.1849999999999996</v>
      </c>
      <c r="W263" s="22">
        <v>5.1769999999999996</v>
      </c>
      <c r="X263" s="41"/>
      <c r="Y263" s="41"/>
      <c r="Z263" s="41"/>
      <c r="AA263" s="41"/>
      <c r="AB263" s="41"/>
      <c r="AC263" s="41"/>
      <c r="AD263" s="41"/>
    </row>
    <row r="264" spans="1:30">
      <c r="A264" s="1">
        <f t="shared" si="5"/>
        <v>262</v>
      </c>
      <c r="B264" s="31"/>
      <c r="C264" s="1">
        <v>1</v>
      </c>
      <c r="D264" s="4">
        <f t="shared" si="8"/>
        <v>12</v>
      </c>
      <c r="E264" s="1" t="s">
        <v>466</v>
      </c>
      <c r="F264" s="1">
        <v>2</v>
      </c>
      <c r="G264" s="1" t="s">
        <v>207</v>
      </c>
      <c r="I264" s="119"/>
      <c r="J264" s="120">
        <v>5.7539999999999996</v>
      </c>
      <c r="K264" s="1" t="s">
        <v>103</v>
      </c>
      <c r="L264" s="4" t="s">
        <v>13</v>
      </c>
      <c r="M264" s="22">
        <v>5.7190000000000003</v>
      </c>
      <c r="N264" s="1" t="s">
        <v>184</v>
      </c>
      <c r="P264" s="22">
        <v>6.101</v>
      </c>
      <c r="Q264" s="22">
        <v>5.6429999999999998</v>
      </c>
      <c r="R264" s="22">
        <v>6.0460000000000003</v>
      </c>
      <c r="S264" s="22">
        <v>5.9749999999999996</v>
      </c>
      <c r="T264" s="22">
        <v>5.8250000000000002</v>
      </c>
      <c r="U264" s="22">
        <v>5.8040000000000003</v>
      </c>
      <c r="V264" s="22">
        <v>5.7779999999999996</v>
      </c>
      <c r="W264" s="22">
        <v>5.7720000000000002</v>
      </c>
      <c r="X264" s="41"/>
      <c r="Y264" s="41"/>
      <c r="Z264" s="41"/>
      <c r="AA264" s="41"/>
      <c r="AB264" s="41"/>
      <c r="AC264" s="41"/>
      <c r="AD264" s="41"/>
    </row>
    <row r="265" spans="1:30">
      <c r="A265" s="1">
        <f t="shared" si="5"/>
        <v>263</v>
      </c>
      <c r="B265" s="31"/>
      <c r="C265" s="1">
        <v>1</v>
      </c>
      <c r="D265" s="4">
        <f t="shared" si="8"/>
        <v>12</v>
      </c>
      <c r="E265" s="1" t="s">
        <v>465</v>
      </c>
      <c r="F265" s="1">
        <v>2</v>
      </c>
      <c r="G265" s="1" t="s">
        <v>14</v>
      </c>
      <c r="I265" s="1">
        <v>3.6999999999999998E-2</v>
      </c>
      <c r="J265" s="120">
        <v>5.9029999999999996</v>
      </c>
      <c r="K265" s="1" t="s">
        <v>103</v>
      </c>
      <c r="L265" s="4" t="s">
        <v>13</v>
      </c>
      <c r="M265" s="22">
        <v>5.9200000000000008</v>
      </c>
      <c r="N265" s="1" t="s">
        <v>184</v>
      </c>
      <c r="P265" s="22">
        <v>6.1779999999999999</v>
      </c>
      <c r="Q265" s="22">
        <v>5.8440000000000003</v>
      </c>
      <c r="R265" s="22">
        <v>6.1130000000000004</v>
      </c>
      <c r="S265" s="22">
        <v>6.0620000000000003</v>
      </c>
      <c r="T265" s="22">
        <v>5.9619999999999997</v>
      </c>
      <c r="U265" s="22">
        <v>5.9450000000000003</v>
      </c>
      <c r="V265" s="22">
        <v>5.92</v>
      </c>
      <c r="W265" s="22">
        <v>5.9160000000000004</v>
      </c>
      <c r="X265" s="41"/>
      <c r="Y265" s="41"/>
      <c r="Z265" s="41"/>
      <c r="AA265" s="41"/>
      <c r="AB265" s="41"/>
      <c r="AC265" s="41"/>
      <c r="AD265" s="41"/>
    </row>
    <row r="266" spans="1:30">
      <c r="A266" s="1">
        <f t="shared" si="5"/>
        <v>264</v>
      </c>
      <c r="B266" s="31"/>
      <c r="C266" s="1">
        <v>1</v>
      </c>
      <c r="D266" s="4">
        <f t="shared" si="8"/>
        <v>12</v>
      </c>
      <c r="E266" s="1" t="s">
        <v>484</v>
      </c>
      <c r="F266" s="1">
        <v>2</v>
      </c>
      <c r="G266" s="1" t="s">
        <v>207</v>
      </c>
      <c r="H266" s="1" t="s">
        <v>321</v>
      </c>
      <c r="I266" s="1" t="s">
        <v>170</v>
      </c>
      <c r="J266" s="120">
        <v>7.1059999999999999</v>
      </c>
      <c r="K266" s="1" t="s">
        <v>103</v>
      </c>
      <c r="L266" s="4" t="s">
        <v>13</v>
      </c>
      <c r="M266" s="22">
        <v>7.0619999999999994</v>
      </c>
      <c r="N266" s="1" t="s">
        <v>184</v>
      </c>
      <c r="P266" s="41"/>
      <c r="Q266" s="41"/>
      <c r="R266" s="41"/>
      <c r="S266" s="41"/>
      <c r="T266" s="41"/>
      <c r="U266" s="41"/>
      <c r="V266" s="22">
        <v>7.585</v>
      </c>
      <c r="W266" s="22">
        <v>7.508</v>
      </c>
      <c r="X266" s="41"/>
      <c r="Y266" s="41"/>
      <c r="Z266" s="41"/>
      <c r="AA266" s="41"/>
      <c r="AB266" s="41"/>
      <c r="AC266" s="41"/>
      <c r="AD266" s="41"/>
    </row>
    <row r="267" spans="1:30">
      <c r="A267" s="1">
        <f t="shared" si="5"/>
        <v>265</v>
      </c>
      <c r="B267" s="31"/>
      <c r="C267" s="1">
        <v>1</v>
      </c>
      <c r="D267" s="4">
        <f t="shared" si="8"/>
        <v>12</v>
      </c>
      <c r="E267" s="1" t="s">
        <v>465</v>
      </c>
      <c r="F267" s="1">
        <v>2</v>
      </c>
      <c r="G267" s="1" t="s">
        <v>14</v>
      </c>
      <c r="I267" s="22">
        <v>0.09</v>
      </c>
      <c r="J267" s="120">
        <v>7.375</v>
      </c>
      <c r="K267" s="1" t="s">
        <v>103</v>
      </c>
      <c r="L267" s="4" t="s">
        <v>13</v>
      </c>
      <c r="M267" s="22">
        <v>7.258</v>
      </c>
      <c r="N267" s="1" t="s">
        <v>184</v>
      </c>
      <c r="P267" s="22">
        <v>7.65</v>
      </c>
      <c r="Q267" s="22">
        <v>7.3</v>
      </c>
      <c r="R267" s="22">
        <v>7.5949999999999998</v>
      </c>
      <c r="S267" s="22">
        <v>7.5439999999999996</v>
      </c>
      <c r="T267" s="22">
        <v>7.4290000000000003</v>
      </c>
      <c r="U267" s="22">
        <v>7.4139999999999997</v>
      </c>
      <c r="V267" s="22">
        <v>7.3970000000000002</v>
      </c>
      <c r="W267" s="22">
        <v>7.3920000000000003</v>
      </c>
      <c r="X267" s="41"/>
      <c r="Y267" s="41"/>
      <c r="Z267" s="41"/>
      <c r="AA267" s="41"/>
      <c r="AB267" s="41"/>
      <c r="AC267" s="41"/>
      <c r="AD267" s="41"/>
    </row>
    <row r="268" spans="1:30">
      <c r="A268" s="1">
        <f t="shared" si="5"/>
        <v>266</v>
      </c>
      <c r="B268" s="31"/>
      <c r="C268" s="1">
        <v>1</v>
      </c>
      <c r="D268" s="4">
        <f t="shared" si="8"/>
        <v>12</v>
      </c>
      <c r="E268" s="1" t="s">
        <v>466</v>
      </c>
      <c r="F268" s="1">
        <v>2</v>
      </c>
      <c r="G268" s="1" t="s">
        <v>14</v>
      </c>
      <c r="I268" s="119"/>
      <c r="J268" s="120">
        <v>7.4539999999999997</v>
      </c>
      <c r="K268" s="1" t="s">
        <v>103</v>
      </c>
      <c r="L268" s="4" t="s">
        <v>13</v>
      </c>
      <c r="M268" s="22">
        <v>7.4419999999999993</v>
      </c>
      <c r="N268" s="1" t="s">
        <v>184</v>
      </c>
      <c r="P268" s="22">
        <v>7.6890000000000001</v>
      </c>
      <c r="Q268" s="22">
        <v>7.4059999999999997</v>
      </c>
      <c r="R268" s="22">
        <v>7.617</v>
      </c>
      <c r="S268" s="22">
        <v>7.57</v>
      </c>
      <c r="T268" s="22">
        <v>7.5049999999999999</v>
      </c>
      <c r="U268" s="22">
        <v>7.49</v>
      </c>
      <c r="V268" s="22">
        <v>7.4669999999999996</v>
      </c>
      <c r="W268" s="22">
        <v>7.4630000000000001</v>
      </c>
      <c r="X268" s="41"/>
      <c r="Y268" s="41"/>
      <c r="Z268" s="41"/>
      <c r="AA268" s="41"/>
      <c r="AB268" s="41"/>
      <c r="AC268" s="41"/>
      <c r="AD268" s="41"/>
    </row>
    <row r="269" spans="1:30">
      <c r="A269" s="1">
        <f t="shared" si="5"/>
        <v>267</v>
      </c>
      <c r="B269" s="31"/>
      <c r="C269" s="1">
        <v>1</v>
      </c>
      <c r="D269" s="4">
        <f t="shared" si="8"/>
        <v>12</v>
      </c>
      <c r="E269" s="1" t="s">
        <v>464</v>
      </c>
      <c r="F269" s="1">
        <v>2</v>
      </c>
      <c r="G269" s="1" t="s">
        <v>14</v>
      </c>
      <c r="I269" s="22">
        <v>7.5999999999999998E-2</v>
      </c>
      <c r="J269" s="120">
        <v>7.4779999999999998</v>
      </c>
      <c r="K269" s="1" t="s">
        <v>103</v>
      </c>
      <c r="L269" s="4" t="s">
        <v>13</v>
      </c>
      <c r="M269" s="22">
        <v>7.508</v>
      </c>
      <c r="N269" s="1" t="s">
        <v>184</v>
      </c>
      <c r="P269" s="22">
        <v>7.8310000000000004</v>
      </c>
      <c r="Q269" s="22">
        <v>7.3970000000000002</v>
      </c>
      <c r="R269" s="22">
        <v>7.7949999999999999</v>
      </c>
      <c r="S269" s="22">
        <v>7.7779999999999996</v>
      </c>
      <c r="T269" s="22">
        <v>7.7080000000000002</v>
      </c>
      <c r="U269" s="22">
        <v>7.6980000000000004</v>
      </c>
      <c r="V269" s="22">
        <v>7.617</v>
      </c>
      <c r="W269" s="22">
        <v>7.5990000000000002</v>
      </c>
      <c r="X269" s="41"/>
      <c r="Y269" s="41"/>
      <c r="Z269" s="41"/>
      <c r="AA269" s="41"/>
      <c r="AB269" s="41"/>
      <c r="AC269" s="41"/>
      <c r="AD269" s="41"/>
    </row>
    <row r="270" spans="1:30">
      <c r="A270" s="1">
        <f t="shared" si="5"/>
        <v>268</v>
      </c>
      <c r="B270" s="31"/>
      <c r="C270" s="1">
        <v>1</v>
      </c>
      <c r="D270" s="4">
        <f t="shared" si="8"/>
        <v>12</v>
      </c>
      <c r="E270" s="1" t="s">
        <v>464</v>
      </c>
      <c r="F270" s="1">
        <v>2</v>
      </c>
      <c r="G270" s="1" t="s">
        <v>14</v>
      </c>
      <c r="I270" s="22">
        <v>6.0999999999999999E-2</v>
      </c>
      <c r="J270" s="120">
        <v>7.7050000000000001</v>
      </c>
      <c r="K270" s="1" t="s">
        <v>103</v>
      </c>
      <c r="L270" s="4" t="s">
        <v>13</v>
      </c>
      <c r="M270" s="22">
        <v>7.6209999999999996</v>
      </c>
      <c r="N270" s="1" t="s">
        <v>184</v>
      </c>
      <c r="P270" s="22">
        <v>7.9880000000000004</v>
      </c>
      <c r="Q270" s="22">
        <v>7.6379999999999999</v>
      </c>
      <c r="R270" s="22">
        <v>7.9459999999999997</v>
      </c>
      <c r="S270" s="22">
        <v>7.9420000000000002</v>
      </c>
      <c r="T270" s="22">
        <v>7.7859999999999996</v>
      </c>
      <c r="U270" s="22">
        <v>7.77</v>
      </c>
      <c r="V270" s="22">
        <v>7.7249999999999996</v>
      </c>
      <c r="W270" s="22">
        <v>7.7190000000000003</v>
      </c>
      <c r="X270" s="41"/>
      <c r="Y270" s="41"/>
      <c r="Z270" s="41"/>
      <c r="AA270" s="41"/>
      <c r="AB270" s="41"/>
      <c r="AC270" s="41"/>
      <c r="AD270" s="41"/>
    </row>
    <row r="271" spans="1:30">
      <c r="A271" s="1">
        <f t="shared" si="5"/>
        <v>269</v>
      </c>
      <c r="B271" s="31"/>
      <c r="C271" s="1">
        <v>1</v>
      </c>
      <c r="D271" s="4">
        <f t="shared" si="8"/>
        <v>12</v>
      </c>
      <c r="E271" s="1" t="s">
        <v>467</v>
      </c>
      <c r="F271" s="1">
        <v>4</v>
      </c>
      <c r="G271" s="1" t="s">
        <v>207</v>
      </c>
      <c r="I271" s="119"/>
      <c r="J271" s="120">
        <v>6.1609999999999996</v>
      </c>
      <c r="K271" s="1" t="s">
        <v>103</v>
      </c>
      <c r="L271" s="4" t="s">
        <v>13</v>
      </c>
      <c r="M271" s="22">
        <v>6.1479999999999997</v>
      </c>
      <c r="N271" s="1" t="s">
        <v>184</v>
      </c>
      <c r="P271" s="22">
        <v>6.4980000000000002</v>
      </c>
      <c r="Q271" s="22">
        <v>5.9450000000000003</v>
      </c>
      <c r="R271" s="22">
        <v>6.4870000000000001</v>
      </c>
      <c r="S271" s="22">
        <v>6.4880000000000004</v>
      </c>
      <c r="T271" s="22">
        <v>6.3970000000000002</v>
      </c>
      <c r="U271" s="22">
        <v>6.3819999999999997</v>
      </c>
      <c r="V271" s="22">
        <v>6.3239999999999998</v>
      </c>
      <c r="W271" s="22">
        <v>6.3029999999999999</v>
      </c>
      <c r="X271" s="41"/>
      <c r="Y271" s="41"/>
      <c r="Z271" s="41"/>
      <c r="AA271" s="41"/>
      <c r="AB271" s="41"/>
      <c r="AC271" s="41"/>
      <c r="AD271" s="41"/>
    </row>
    <row r="272" spans="1:30">
      <c r="A272" s="1">
        <f t="shared" si="5"/>
        <v>270</v>
      </c>
      <c r="B272" s="31"/>
      <c r="C272" s="1">
        <v>1</v>
      </c>
      <c r="D272" s="4">
        <f t="shared" si="8"/>
        <v>12</v>
      </c>
      <c r="E272" s="1" t="s">
        <v>489</v>
      </c>
      <c r="F272" s="1">
        <v>4</v>
      </c>
      <c r="G272" s="1" t="s">
        <v>14</v>
      </c>
      <c r="I272" s="119"/>
      <c r="J272" s="120">
        <v>6.9550000000000001</v>
      </c>
      <c r="K272" s="1" t="s">
        <v>103</v>
      </c>
      <c r="L272" s="4" t="s">
        <v>13</v>
      </c>
      <c r="M272" s="22">
        <v>6.9859999999999998</v>
      </c>
      <c r="N272" s="1" t="s">
        <v>184</v>
      </c>
      <c r="P272" s="22">
        <v>7.33</v>
      </c>
      <c r="Q272" s="22">
        <v>6.8520000000000003</v>
      </c>
      <c r="R272" s="22">
        <v>7.2960000000000003</v>
      </c>
      <c r="S272" s="22">
        <v>7.2809999999999997</v>
      </c>
      <c r="T272" s="22">
        <v>7.2110000000000003</v>
      </c>
      <c r="U272" s="22">
        <v>7.1989999999999998</v>
      </c>
      <c r="V272" s="41"/>
      <c r="W272" s="22">
        <v>7.1029999999999998</v>
      </c>
      <c r="X272" s="41"/>
      <c r="Y272" s="41"/>
      <c r="Z272" s="41"/>
      <c r="AA272" s="41"/>
      <c r="AB272" s="41"/>
      <c r="AC272" s="41"/>
      <c r="AD272" s="41"/>
    </row>
    <row r="273" spans="1:30">
      <c r="A273" s="1">
        <f t="shared" si="5"/>
        <v>271</v>
      </c>
      <c r="B273" s="31" t="s">
        <v>505</v>
      </c>
      <c r="C273" s="1">
        <v>2</v>
      </c>
      <c r="D273" s="4">
        <f t="shared" si="8"/>
        <v>12</v>
      </c>
      <c r="E273" s="1" t="s">
        <v>506</v>
      </c>
      <c r="F273" s="1">
        <v>2</v>
      </c>
      <c r="G273" s="1" t="s">
        <v>11</v>
      </c>
      <c r="I273" s="22">
        <v>1E-3</v>
      </c>
      <c r="J273" s="120">
        <v>3.2849999999999993</v>
      </c>
      <c r="K273" s="1" t="s">
        <v>270</v>
      </c>
      <c r="L273" s="4" t="s">
        <v>13</v>
      </c>
      <c r="M273" s="22">
        <v>3.2789999999999995</v>
      </c>
      <c r="N273" s="1" t="s">
        <v>7</v>
      </c>
      <c r="P273" s="22">
        <v>4.05</v>
      </c>
      <c r="Q273" s="22">
        <v>3.1549999999999998</v>
      </c>
      <c r="R273" s="22">
        <v>3.855</v>
      </c>
      <c r="S273" s="22">
        <v>3.544</v>
      </c>
      <c r="T273" s="22">
        <v>3.5110000000000001</v>
      </c>
      <c r="U273" s="22">
        <v>3.3530000000000002</v>
      </c>
      <c r="V273" s="22">
        <v>3.3380000000000001</v>
      </c>
      <c r="W273" s="22">
        <v>3.302</v>
      </c>
      <c r="X273" s="121">
        <v>3.5289999999999999</v>
      </c>
      <c r="Y273" s="121">
        <v>3.4049999999999998</v>
      </c>
      <c r="Z273" s="121">
        <v>3.39</v>
      </c>
      <c r="AA273" s="121">
        <v>3.3460000000000001</v>
      </c>
      <c r="AB273" s="121">
        <v>3.3109999999999999</v>
      </c>
      <c r="AC273" s="121">
        <v>3.32</v>
      </c>
      <c r="AD273" s="121">
        <v>3.327</v>
      </c>
    </row>
    <row r="274" spans="1:30">
      <c r="A274" s="1">
        <f t="shared" si="5"/>
        <v>272</v>
      </c>
      <c r="B274" s="31"/>
      <c r="C274" s="1">
        <v>2</v>
      </c>
      <c r="D274" s="4">
        <f t="shared" si="8"/>
        <v>12</v>
      </c>
      <c r="E274" s="1" t="s">
        <v>506</v>
      </c>
      <c r="F274" s="1">
        <v>2</v>
      </c>
      <c r="G274" s="1" t="s">
        <v>11</v>
      </c>
      <c r="I274" s="22">
        <v>2E-3</v>
      </c>
      <c r="J274" s="120">
        <v>4.7059999999999995</v>
      </c>
      <c r="K274" s="1" t="s">
        <v>270</v>
      </c>
      <c r="L274" s="4" t="s">
        <v>13</v>
      </c>
      <c r="M274" s="22">
        <v>4.6910000000000007</v>
      </c>
      <c r="N274" s="1" t="s">
        <v>7</v>
      </c>
      <c r="P274" s="22">
        <v>5.2089999999999996</v>
      </c>
      <c r="Q274" s="22">
        <v>4.6609999999999996</v>
      </c>
      <c r="R274" s="22">
        <v>5.077</v>
      </c>
      <c r="S274" s="22">
        <v>4.8869999999999996</v>
      </c>
      <c r="T274" s="22">
        <v>4.9050000000000002</v>
      </c>
      <c r="U274" s="22">
        <v>4.8029999999999999</v>
      </c>
      <c r="V274" s="22">
        <v>4.758</v>
      </c>
      <c r="W274" s="22">
        <v>4.734</v>
      </c>
      <c r="X274" s="121">
        <v>5.4589999999999996</v>
      </c>
      <c r="Y274" s="121">
        <v>4.7960000000000003</v>
      </c>
      <c r="Z274" s="121">
        <v>4.9240000000000004</v>
      </c>
      <c r="AA274" s="121">
        <v>4.9139999999999997</v>
      </c>
      <c r="AB274" s="121">
        <v>4.7809999999999997</v>
      </c>
      <c r="AC274" s="121">
        <v>4.8079999999999998</v>
      </c>
      <c r="AD274" s="121">
        <v>4.859</v>
      </c>
    </row>
    <row r="275" spans="1:30">
      <c r="A275" s="1">
        <f t="shared" si="5"/>
        <v>273</v>
      </c>
      <c r="B275" s="31"/>
      <c r="C275" s="1">
        <v>2</v>
      </c>
      <c r="D275" s="4">
        <f t="shared" si="8"/>
        <v>12</v>
      </c>
      <c r="E275" s="1" t="s">
        <v>508</v>
      </c>
      <c r="F275" s="1">
        <v>2</v>
      </c>
      <c r="G275" s="1" t="s">
        <v>11</v>
      </c>
      <c r="H275" s="1" t="s">
        <v>321</v>
      </c>
      <c r="I275" s="1" t="s">
        <v>170</v>
      </c>
      <c r="J275" s="57">
        <v>5.6429999999999998</v>
      </c>
      <c r="K275" s="1" t="s">
        <v>270</v>
      </c>
      <c r="L275" s="10" t="s">
        <v>111</v>
      </c>
      <c r="M275" s="33"/>
      <c r="N275" s="33"/>
      <c r="P275" s="41"/>
      <c r="Q275" s="22">
        <v>3.7919999999999998</v>
      </c>
      <c r="R275" s="41"/>
      <c r="S275" s="41"/>
      <c r="T275" s="41"/>
      <c r="U275" s="41"/>
      <c r="V275" s="22">
        <v>6.2240000000000002</v>
      </c>
      <c r="W275" s="22">
        <v>6.1749999999999998</v>
      </c>
      <c r="X275" s="121">
        <v>5.9080000000000004</v>
      </c>
      <c r="Y275" s="121">
        <v>5.484</v>
      </c>
      <c r="Z275" s="121">
        <v>5.6630000000000003</v>
      </c>
      <c r="AA275" s="121">
        <v>5.7</v>
      </c>
      <c r="AB275" s="121">
        <v>5.665</v>
      </c>
      <c r="AC275" s="121">
        <v>5.5990000000000002</v>
      </c>
      <c r="AD275" s="121">
        <v>5.6449999999999996</v>
      </c>
    </row>
    <row r="276" spans="1:30">
      <c r="A276" s="1">
        <f t="shared" si="5"/>
        <v>274</v>
      </c>
      <c r="B276" s="31"/>
      <c r="C276" s="1">
        <v>2</v>
      </c>
      <c r="D276" s="4">
        <f t="shared" si="8"/>
        <v>12</v>
      </c>
      <c r="E276" s="1" t="s">
        <v>508</v>
      </c>
      <c r="F276" s="1">
        <v>2</v>
      </c>
      <c r="G276" s="1" t="s">
        <v>14</v>
      </c>
      <c r="I276" s="22">
        <v>6.0000000000000001E-3</v>
      </c>
      <c r="J276" s="120">
        <v>6.1990000000000007</v>
      </c>
      <c r="K276" s="1" t="s">
        <v>270</v>
      </c>
      <c r="L276" s="4" t="s">
        <v>13</v>
      </c>
      <c r="M276" s="22">
        <v>6.2040000000000006</v>
      </c>
      <c r="N276" s="1" t="s">
        <v>7</v>
      </c>
      <c r="P276" s="22">
        <v>6.625</v>
      </c>
      <c r="Q276" s="22">
        <v>6.3840000000000003</v>
      </c>
      <c r="R276" s="22">
        <v>6.4610000000000003</v>
      </c>
      <c r="S276" s="22">
        <v>6.3150000000000004</v>
      </c>
      <c r="T276" s="22">
        <v>6.3769999999999998</v>
      </c>
      <c r="U276" s="22">
        <v>6.3209999999999997</v>
      </c>
      <c r="V276" s="22">
        <v>6.335</v>
      </c>
      <c r="W276" s="22">
        <v>6.2370000000000001</v>
      </c>
      <c r="X276" s="121">
        <v>5.7889999999999997</v>
      </c>
      <c r="Y276" s="121">
        <v>6.1959999999999997</v>
      </c>
      <c r="Z276" s="121">
        <v>6.1879999999999997</v>
      </c>
      <c r="AA276" s="121">
        <v>6.1580000000000004</v>
      </c>
      <c r="AB276" s="121">
        <v>6.1609999999999996</v>
      </c>
      <c r="AC276" s="121">
        <v>6.18</v>
      </c>
      <c r="AD276" s="121">
        <v>6.1790000000000003</v>
      </c>
    </row>
    <row r="277" spans="1:30">
      <c r="A277" s="1">
        <f t="shared" si="5"/>
        <v>275</v>
      </c>
      <c r="B277" s="31"/>
      <c r="C277" s="1">
        <v>2</v>
      </c>
      <c r="D277" s="4">
        <f t="shared" si="8"/>
        <v>12</v>
      </c>
      <c r="E277" s="1" t="s">
        <v>508</v>
      </c>
      <c r="F277" s="1">
        <v>2</v>
      </c>
      <c r="G277" s="1" t="s">
        <v>14</v>
      </c>
      <c r="I277" s="22">
        <v>1.2999999999999999E-2</v>
      </c>
      <c r="J277" s="120">
        <v>6.7769999999999984</v>
      </c>
      <c r="K277" s="1" t="s">
        <v>270</v>
      </c>
      <c r="L277" s="4" t="s">
        <v>13</v>
      </c>
      <c r="M277" s="22">
        <v>6.7879999999999985</v>
      </c>
      <c r="N277" s="1" t="s">
        <v>7</v>
      </c>
      <c r="P277" s="22">
        <v>7.2210000000000001</v>
      </c>
      <c r="Q277" s="22">
        <v>6.9740000000000002</v>
      </c>
      <c r="R277" s="22">
        <v>7.0410000000000004</v>
      </c>
      <c r="S277" s="22">
        <v>6.8879999999999999</v>
      </c>
      <c r="T277" s="22">
        <v>6.9669999999999996</v>
      </c>
      <c r="U277" s="22">
        <v>6.91</v>
      </c>
      <c r="V277" s="22">
        <v>6.8140000000000001</v>
      </c>
      <c r="W277" s="22">
        <v>6.7889999999999997</v>
      </c>
      <c r="X277" s="121">
        <v>6.2969999999999997</v>
      </c>
      <c r="Y277" s="121">
        <v>6.202</v>
      </c>
      <c r="Z277" s="121">
        <v>6.3780000000000001</v>
      </c>
      <c r="AA277" s="121">
        <v>6.399</v>
      </c>
      <c r="AB277" s="121">
        <v>6.335</v>
      </c>
      <c r="AC277" s="121">
        <v>6.3310000000000004</v>
      </c>
      <c r="AD277" s="121">
        <v>6.3739999999999997</v>
      </c>
    </row>
    <row r="278" spans="1:30">
      <c r="A278" s="1">
        <f t="shared" si="5"/>
        <v>276</v>
      </c>
      <c r="B278" s="31"/>
      <c r="C278" s="1">
        <v>2</v>
      </c>
      <c r="D278" s="4">
        <f t="shared" si="8"/>
        <v>12</v>
      </c>
      <c r="E278" s="1" t="s">
        <v>508</v>
      </c>
      <c r="F278" s="1">
        <v>2</v>
      </c>
      <c r="G278" s="1" t="s">
        <v>14</v>
      </c>
      <c r="I278" s="22">
        <v>6.9000000000000006E-2</v>
      </c>
      <c r="J278" s="120">
        <v>7.0390000000000015</v>
      </c>
      <c r="K278" s="1" t="s">
        <v>270</v>
      </c>
      <c r="L278" s="4" t="s">
        <v>13</v>
      </c>
      <c r="M278" s="22">
        <v>7.035000000000001</v>
      </c>
      <c r="N278" s="1" t="s">
        <v>7</v>
      </c>
      <c r="P278" s="22">
        <v>7.4379999999999997</v>
      </c>
      <c r="Q278" s="22">
        <v>7.2229999999999999</v>
      </c>
      <c r="R278" s="22">
        <v>7.2640000000000002</v>
      </c>
      <c r="S278" s="22">
        <v>7.1180000000000003</v>
      </c>
      <c r="T278" s="22">
        <v>7.2089999999999996</v>
      </c>
      <c r="U278" s="34">
        <v>7.1520000000000001</v>
      </c>
      <c r="V278" s="34">
        <v>7.0739999999999998</v>
      </c>
      <c r="W278" s="34">
        <v>7.05</v>
      </c>
      <c r="X278" s="121">
        <v>6.1779999999999999</v>
      </c>
      <c r="Y278" s="121">
        <v>6.7290000000000001</v>
      </c>
      <c r="Z278" s="121">
        <v>6.6980000000000004</v>
      </c>
      <c r="AA278" s="121">
        <v>6.6740000000000004</v>
      </c>
      <c r="AB278" s="121">
        <v>6.6980000000000004</v>
      </c>
      <c r="AC278" s="121">
        <v>6.7149999999999999</v>
      </c>
      <c r="AD278" s="121">
        <v>6.7060000000000004</v>
      </c>
    </row>
    <row r="279" spans="1:30">
      <c r="A279" s="1">
        <f t="shared" si="5"/>
        <v>277</v>
      </c>
      <c r="B279" s="31"/>
      <c r="C279" s="1">
        <v>2</v>
      </c>
      <c r="D279" s="4">
        <f t="shared" si="8"/>
        <v>12</v>
      </c>
      <c r="E279" s="1" t="s">
        <v>508</v>
      </c>
      <c r="F279" s="1">
        <v>2</v>
      </c>
      <c r="G279" s="1" t="s">
        <v>11</v>
      </c>
      <c r="I279" s="22">
        <v>0.01</v>
      </c>
      <c r="J279" s="120">
        <v>7.4710000000000001</v>
      </c>
      <c r="K279" s="1" t="s">
        <v>270</v>
      </c>
      <c r="L279" s="4" t="s">
        <v>13</v>
      </c>
      <c r="M279" s="22">
        <v>7.4710000000000001</v>
      </c>
      <c r="N279" s="1" t="s">
        <v>7</v>
      </c>
      <c r="P279" s="22">
        <v>8.173</v>
      </c>
      <c r="Q279" s="22">
        <v>7.5</v>
      </c>
      <c r="R279" s="22">
        <v>7.8380000000000001</v>
      </c>
      <c r="S279" s="22">
        <v>7.6920000000000002</v>
      </c>
      <c r="T279" s="22">
        <v>7.6989999999999998</v>
      </c>
      <c r="U279" s="34">
        <v>7.633</v>
      </c>
      <c r="V279" s="41"/>
      <c r="W279" s="41"/>
      <c r="X279" s="121">
        <v>8.1579999999999995</v>
      </c>
      <c r="Y279" s="121">
        <v>7.641</v>
      </c>
      <c r="Z279" s="121">
        <v>7.694</v>
      </c>
      <c r="AA279" s="121">
        <v>7.7110000000000003</v>
      </c>
      <c r="AB279" s="121">
        <v>7.6289999999999996</v>
      </c>
      <c r="AC279" s="121">
        <v>7.6390000000000002</v>
      </c>
      <c r="AD279" s="121">
        <v>7.6619999999999999</v>
      </c>
    </row>
    <row r="280" spans="1:30">
      <c r="A280" s="1">
        <f t="shared" si="5"/>
        <v>278</v>
      </c>
      <c r="B280" s="31"/>
      <c r="C280" s="1">
        <v>2</v>
      </c>
      <c r="D280" s="4">
        <f t="shared" si="8"/>
        <v>12</v>
      </c>
      <c r="E280" s="1" t="s">
        <v>506</v>
      </c>
      <c r="F280" s="1">
        <v>2</v>
      </c>
      <c r="G280" s="1" t="s">
        <v>14</v>
      </c>
      <c r="I280" s="22">
        <v>3.7999999999999999E-2</v>
      </c>
      <c r="J280" s="57">
        <v>7.5649999999999986</v>
      </c>
      <c r="K280" s="1" t="s">
        <v>270</v>
      </c>
      <c r="L280" s="10" t="s">
        <v>111</v>
      </c>
      <c r="M280" s="33"/>
      <c r="N280" s="33"/>
      <c r="P280" s="22">
        <v>7.7690000000000001</v>
      </c>
      <c r="Q280" s="22">
        <v>7.327</v>
      </c>
      <c r="R280" s="22">
        <v>8.0310000000000006</v>
      </c>
      <c r="S280" s="22">
        <v>7.7649999999999997</v>
      </c>
      <c r="T280" s="22">
        <v>7.8330000000000002</v>
      </c>
      <c r="U280" s="22">
        <v>7.806</v>
      </c>
      <c r="V280" s="22">
        <v>7.6929999999999996</v>
      </c>
      <c r="W280" s="22">
        <v>7.6680000000000001</v>
      </c>
      <c r="X280" s="121">
        <v>7.1120000000000001</v>
      </c>
      <c r="Y280" s="121">
        <v>7.4089999999999998</v>
      </c>
      <c r="Z280" s="121">
        <v>7.58</v>
      </c>
      <c r="AA280" s="121">
        <v>7.58</v>
      </c>
      <c r="AB280" s="121">
        <v>7.5579999999999998</v>
      </c>
      <c r="AC280" s="121">
        <v>7.5339999999999998</v>
      </c>
      <c r="AD280" s="122">
        <v>7.57</v>
      </c>
    </row>
    <row r="281" spans="1:30">
      <c r="A281" s="1">
        <f t="shared" si="5"/>
        <v>279</v>
      </c>
      <c r="B281" s="31"/>
      <c r="C281" s="1">
        <v>2</v>
      </c>
      <c r="D281" s="4">
        <f t="shared" si="8"/>
        <v>12</v>
      </c>
      <c r="E281" s="1" t="s">
        <v>506</v>
      </c>
      <c r="F281" s="1">
        <v>2</v>
      </c>
      <c r="G281" s="1" t="s">
        <v>14</v>
      </c>
      <c r="I281" s="22">
        <v>2.1000000000000001E-2</v>
      </c>
      <c r="J281" s="57">
        <v>7.583999999999997</v>
      </c>
      <c r="K281" s="1" t="s">
        <v>270</v>
      </c>
      <c r="L281" s="10" t="s">
        <v>111</v>
      </c>
      <c r="M281" s="33"/>
      <c r="N281" s="33"/>
      <c r="P281" s="22">
        <v>8.0310000000000006</v>
      </c>
      <c r="Q281" s="22">
        <v>7.7510000000000003</v>
      </c>
      <c r="R281" s="22">
        <v>7.87</v>
      </c>
      <c r="S281" s="22">
        <v>7.69</v>
      </c>
      <c r="T281" s="22">
        <v>7.7439999999999998</v>
      </c>
      <c r="U281" s="22">
        <v>7.694</v>
      </c>
      <c r="V281" s="22">
        <v>7.6219999999999999</v>
      </c>
      <c r="W281" s="22">
        <v>7.6</v>
      </c>
      <c r="X281" s="121">
        <v>7.05</v>
      </c>
      <c r="Y281" s="121">
        <v>7.54</v>
      </c>
      <c r="Z281" s="121">
        <v>7.556</v>
      </c>
      <c r="AA281" s="121">
        <v>7.5179999999999998</v>
      </c>
      <c r="AB281" s="121">
        <v>7.516</v>
      </c>
      <c r="AC281" s="121">
        <v>7.5629999999999997</v>
      </c>
      <c r="AD281" s="122">
        <v>7.5640000000000001</v>
      </c>
    </row>
    <row r="282" spans="1:30">
      <c r="A282" s="1">
        <f t="shared" si="5"/>
        <v>280</v>
      </c>
      <c r="B282" s="31"/>
      <c r="C282" s="1">
        <v>2</v>
      </c>
      <c r="D282" s="4">
        <f t="shared" si="8"/>
        <v>12</v>
      </c>
      <c r="E282" s="1" t="s">
        <v>509</v>
      </c>
      <c r="F282" s="1">
        <v>4</v>
      </c>
      <c r="G282" s="1" t="s">
        <v>11</v>
      </c>
      <c r="I282" s="119"/>
      <c r="J282" s="120">
        <v>4.5469999999999997</v>
      </c>
      <c r="K282" s="1" t="s">
        <v>270</v>
      </c>
      <c r="L282" s="4" t="s">
        <v>13</v>
      </c>
      <c r="M282" s="22">
        <v>4.5609999999999999</v>
      </c>
      <c r="N282" s="1" t="s">
        <v>7</v>
      </c>
      <c r="P282" s="22">
        <v>5.0659999999999998</v>
      </c>
      <c r="Q282" s="22">
        <v>5.016</v>
      </c>
      <c r="R282" s="22">
        <v>4.9740000000000002</v>
      </c>
      <c r="S282" s="22">
        <v>4.9059999999999997</v>
      </c>
      <c r="T282" s="22">
        <v>4.7889999999999997</v>
      </c>
      <c r="U282" s="22">
        <v>4.7240000000000002</v>
      </c>
      <c r="V282" s="22">
        <v>4.694</v>
      </c>
      <c r="W282" s="22">
        <v>4.6769999999999996</v>
      </c>
      <c r="X282" s="121">
        <v>4.5090000000000003</v>
      </c>
      <c r="Y282" s="121">
        <v>4.4260000000000002</v>
      </c>
      <c r="Z282" s="121">
        <v>4.548</v>
      </c>
      <c r="AA282" s="121">
        <v>4.5709999999999997</v>
      </c>
      <c r="AB282" s="121">
        <v>4.5709999999999997</v>
      </c>
      <c r="AC282" s="121">
        <v>4.508</v>
      </c>
      <c r="AD282" s="122">
        <v>4.54</v>
      </c>
    </row>
    <row r="283" spans="1:30">
      <c r="A283" s="1">
        <f t="shared" si="5"/>
        <v>281</v>
      </c>
      <c r="B283" s="31"/>
      <c r="C283" s="1">
        <v>2</v>
      </c>
      <c r="D283" s="4">
        <f t="shared" si="8"/>
        <v>12</v>
      </c>
      <c r="E283" s="1" t="s">
        <v>507</v>
      </c>
      <c r="F283" s="1">
        <v>4</v>
      </c>
      <c r="G283" s="1" t="s">
        <v>14</v>
      </c>
      <c r="I283" s="119"/>
      <c r="J283" s="120">
        <v>7.4009999999999989</v>
      </c>
      <c r="K283" s="1" t="s">
        <v>270</v>
      </c>
      <c r="L283" s="4" t="s">
        <v>13</v>
      </c>
      <c r="M283" s="22">
        <v>7.4269999999999978</v>
      </c>
      <c r="N283" s="1" t="s">
        <v>7</v>
      </c>
      <c r="P283" s="22">
        <v>7.41</v>
      </c>
      <c r="Q283" s="22">
        <v>7.1749999999999998</v>
      </c>
      <c r="R283" s="22">
        <v>7.3860000000000001</v>
      </c>
      <c r="S283" s="22">
        <v>7.407</v>
      </c>
      <c r="T283" s="22">
        <v>7.5190000000000001</v>
      </c>
      <c r="U283" s="22">
        <v>7.524</v>
      </c>
      <c r="V283" s="22">
        <v>7.46</v>
      </c>
      <c r="W283" s="22">
        <v>7.4550000000000001</v>
      </c>
      <c r="X283" s="121">
        <v>6.7510000000000003</v>
      </c>
      <c r="Y283" s="121">
        <v>7.2539999999999996</v>
      </c>
      <c r="Z283" s="121">
        <v>7.3310000000000004</v>
      </c>
      <c r="AA283" s="121">
        <v>7.319</v>
      </c>
      <c r="AB283" s="121">
        <v>7.3570000000000002</v>
      </c>
      <c r="AC283" s="121">
        <v>7.351</v>
      </c>
      <c r="AD283" s="122">
        <v>7.359</v>
      </c>
    </row>
    <row r="284" spans="1:30">
      <c r="E284" s="1"/>
      <c r="F284" s="1"/>
      <c r="G284" s="1"/>
    </row>
    <row r="285" spans="1:30">
      <c r="E285" s="18" t="s">
        <v>551</v>
      </c>
      <c r="F285" s="1">
        <f>COUNTIF(F3:F283,"=2")</f>
        <v>217</v>
      </c>
      <c r="G285" s="1"/>
    </row>
    <row r="286" spans="1:30">
      <c r="E286" s="18" t="s">
        <v>552</v>
      </c>
      <c r="F286" s="1">
        <f>COUNTIF(F3:F283,"=4")</f>
        <v>64</v>
      </c>
      <c r="G286" s="1"/>
    </row>
    <row r="287" spans="1:30">
      <c r="E287" s="18"/>
      <c r="F287" s="1"/>
      <c r="G287" s="1"/>
    </row>
    <row r="288" spans="1:30">
      <c r="E288" s="18" t="s">
        <v>60</v>
      </c>
      <c r="F288" s="1">
        <f>COUNTIF(G3:G283,"=V")</f>
        <v>166</v>
      </c>
      <c r="G288" s="1"/>
    </row>
    <row r="289" spans="5:7">
      <c r="E289" s="18" t="s">
        <v>64</v>
      </c>
      <c r="F289" s="1">
        <f>COUNTIF(G3:G283,"=R")</f>
        <v>82</v>
      </c>
      <c r="G289" s="1"/>
    </row>
    <row r="290" spans="5:7">
      <c r="E290" s="18" t="s">
        <v>553</v>
      </c>
      <c r="F290" s="1">
        <f>COUNTIF(G3:G283,"=M")</f>
        <v>33</v>
      </c>
      <c r="G290" s="1"/>
    </row>
    <row r="291" spans="5:7">
      <c r="E291" s="18"/>
      <c r="F291" s="1"/>
      <c r="G291" s="1"/>
    </row>
    <row r="292" spans="5:7">
      <c r="E292" s="18" t="s">
        <v>321</v>
      </c>
      <c r="F292" s="1">
        <f>COUNTIF(H3:H283,"=gd")</f>
        <v>11</v>
      </c>
      <c r="G292" s="1"/>
    </row>
    <row r="293" spans="5:7">
      <c r="E293" s="18" t="s">
        <v>320</v>
      </c>
      <c r="F293" s="1">
        <f>COUNTIF(H3:H283,"=pd")</f>
        <v>22</v>
      </c>
      <c r="G293" s="1"/>
    </row>
    <row r="294" spans="5:7">
      <c r="E294" s="1"/>
      <c r="F294" s="1"/>
      <c r="G294" s="1"/>
    </row>
    <row r="295" spans="5:7">
      <c r="E295" s="18" t="s">
        <v>283</v>
      </c>
      <c r="F295" s="1">
        <f>COUNTIF(D3:D283,"=12")</f>
        <v>201</v>
      </c>
      <c r="G295" s="1"/>
    </row>
    <row r="296" spans="5:7">
      <c r="E296" s="18" t="s">
        <v>526</v>
      </c>
      <c r="F296" s="1">
        <f>COUNTIF(D3:D283,"=35")</f>
        <v>80</v>
      </c>
      <c r="G296" s="1"/>
    </row>
    <row r="297" spans="5:7">
      <c r="E297" s="1"/>
      <c r="F297" s="1"/>
      <c r="G297" s="1"/>
    </row>
    <row r="298" spans="5:7">
      <c r="E298" s="18" t="s">
        <v>563</v>
      </c>
      <c r="F298" s="1">
        <f>COUNTIF(L3:L283,"=Y")</f>
        <v>225</v>
      </c>
      <c r="G298" s="1"/>
    </row>
    <row r="299" spans="5:7">
      <c r="E299" s="18" t="s">
        <v>66</v>
      </c>
      <c r="F299" s="1">
        <f>COUNTIF(L3:L283,"=N")</f>
        <v>56</v>
      </c>
      <c r="G299" s="1"/>
    </row>
    <row r="300" spans="5:7">
      <c r="E300" s="1"/>
      <c r="F300" s="1"/>
      <c r="G300" s="1"/>
    </row>
  </sheetData>
  <mergeCells count="2">
    <mergeCell ref="B1:L1"/>
    <mergeCell ref="P1:AD1"/>
  </mergeCells>
  <phoneticPr fontId="17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67D78B-DC9D-6C49-B1BC-7EC58BFFABA9}">
  <dimension ref="A1:DR180"/>
  <sheetViews>
    <sheetView topLeftCell="CL1" zoomScale="90" zoomScaleNormal="90" workbookViewId="0">
      <selection activeCell="DO2" sqref="DO1:LM1048576"/>
    </sheetView>
  </sheetViews>
  <sheetFormatPr baseColWidth="10" defaultRowHeight="16"/>
  <cols>
    <col min="1" max="1" width="3.83203125" customWidth="1"/>
    <col min="3" max="3" width="4.1640625" customWidth="1"/>
    <col min="4" max="4" width="5.83203125" customWidth="1"/>
    <col min="5" max="5" width="8.1640625" customWidth="1"/>
    <col min="6" max="6" width="4.33203125" customWidth="1"/>
    <col min="7" max="7" width="4" customWidth="1"/>
    <col min="8" max="9" width="4.1640625" customWidth="1"/>
    <col min="10" max="10" width="5.1640625" customWidth="1"/>
    <col min="11" max="11" width="5.5" customWidth="1"/>
    <col min="12" max="12" width="6.1640625" customWidth="1"/>
    <col min="13" max="13" width="19.1640625" customWidth="1"/>
    <col min="14" max="14" width="2.1640625" customWidth="1"/>
    <col min="15" max="15" width="6.33203125" bestFit="1" customWidth="1"/>
    <col min="16" max="17" width="5.6640625" customWidth="1"/>
    <col min="18" max="18" width="6.5" customWidth="1"/>
    <col min="19" max="23" width="6.33203125" bestFit="1" customWidth="1"/>
    <col min="24" max="24" width="8.5" bestFit="1" customWidth="1"/>
    <col min="25" max="31" width="6.33203125" bestFit="1" customWidth="1"/>
    <col min="32" max="117" width="5.6640625" customWidth="1"/>
    <col min="118" max="118" width="2.5" customWidth="1"/>
  </cols>
  <sheetData>
    <row r="1" spans="1:118">
      <c r="A1" s="1"/>
      <c r="B1" s="136" t="s">
        <v>0</v>
      </c>
      <c r="C1" s="136"/>
      <c r="D1" s="136"/>
      <c r="E1" s="136"/>
      <c r="F1" s="136"/>
      <c r="G1" s="136"/>
      <c r="H1" s="136"/>
      <c r="I1" s="136"/>
      <c r="J1" s="136"/>
      <c r="K1" s="136"/>
      <c r="L1" s="136"/>
      <c r="M1" s="136"/>
      <c r="N1" s="1"/>
      <c r="O1" s="137"/>
      <c r="P1" s="137"/>
      <c r="Q1" s="137"/>
      <c r="R1" s="137"/>
      <c r="S1" s="137"/>
      <c r="T1" s="137"/>
      <c r="U1" s="137"/>
      <c r="V1" s="137"/>
      <c r="W1" s="137"/>
      <c r="X1" s="137"/>
      <c r="Y1" s="137"/>
      <c r="Z1" s="137"/>
      <c r="AA1" s="137"/>
      <c r="AB1" s="137"/>
      <c r="AC1" s="137"/>
      <c r="AD1" s="137"/>
      <c r="AE1" s="137"/>
      <c r="AF1" s="30"/>
      <c r="AG1" s="30"/>
      <c r="AH1" s="30"/>
      <c r="AI1" s="30"/>
      <c r="AJ1" s="30"/>
      <c r="AK1" s="30"/>
      <c r="AL1" s="30"/>
      <c r="AM1" s="30"/>
      <c r="AN1" s="30"/>
      <c r="AO1" s="30"/>
      <c r="AP1" s="30"/>
      <c r="AQ1" s="30"/>
      <c r="AR1" s="30"/>
      <c r="AS1" s="30"/>
      <c r="AT1" s="30"/>
      <c r="AU1" s="30"/>
      <c r="AV1" s="30"/>
      <c r="AW1" s="30"/>
      <c r="AX1" s="30"/>
      <c r="AY1" s="30"/>
      <c r="AZ1" s="30"/>
      <c r="BA1" s="30"/>
      <c r="BB1" s="30"/>
      <c r="BC1" s="30"/>
      <c r="BD1" s="30"/>
      <c r="BE1" s="30"/>
      <c r="BF1" s="30"/>
      <c r="BG1" s="30"/>
      <c r="BH1" s="30"/>
      <c r="BI1" s="30"/>
      <c r="BJ1" s="30"/>
      <c r="BK1" s="30"/>
      <c r="BL1" s="30"/>
      <c r="BM1" s="30"/>
      <c r="BN1" s="30"/>
      <c r="BO1" s="30"/>
      <c r="BP1" s="30"/>
      <c r="BQ1" s="30"/>
      <c r="BR1" s="30"/>
      <c r="BS1" s="30"/>
      <c r="BT1" s="30"/>
      <c r="BU1" s="30"/>
      <c r="BV1" s="30"/>
      <c r="BW1" s="30"/>
      <c r="BX1" s="30"/>
      <c r="BY1" s="30"/>
      <c r="BZ1" s="30"/>
      <c r="CA1" s="30"/>
      <c r="CB1" s="30"/>
      <c r="CC1" s="30"/>
      <c r="CD1" s="30"/>
      <c r="CE1" s="30"/>
      <c r="CF1" s="30"/>
      <c r="CG1" s="30"/>
      <c r="CH1" s="30"/>
      <c r="CI1" s="30"/>
      <c r="CJ1" s="30"/>
      <c r="CK1" s="30"/>
      <c r="CL1" s="30"/>
      <c r="CM1" s="30"/>
      <c r="CN1" s="30"/>
      <c r="CO1" s="30"/>
      <c r="CP1" s="30"/>
      <c r="CQ1" s="30"/>
      <c r="CR1" s="30"/>
      <c r="CS1" s="30"/>
      <c r="CT1" s="30"/>
      <c r="CU1" s="30"/>
      <c r="CV1" s="30"/>
      <c r="CW1" s="30"/>
      <c r="CX1" s="30"/>
      <c r="CY1" s="30"/>
      <c r="CZ1" s="30"/>
      <c r="DA1" s="30"/>
      <c r="DB1" s="30"/>
      <c r="DC1" s="30"/>
      <c r="DD1" s="30"/>
      <c r="DE1" s="30"/>
      <c r="DF1" s="30"/>
      <c r="DG1" s="30"/>
      <c r="DH1" s="30"/>
      <c r="DI1" s="30"/>
      <c r="DJ1" s="30"/>
      <c r="DK1" s="30"/>
      <c r="DL1" s="30"/>
      <c r="DM1" s="30"/>
    </row>
    <row r="2" spans="1:118" ht="139">
      <c r="A2" s="1"/>
      <c r="B2" s="98" t="s">
        <v>1</v>
      </c>
      <c r="C2" s="20" t="s">
        <v>2</v>
      </c>
      <c r="D2" s="20" t="s">
        <v>104</v>
      </c>
      <c r="E2" s="98" t="s">
        <v>3</v>
      </c>
      <c r="F2" s="20" t="s">
        <v>562</v>
      </c>
      <c r="G2" s="20" t="s">
        <v>4</v>
      </c>
      <c r="H2" s="20" t="s">
        <v>132</v>
      </c>
      <c r="I2" s="20" t="s">
        <v>209</v>
      </c>
      <c r="J2" s="20" t="s">
        <v>345</v>
      </c>
      <c r="K2" s="21" t="s">
        <v>346</v>
      </c>
      <c r="L2" s="20" t="s">
        <v>5</v>
      </c>
      <c r="M2" s="98" t="s">
        <v>102</v>
      </c>
      <c r="N2" s="3" t="s">
        <v>205</v>
      </c>
      <c r="O2" s="20" t="s">
        <v>100</v>
      </c>
      <c r="P2" s="20" t="s">
        <v>6</v>
      </c>
      <c r="Q2" s="20" t="s">
        <v>179</v>
      </c>
      <c r="R2" s="20" t="s">
        <v>101</v>
      </c>
      <c r="S2" s="20" t="s">
        <v>96</v>
      </c>
      <c r="T2" s="20" t="s">
        <v>185</v>
      </c>
      <c r="U2" s="20" t="s">
        <v>97</v>
      </c>
      <c r="V2" s="20" t="s">
        <v>178</v>
      </c>
      <c r="W2" s="20" t="s">
        <v>7</v>
      </c>
      <c r="X2" s="20" t="s">
        <v>184</v>
      </c>
      <c r="Y2" s="20" t="s">
        <v>106</v>
      </c>
      <c r="Z2" s="20" t="s">
        <v>94</v>
      </c>
      <c r="AA2" s="20" t="s">
        <v>95</v>
      </c>
      <c r="AB2" s="20" t="s">
        <v>180</v>
      </c>
      <c r="AC2" s="20" t="s">
        <v>8</v>
      </c>
      <c r="AD2" s="20" t="s">
        <v>9</v>
      </c>
      <c r="AE2" s="20" t="s">
        <v>93</v>
      </c>
      <c r="AF2" s="20" t="s">
        <v>348</v>
      </c>
      <c r="AG2" s="20" t="s">
        <v>349</v>
      </c>
      <c r="AH2" s="20" t="s">
        <v>347</v>
      </c>
      <c r="AI2" s="20" t="s">
        <v>350</v>
      </c>
      <c r="AJ2" s="20" t="s">
        <v>390</v>
      </c>
      <c r="AK2" s="20" t="s">
        <v>351</v>
      </c>
      <c r="AL2" s="20" t="s">
        <v>388</v>
      </c>
      <c r="AM2" s="20" t="s">
        <v>352</v>
      </c>
      <c r="AN2" s="20" t="s">
        <v>353</v>
      </c>
      <c r="AO2" s="20" t="s">
        <v>354</v>
      </c>
      <c r="AP2" s="20" t="s">
        <v>356</v>
      </c>
      <c r="AQ2" s="20" t="s">
        <v>355</v>
      </c>
      <c r="AR2" s="20" t="s">
        <v>389</v>
      </c>
      <c r="AS2" s="20" t="s">
        <v>400</v>
      </c>
      <c r="AT2" s="20" t="s">
        <v>401</v>
      </c>
      <c r="AU2" s="20" t="s">
        <v>357</v>
      </c>
      <c r="AV2" s="20" t="s">
        <v>402</v>
      </c>
      <c r="AW2" s="20" t="s">
        <v>403</v>
      </c>
      <c r="AX2" s="20" t="s">
        <v>391</v>
      </c>
      <c r="AY2" s="20" t="s">
        <v>358</v>
      </c>
      <c r="AZ2" s="20" t="s">
        <v>392</v>
      </c>
      <c r="BA2" s="20" t="s">
        <v>359</v>
      </c>
      <c r="BB2" s="20" t="s">
        <v>360</v>
      </c>
      <c r="BC2" s="20" t="s">
        <v>361</v>
      </c>
      <c r="BD2" s="20" t="s">
        <v>362</v>
      </c>
      <c r="BE2" s="20" t="s">
        <v>363</v>
      </c>
      <c r="BF2" s="20" t="s">
        <v>364</v>
      </c>
      <c r="BG2" s="20" t="s">
        <v>365</v>
      </c>
      <c r="BH2" s="20" t="s">
        <v>366</v>
      </c>
      <c r="BI2" s="20" t="s">
        <v>367</v>
      </c>
      <c r="BJ2" s="20" t="s">
        <v>368</v>
      </c>
      <c r="BK2" s="20" t="s">
        <v>404</v>
      </c>
      <c r="BL2" s="20" t="s">
        <v>369</v>
      </c>
      <c r="BM2" s="20" t="s">
        <v>370</v>
      </c>
      <c r="BN2" s="20" t="s">
        <v>394</v>
      </c>
      <c r="BO2" s="20" t="s">
        <v>395</v>
      </c>
      <c r="BP2" s="20" t="s">
        <v>396</v>
      </c>
      <c r="BQ2" s="20" t="s">
        <v>405</v>
      </c>
      <c r="BR2" s="20" t="s">
        <v>406</v>
      </c>
      <c r="BS2" s="20" t="s">
        <v>407</v>
      </c>
      <c r="BT2" s="20" t="s">
        <v>408</v>
      </c>
      <c r="BU2" s="20" t="s">
        <v>409</v>
      </c>
      <c r="BV2" s="20" t="s">
        <v>410</v>
      </c>
      <c r="BW2" s="20" t="str">
        <f t="shared" ref="BW2:DM2" si="0">AF2</f>
        <v>TPSSh</v>
      </c>
      <c r="BX2" s="20" t="str">
        <f t="shared" si="0"/>
        <v>t-HCTHhyb</v>
      </c>
      <c r="BY2" s="20" t="str">
        <f t="shared" si="0"/>
        <v>B3LYP</v>
      </c>
      <c r="BZ2" s="20" t="str">
        <f t="shared" si="0"/>
        <v>PBE0</v>
      </c>
      <c r="CA2" s="20" t="str">
        <f t="shared" si="0"/>
        <v>cSCAN0</v>
      </c>
      <c r="CB2" s="20" t="str">
        <f t="shared" si="0"/>
        <v>M06</v>
      </c>
      <c r="CC2" s="20" t="str">
        <f t="shared" si="0"/>
        <v>cM06</v>
      </c>
      <c r="CD2" s="20" t="str">
        <f t="shared" si="0"/>
        <v>SOGGA11-X</v>
      </c>
      <c r="CE2" s="20" t="str">
        <f t="shared" si="0"/>
        <v>BMK</v>
      </c>
      <c r="CF2" s="20" t="str">
        <f t="shared" si="0"/>
        <v>MN15</v>
      </c>
      <c r="CG2" s="20" t="str">
        <f t="shared" si="0"/>
        <v>M08-HX</v>
      </c>
      <c r="CH2" s="20" t="str">
        <f t="shared" si="0"/>
        <v>M06-2X</v>
      </c>
      <c r="CI2" s="20" t="str">
        <f t="shared" si="0"/>
        <v>cM06-2X</v>
      </c>
      <c r="CJ2" s="20" t="str">
        <f t="shared" si="0"/>
        <v>M06-SX</v>
      </c>
      <c r="CK2" s="20" t="str">
        <f t="shared" si="0"/>
        <v>cM06-SX</v>
      </c>
      <c r="CL2" s="20" t="str">
        <f t="shared" si="0"/>
        <v>CAM-BLYP</v>
      </c>
      <c r="CM2" s="20" t="str">
        <f t="shared" si="0"/>
        <v>tCAM-B3LYP</v>
      </c>
      <c r="CN2" s="20" t="str">
        <f t="shared" si="0"/>
        <v>mCAM-B3LYP</v>
      </c>
      <c r="CO2" s="20" t="str">
        <f t="shared" si="0"/>
        <v>rCAM-B3LYP</v>
      </c>
      <c r="CP2" s="20" t="str">
        <f t="shared" si="0"/>
        <v>wB97X-D</v>
      </c>
      <c r="CQ2" s="20" t="str">
        <f t="shared" si="0"/>
        <v>wB97M-V</v>
      </c>
      <c r="CR2" s="20" t="str">
        <f t="shared" si="0"/>
        <v>wB97X</v>
      </c>
      <c r="CS2" s="20" t="str">
        <f t="shared" si="0"/>
        <v>wB97</v>
      </c>
      <c r="CT2" s="20" t="str">
        <f t="shared" si="0"/>
        <v>LC-wPBE</v>
      </c>
      <c r="CU2" s="20" t="str">
        <f t="shared" si="0"/>
        <v>M11</v>
      </c>
      <c r="CV2" s="20" t="str">
        <f t="shared" si="0"/>
        <v>B2PLYP</v>
      </c>
      <c r="CW2" s="20" t="str">
        <f t="shared" si="0"/>
        <v>PBE0-DH</v>
      </c>
      <c r="CX2" s="20" t="str">
        <f t="shared" si="0"/>
        <v>PBE-QIDH</v>
      </c>
      <c r="CY2" s="20" t="str">
        <f t="shared" si="0"/>
        <v>wB2PLYP</v>
      </c>
      <c r="CZ2" s="20" t="str">
        <f t="shared" si="0"/>
        <v>RSH-0DH</v>
      </c>
      <c r="DA2" s="20" t="str">
        <f t="shared" si="0"/>
        <v>RSX-QIDH</v>
      </c>
      <c r="DB2" s="20" t="str">
        <f t="shared" si="0"/>
        <v>wB97X-2</v>
      </c>
      <c r="DC2" s="20" t="str">
        <f t="shared" si="0"/>
        <v>SOS-wB88PP86</v>
      </c>
      <c r="DD2" s="20" t="str">
        <f t="shared" si="0"/>
        <v>SOS-wPBEPP86</v>
      </c>
      <c r="DE2" s="20" t="str">
        <f t="shared" si="0"/>
        <v>cLH12ct-SsirPW92</v>
      </c>
      <c r="DF2" s="20" t="str">
        <f t="shared" si="0"/>
        <v>cLH14t-calPBE</v>
      </c>
      <c r="DG2" s="20" t="str">
        <f t="shared" si="0"/>
        <v>cLH20t</v>
      </c>
      <c r="DH2" s="20" t="str">
        <f t="shared" si="0"/>
        <v>BSE/G0W0@PBE0</v>
      </c>
      <c r="DI2" s="20" t="str">
        <f t="shared" si="0"/>
        <v>BSE/G0W0@CAM-B3LYP</v>
      </c>
      <c r="DJ2" s="20" t="str">
        <f t="shared" si="0"/>
        <v>BSE/G0W0@HF</v>
      </c>
      <c r="DK2" s="20" t="str">
        <f t="shared" si="0"/>
        <v>BSE/evGW@PBE0</v>
      </c>
      <c r="DL2" s="20" t="str">
        <f t="shared" si="0"/>
        <v>BSE/evGW@CAM-B3LYP</v>
      </c>
      <c r="DM2" s="20" t="str">
        <f t="shared" si="0"/>
        <v>BSE/evGW@HF</v>
      </c>
    </row>
    <row r="3" spans="1:118">
      <c r="A3" s="1">
        <v>1</v>
      </c>
      <c r="B3" s="2" t="s">
        <v>386</v>
      </c>
      <c r="C3" s="4">
        <v>14</v>
      </c>
      <c r="D3" s="4">
        <f>_xlfn.SWITCH(C3,1,12,2,12,3,35,4,35,5,35,6,69,7,69,8,69,9,69,1016)</f>
        <v>1016</v>
      </c>
      <c r="E3" s="4" t="s">
        <v>162</v>
      </c>
      <c r="F3" s="4">
        <v>1</v>
      </c>
      <c r="G3" s="4" t="s">
        <v>11</v>
      </c>
      <c r="H3" s="4" t="s">
        <v>17</v>
      </c>
      <c r="I3" s="4"/>
      <c r="J3" s="5">
        <v>89.8</v>
      </c>
      <c r="K3" s="63">
        <v>7.3999999999999996E-2</v>
      </c>
      <c r="L3" s="99">
        <v>3.7570000000000001</v>
      </c>
      <c r="M3" s="7" t="s">
        <v>158</v>
      </c>
      <c r="N3" s="3" t="s">
        <v>205</v>
      </c>
      <c r="O3" s="22">
        <v>3.944</v>
      </c>
      <c r="P3" s="22">
        <v>3.6589999999999998</v>
      </c>
      <c r="Q3" s="22">
        <v>4.4189999999999996</v>
      </c>
      <c r="R3" s="41"/>
      <c r="S3" s="22">
        <v>3.9790000000000001</v>
      </c>
      <c r="T3" s="41"/>
      <c r="U3" s="22">
        <v>3.839</v>
      </c>
      <c r="V3" s="22">
        <v>3.8260000000000001</v>
      </c>
      <c r="W3" s="41"/>
      <c r="X3" s="41"/>
      <c r="Y3" s="22">
        <v>3.883</v>
      </c>
      <c r="Z3" s="22">
        <v>3.9140000000000001</v>
      </c>
      <c r="AA3" s="22">
        <v>3.8319999999999999</v>
      </c>
      <c r="AB3" s="22">
        <v>3.677</v>
      </c>
      <c r="AC3" s="22">
        <v>3.6509999999999998</v>
      </c>
      <c r="AD3" s="22">
        <v>3.6379999999999999</v>
      </c>
      <c r="AE3" s="22">
        <f>AVERAGE(AC3:AD3)</f>
        <v>3.6444999999999999</v>
      </c>
      <c r="AF3" s="103">
        <v>3.1360000000000001</v>
      </c>
      <c r="AG3" s="103">
        <v>3.1379999999999999</v>
      </c>
      <c r="AH3" s="103">
        <v>3.1970000000000001</v>
      </c>
      <c r="AI3" s="103">
        <v>3.2789999999999999</v>
      </c>
      <c r="AJ3" s="103">
        <v>3.2850000000000001</v>
      </c>
      <c r="AK3" s="103">
        <v>3.1930000000000001</v>
      </c>
      <c r="AL3" s="103">
        <v>3.2080000000000002</v>
      </c>
      <c r="AM3" s="103">
        <v>3.4540000000000002</v>
      </c>
      <c r="AN3" s="103">
        <v>3.4849999999999999</v>
      </c>
      <c r="AO3" s="103">
        <v>3.3919999999999999</v>
      </c>
      <c r="AP3" s="103">
        <v>3.54</v>
      </c>
      <c r="AQ3" s="103">
        <v>3.5449999999999999</v>
      </c>
      <c r="AR3" s="103">
        <v>3.5670000000000002</v>
      </c>
      <c r="AS3" s="103">
        <v>3.379</v>
      </c>
      <c r="AT3" s="103">
        <v>3.3719999999999999</v>
      </c>
      <c r="AU3" s="103">
        <v>3.52</v>
      </c>
      <c r="AV3" s="103">
        <v>3.3</v>
      </c>
      <c r="AW3" s="103">
        <v>3.3330000000000002</v>
      </c>
      <c r="AX3" s="103">
        <v>3.7330000000000001</v>
      </c>
      <c r="AY3" s="103">
        <v>3.5579999999999998</v>
      </c>
      <c r="AZ3" s="103">
        <v>3.6259999999999999</v>
      </c>
      <c r="BA3" s="103">
        <v>3.69</v>
      </c>
      <c r="BB3" s="103">
        <v>3.762</v>
      </c>
      <c r="BC3" s="103">
        <v>3.786</v>
      </c>
      <c r="BD3" s="103">
        <v>3.6850000000000001</v>
      </c>
      <c r="BE3" s="103">
        <v>3.3969999999999998</v>
      </c>
      <c r="BF3" s="103">
        <v>3.464</v>
      </c>
      <c r="BG3" s="103">
        <v>3.5779999999999998</v>
      </c>
      <c r="BH3" s="103">
        <v>3.7010000000000001</v>
      </c>
      <c r="BI3" s="103">
        <v>3.7719999999999998</v>
      </c>
      <c r="BJ3" s="103">
        <v>3.7429999999999999</v>
      </c>
      <c r="BK3" s="103">
        <v>3.6120000000000001</v>
      </c>
      <c r="BL3" s="103">
        <v>3.5649999999999999</v>
      </c>
      <c r="BM3" s="103">
        <v>3.5249999999999999</v>
      </c>
      <c r="BN3" s="103">
        <v>3.3759999999999999</v>
      </c>
      <c r="BO3" s="103">
        <v>3.2690000000000001</v>
      </c>
      <c r="BP3" s="103">
        <v>3.3740000000000001</v>
      </c>
      <c r="BQ3" s="87">
        <v>2.930237</v>
      </c>
      <c r="BR3" s="87">
        <v>3.2369919999999999</v>
      </c>
      <c r="BS3" s="87">
        <v>3.7168999999999999</v>
      </c>
      <c r="BT3" s="87">
        <v>3.2111200000000002</v>
      </c>
      <c r="BU3" s="87">
        <v>3.3046660000000001</v>
      </c>
      <c r="BV3" s="87">
        <v>3.6561409999999999</v>
      </c>
      <c r="BW3" s="105">
        <v>3.3460000000000001</v>
      </c>
      <c r="BX3" s="105">
        <v>3.3519999999999999</v>
      </c>
      <c r="BY3" s="105">
        <v>3.4129999999999998</v>
      </c>
      <c r="BZ3" s="105">
        <v>3.4980000000000002</v>
      </c>
      <c r="CA3" s="105">
        <v>3.5009999999999999</v>
      </c>
      <c r="CB3" s="105">
        <v>3.41</v>
      </c>
      <c r="CC3" s="105">
        <v>3.427</v>
      </c>
      <c r="CD3" s="105">
        <v>3.68</v>
      </c>
      <c r="CE3" s="105">
        <v>3.73</v>
      </c>
      <c r="CF3" s="105">
        <v>3.63</v>
      </c>
      <c r="CG3" s="105">
        <v>3.7930000000000001</v>
      </c>
      <c r="CH3" s="105">
        <v>3.7949999999999999</v>
      </c>
      <c r="CI3" s="105">
        <v>3.82</v>
      </c>
      <c r="CJ3" s="105">
        <v>3.5979999999999999</v>
      </c>
      <c r="CK3" s="105">
        <v>3.593</v>
      </c>
      <c r="CL3" s="105">
        <v>3.7709999999999999</v>
      </c>
      <c r="CM3" s="105">
        <v>3.5510000000000002</v>
      </c>
      <c r="CN3" s="105">
        <v>3.5630000000000002</v>
      </c>
      <c r="CO3" s="105">
        <v>4.0410000000000004</v>
      </c>
      <c r="CP3" s="105">
        <v>3.823</v>
      </c>
      <c r="CQ3" s="105">
        <v>3.9039999999999999</v>
      </c>
      <c r="CR3" s="105">
        <v>3.968</v>
      </c>
      <c r="CS3" s="105">
        <v>4.0460000000000003</v>
      </c>
      <c r="CT3" s="105">
        <v>4.0759999999999996</v>
      </c>
      <c r="CU3" s="105">
        <v>3.9820000000000002</v>
      </c>
      <c r="CV3" s="105">
        <v>3.573</v>
      </c>
      <c r="CW3" s="105">
        <v>3.67</v>
      </c>
      <c r="CX3" s="105">
        <v>3.7669999999999999</v>
      </c>
      <c r="CY3" s="105">
        <v>3.9390000000000001</v>
      </c>
      <c r="CZ3" s="105">
        <v>4.0380000000000003</v>
      </c>
      <c r="DA3" s="105">
        <v>3.972</v>
      </c>
      <c r="DB3" s="105">
        <v>3.702</v>
      </c>
      <c r="DC3" s="105">
        <v>3.778</v>
      </c>
      <c r="DD3" s="105">
        <v>3.7320000000000002</v>
      </c>
      <c r="DE3" s="105">
        <v>3.6019999999999999</v>
      </c>
      <c r="DF3" s="105">
        <v>3.49</v>
      </c>
      <c r="DG3" s="105">
        <v>3.601</v>
      </c>
      <c r="DH3" s="115">
        <v>3.214191</v>
      </c>
      <c r="DI3" s="115">
        <v>3.516956</v>
      </c>
      <c r="DJ3" s="115">
        <v>3.9618820000000001</v>
      </c>
      <c r="DK3" s="115">
        <v>3.4873240000000001</v>
      </c>
      <c r="DL3" s="115">
        <v>3.5822769999999999</v>
      </c>
      <c r="DM3" s="115">
        <v>3.903089</v>
      </c>
      <c r="DN3" s="6"/>
    </row>
    <row r="4" spans="1:118">
      <c r="A4" s="1">
        <f>A3+1</f>
        <v>2</v>
      </c>
      <c r="B4" s="2"/>
      <c r="C4" s="4">
        <v>14</v>
      </c>
      <c r="D4" s="4">
        <f t="shared" ref="D4:D67" si="1">_xlfn.SWITCH(C4,1,12,2,12,3,35,4,35,5,35,6,69,7,69,8,69,9,69,1016)</f>
        <v>1016</v>
      </c>
      <c r="E4" s="4" t="s">
        <v>161</v>
      </c>
      <c r="F4" s="4">
        <v>1</v>
      </c>
      <c r="G4" s="4" t="s">
        <v>11</v>
      </c>
      <c r="H4" s="4" t="s">
        <v>17</v>
      </c>
      <c r="I4" s="4"/>
      <c r="J4" s="5">
        <v>85.4</v>
      </c>
      <c r="K4" s="63">
        <v>0</v>
      </c>
      <c r="L4" s="99">
        <v>3.782</v>
      </c>
      <c r="M4" s="7" t="s">
        <v>158</v>
      </c>
      <c r="N4" s="3" t="s">
        <v>205</v>
      </c>
      <c r="O4" s="22">
        <v>3.9460000000000002</v>
      </c>
      <c r="P4" s="22">
        <v>3.9039999999999999</v>
      </c>
      <c r="Q4" s="22">
        <v>4.3129999999999997</v>
      </c>
      <c r="R4" s="41"/>
      <c r="S4" s="22">
        <v>3.931</v>
      </c>
      <c r="T4" s="41"/>
      <c r="U4" s="22">
        <v>3.895</v>
      </c>
      <c r="V4" s="22">
        <v>3.823</v>
      </c>
      <c r="W4" s="41"/>
      <c r="X4" s="41"/>
      <c r="Y4" s="22">
        <v>3.8410000000000002</v>
      </c>
      <c r="Z4" s="22">
        <v>3.8290000000000002</v>
      </c>
      <c r="AA4" s="22">
        <v>3.8610000000000002</v>
      </c>
      <c r="AB4" s="22">
        <v>3.6110000000000002</v>
      </c>
      <c r="AC4" s="22">
        <v>3.911</v>
      </c>
      <c r="AD4" s="22">
        <v>3.64</v>
      </c>
      <c r="AE4" s="22">
        <f t="shared" ref="AE4:AE22" si="2">AVERAGE(AC4:AD4)</f>
        <v>3.7755000000000001</v>
      </c>
      <c r="AF4" s="103">
        <v>3.8460000000000001</v>
      </c>
      <c r="AG4" s="103">
        <v>3.8450000000000002</v>
      </c>
      <c r="AH4" s="103">
        <v>3.8780000000000001</v>
      </c>
      <c r="AI4" s="103">
        <v>3.9550000000000001</v>
      </c>
      <c r="AJ4" s="103">
        <v>4.0490000000000004</v>
      </c>
      <c r="AK4" s="103">
        <v>3.83</v>
      </c>
      <c r="AL4" s="103">
        <v>3.8330000000000002</v>
      </c>
      <c r="AM4" s="103">
        <v>4.0979999999999999</v>
      </c>
      <c r="AN4" s="103">
        <v>4.0999999999999996</v>
      </c>
      <c r="AO4" s="103">
        <v>3.98</v>
      </c>
      <c r="AP4" s="103">
        <v>4.1059999999999999</v>
      </c>
      <c r="AQ4" s="103">
        <v>4.0949999999999998</v>
      </c>
      <c r="AR4" s="103">
        <v>4.0970000000000004</v>
      </c>
      <c r="AS4" s="103">
        <v>4.0810000000000004</v>
      </c>
      <c r="AT4" s="103">
        <v>4.08</v>
      </c>
      <c r="AU4" s="103">
        <v>4.0570000000000004</v>
      </c>
      <c r="AV4" s="103">
        <v>3.903</v>
      </c>
      <c r="AW4" s="103">
        <v>3.9569999999999999</v>
      </c>
      <c r="AX4" s="103">
        <v>4.1139999999999999</v>
      </c>
      <c r="AY4" s="103">
        <v>4.077</v>
      </c>
      <c r="AZ4" s="103">
        <v>4.0960000000000001</v>
      </c>
      <c r="BA4" s="103">
        <v>4.1210000000000004</v>
      </c>
      <c r="BB4" s="103">
        <v>4.1399999999999997</v>
      </c>
      <c r="BC4" s="103">
        <v>4.1349999999999998</v>
      </c>
      <c r="BD4" s="103">
        <v>4.1909999999999998</v>
      </c>
      <c r="BE4" s="103">
        <v>3.7850000000000001</v>
      </c>
      <c r="BF4" s="103">
        <v>3.9849999999999999</v>
      </c>
      <c r="BG4" s="103">
        <v>3.9020000000000001</v>
      </c>
      <c r="BH4" s="103">
        <v>3.9769999999999999</v>
      </c>
      <c r="BI4" s="103">
        <v>4.1520000000000001</v>
      </c>
      <c r="BJ4" s="103">
        <v>4.0049999999999999</v>
      </c>
      <c r="BK4" s="103">
        <v>3.2879999999999998</v>
      </c>
      <c r="BL4" s="103">
        <v>3.5739999999999998</v>
      </c>
      <c r="BM4" s="103">
        <v>3.472</v>
      </c>
      <c r="BN4" s="103">
        <v>4.03</v>
      </c>
      <c r="BO4" s="103">
        <v>3.9319999999999999</v>
      </c>
      <c r="BP4" s="103">
        <v>3.992</v>
      </c>
      <c r="BQ4" s="87">
        <v>3.4673250000000002</v>
      </c>
      <c r="BR4" s="87">
        <v>3.7421609999999998</v>
      </c>
      <c r="BS4" s="87">
        <v>4.4290380000000003</v>
      </c>
      <c r="BT4" s="87">
        <v>3.719271</v>
      </c>
      <c r="BU4" s="87">
        <v>3.7984789999999999</v>
      </c>
      <c r="BV4" s="87">
        <v>4.3693549999999997</v>
      </c>
      <c r="BW4" s="105">
        <v>3.8610000000000002</v>
      </c>
      <c r="BX4" s="105">
        <v>3.86</v>
      </c>
      <c r="BY4" s="105">
        <v>3.8959999999999999</v>
      </c>
      <c r="BZ4" s="105">
        <v>3.9769999999999999</v>
      </c>
      <c r="CA4" s="105">
        <v>4.0780000000000003</v>
      </c>
      <c r="CB4" s="105">
        <v>3.863</v>
      </c>
      <c r="CC4" s="105">
        <v>3.8650000000000002</v>
      </c>
      <c r="CD4" s="105">
        <v>4.1429999999999998</v>
      </c>
      <c r="CE4" s="105">
        <v>4.1470000000000002</v>
      </c>
      <c r="CF4" s="105">
        <v>4.0250000000000004</v>
      </c>
      <c r="CG4" s="105">
        <v>4.1639999999999997</v>
      </c>
      <c r="CH4" s="105">
        <v>4.1550000000000002</v>
      </c>
      <c r="CI4" s="105">
        <v>4.157</v>
      </c>
      <c r="CJ4" s="105">
        <v>4.109</v>
      </c>
      <c r="CK4" s="105">
        <v>4.1079999999999997</v>
      </c>
      <c r="CL4" s="105">
        <v>4.1180000000000003</v>
      </c>
      <c r="CM4" s="105">
        <v>3.927</v>
      </c>
      <c r="CN4" s="105">
        <v>3.9870000000000001</v>
      </c>
      <c r="CO4" s="105">
        <v>4.2830000000000004</v>
      </c>
      <c r="CP4" s="105">
        <v>4.1399999999999997</v>
      </c>
      <c r="CQ4" s="105">
        <v>4.1900000000000004</v>
      </c>
      <c r="CR4" s="105">
        <v>4.2279999999999998</v>
      </c>
      <c r="CS4" s="105">
        <v>4.282</v>
      </c>
      <c r="CT4" s="105">
        <v>4.2770000000000001</v>
      </c>
      <c r="CU4" s="105">
        <v>4.2869999999999999</v>
      </c>
      <c r="CV4" s="105">
        <v>3.8940000000000001</v>
      </c>
      <c r="CW4" s="105">
        <v>4.0670000000000002</v>
      </c>
      <c r="CX4" s="105">
        <v>4.0670000000000002</v>
      </c>
      <c r="CY4" s="105">
        <v>4.1760000000000002</v>
      </c>
      <c r="CZ4" s="105">
        <v>4.3330000000000002</v>
      </c>
      <c r="DA4" s="105">
        <v>4.2290000000000001</v>
      </c>
      <c r="DB4" s="105">
        <v>3.6070000000000002</v>
      </c>
      <c r="DC4" s="105">
        <v>3.8420000000000001</v>
      </c>
      <c r="DD4" s="105">
        <v>3.7709999999999999</v>
      </c>
      <c r="DE4" s="105">
        <v>4.0590000000000002</v>
      </c>
      <c r="DF4" s="105">
        <v>3.9540000000000002</v>
      </c>
      <c r="DG4" s="105">
        <v>4.0259999999999998</v>
      </c>
      <c r="DH4" s="115">
        <v>3.497503</v>
      </c>
      <c r="DI4" s="115">
        <v>3.7785700000000002</v>
      </c>
      <c r="DJ4" s="115">
        <v>4.479247</v>
      </c>
      <c r="DK4" s="115">
        <v>3.760437</v>
      </c>
      <c r="DL4" s="115">
        <v>3.8384870000000002</v>
      </c>
      <c r="DM4" s="115">
        <v>4.4184749999999999</v>
      </c>
    </row>
    <row r="5" spans="1:118">
      <c r="A5" s="1">
        <f t="shared" ref="A5:A27" si="3">A4+1</f>
        <v>3</v>
      </c>
      <c r="B5" s="2"/>
      <c r="C5" s="4">
        <v>14</v>
      </c>
      <c r="D5" s="4">
        <f t="shared" si="1"/>
        <v>1016</v>
      </c>
      <c r="E5" s="4" t="s">
        <v>160</v>
      </c>
      <c r="F5" s="4">
        <v>1</v>
      </c>
      <c r="G5" s="4" t="s">
        <v>11</v>
      </c>
      <c r="H5" s="4" t="s">
        <v>17</v>
      </c>
      <c r="I5" s="4" t="s">
        <v>320</v>
      </c>
      <c r="J5" s="5">
        <v>78.5</v>
      </c>
      <c r="K5" s="68"/>
      <c r="L5" s="99">
        <v>5.0119999999999996</v>
      </c>
      <c r="M5" s="7" t="s">
        <v>158</v>
      </c>
      <c r="N5" s="3" t="s">
        <v>205</v>
      </c>
      <c r="O5" s="22">
        <v>5.5369999999999999</v>
      </c>
      <c r="P5" s="22">
        <v>5.1130000000000004</v>
      </c>
      <c r="Q5" s="22">
        <v>5.97</v>
      </c>
      <c r="R5" s="41"/>
      <c r="S5" s="22">
        <v>5.6020000000000003</v>
      </c>
      <c r="T5" s="41"/>
      <c r="U5" s="22">
        <v>5.2960000000000003</v>
      </c>
      <c r="V5" s="22">
        <v>5.1929999999999996</v>
      </c>
      <c r="W5" s="41"/>
      <c r="X5" s="41"/>
      <c r="Y5" s="22">
        <v>5.49</v>
      </c>
      <c r="Z5" s="22">
        <v>5.4880000000000004</v>
      </c>
      <c r="AA5" s="22">
        <v>5.35</v>
      </c>
      <c r="AB5" s="22">
        <v>5.2549999999999999</v>
      </c>
      <c r="AC5" s="22">
        <v>5.1459999999999999</v>
      </c>
      <c r="AD5" s="22">
        <v>5.0090000000000003</v>
      </c>
      <c r="AE5" s="22">
        <f t="shared" si="2"/>
        <v>5.0775000000000006</v>
      </c>
      <c r="AF5" s="103">
        <v>4.7889999999999997</v>
      </c>
      <c r="AG5" s="103">
        <v>4.7699999999999996</v>
      </c>
      <c r="AH5" s="103">
        <v>4.8159999999999998</v>
      </c>
      <c r="AI5" s="103">
        <v>4.9249999999999998</v>
      </c>
      <c r="AJ5" s="103">
        <v>4.96</v>
      </c>
      <c r="AK5" s="103">
        <v>4.7590000000000003</v>
      </c>
      <c r="AL5" s="103">
        <v>4.7869999999999999</v>
      </c>
      <c r="AM5" s="103">
        <v>5.1070000000000002</v>
      </c>
      <c r="AN5" s="103">
        <v>5.1470000000000002</v>
      </c>
      <c r="AO5" s="103">
        <v>5.0140000000000002</v>
      </c>
      <c r="AP5" s="103">
        <v>5.1289999999999996</v>
      </c>
      <c r="AQ5" s="103">
        <v>5.16</v>
      </c>
      <c r="AR5" s="103">
        <v>5.1980000000000004</v>
      </c>
      <c r="AS5" s="103">
        <v>4.9000000000000004</v>
      </c>
      <c r="AT5" s="103">
        <v>4.8979999999999997</v>
      </c>
      <c r="AU5" s="103">
        <v>5.1189999999999998</v>
      </c>
      <c r="AV5" s="103">
        <v>4.8109999999999999</v>
      </c>
      <c r="AW5" s="103">
        <v>4.8339999999999996</v>
      </c>
      <c r="AX5" s="103">
        <v>5.2969999999999997</v>
      </c>
      <c r="AY5" s="103">
        <v>5.1539999999999999</v>
      </c>
      <c r="AZ5" s="103">
        <v>5.7080000000000002</v>
      </c>
      <c r="BA5" s="103">
        <v>5.2869999999999999</v>
      </c>
      <c r="BB5" s="103">
        <v>5.3639999999999999</v>
      </c>
      <c r="BC5" s="103">
        <v>5.391</v>
      </c>
      <c r="BD5" s="103">
        <v>5.2510000000000003</v>
      </c>
      <c r="BE5" s="103">
        <v>4.7510000000000003</v>
      </c>
      <c r="BF5" s="103">
        <v>5.0640000000000001</v>
      </c>
      <c r="BG5" s="103">
        <v>5.1989999999999998</v>
      </c>
      <c r="BH5" s="103">
        <v>5.2930000000000001</v>
      </c>
      <c r="BI5" s="103">
        <v>5.4130000000000003</v>
      </c>
      <c r="BJ5" s="103">
        <v>5.3659999999999997</v>
      </c>
      <c r="BK5" s="103">
        <v>4.5</v>
      </c>
      <c r="BL5" s="103">
        <v>5.1529999999999996</v>
      </c>
      <c r="BM5" s="103">
        <v>5.1230000000000002</v>
      </c>
      <c r="BN5" s="103">
        <v>5.048</v>
      </c>
      <c r="BO5" s="103">
        <v>4.9169999999999998</v>
      </c>
      <c r="BP5" s="103">
        <v>5.0149999999999997</v>
      </c>
      <c r="BQ5" s="87">
        <v>4.4433530000000001</v>
      </c>
      <c r="BR5" s="87">
        <v>4.7885340000000003</v>
      </c>
      <c r="BS5" s="87">
        <v>5.4288780000000001</v>
      </c>
      <c r="BT5" s="87">
        <v>4.7967199999999997</v>
      </c>
      <c r="BU5" s="87">
        <v>4.8718180000000002</v>
      </c>
      <c r="BV5" s="87">
        <v>5.3441159999999996</v>
      </c>
      <c r="BW5" s="105">
        <v>4.9669999999999996</v>
      </c>
      <c r="BX5" s="105">
        <v>4.9530000000000003</v>
      </c>
      <c r="BY5" s="105">
        <v>5.0030000000000001</v>
      </c>
      <c r="BZ5" s="105">
        <v>5.1180000000000003</v>
      </c>
      <c r="CA5" s="105">
        <v>5.1580000000000004</v>
      </c>
      <c r="CB5" s="105">
        <v>4.9480000000000004</v>
      </c>
      <c r="CC5" s="105">
        <v>4.9790000000000001</v>
      </c>
      <c r="CD5" s="105">
        <v>5.3230000000000004</v>
      </c>
      <c r="CE5" s="105">
        <v>5.3769999999999998</v>
      </c>
      <c r="CF5" s="105">
        <v>5.2370000000000001</v>
      </c>
      <c r="CG5" s="105">
        <v>5.3970000000000002</v>
      </c>
      <c r="CH5" s="105">
        <v>5.4109999999999996</v>
      </c>
      <c r="CI5" s="105">
        <v>5.444</v>
      </c>
      <c r="CJ5" s="105">
        <v>4.9059999999999997</v>
      </c>
      <c r="CK5" s="105">
        <v>4.9039999999999999</v>
      </c>
      <c r="CL5" s="105">
        <v>5.298</v>
      </c>
      <c r="CM5" s="105">
        <v>4.8179999999999996</v>
      </c>
      <c r="CN5" s="105">
        <v>4.8390000000000004</v>
      </c>
      <c r="CO5" s="105">
        <v>5.5549999999999997</v>
      </c>
      <c r="CP5" s="105">
        <v>5.3789999999999996</v>
      </c>
      <c r="CQ5" s="105">
        <v>5.73</v>
      </c>
      <c r="CR5" s="105">
        <v>5.53</v>
      </c>
      <c r="CS5" s="105">
        <v>5.6159999999999997</v>
      </c>
      <c r="CT5" s="105">
        <v>5.6509999999999998</v>
      </c>
      <c r="CU5" s="105">
        <v>5.5</v>
      </c>
      <c r="CV5" s="105">
        <v>4.8550000000000004</v>
      </c>
      <c r="CW5" s="105">
        <v>5.1559999999999997</v>
      </c>
      <c r="CX5" s="105">
        <v>5.3730000000000002</v>
      </c>
      <c r="CY5" s="105">
        <v>5.4939999999999998</v>
      </c>
      <c r="CZ5" s="105">
        <v>5.6449999999999996</v>
      </c>
      <c r="DA5" s="105">
        <v>5.5670000000000002</v>
      </c>
      <c r="DB5" s="105">
        <v>4.4850000000000003</v>
      </c>
      <c r="DC5" s="105">
        <v>5.3319999999999999</v>
      </c>
      <c r="DD5" s="105">
        <v>5.2969999999999997</v>
      </c>
      <c r="DE5" s="105">
        <v>5.2489999999999997</v>
      </c>
      <c r="DF5" s="105">
        <v>5.1100000000000003</v>
      </c>
      <c r="DG5" s="105">
        <v>5.218</v>
      </c>
      <c r="DH5" s="115">
        <v>4.6662629999999998</v>
      </c>
      <c r="DI5" s="115">
        <v>4.9271029999999998</v>
      </c>
      <c r="DJ5" s="115">
        <v>5.5917190000000003</v>
      </c>
      <c r="DK5" s="115">
        <v>4.9290710000000004</v>
      </c>
      <c r="DL5" s="115">
        <v>5.0424059999999997</v>
      </c>
      <c r="DM5" s="115">
        <v>5.502345</v>
      </c>
    </row>
    <row r="6" spans="1:118">
      <c r="A6" s="1">
        <f t="shared" si="3"/>
        <v>4</v>
      </c>
      <c r="B6" s="2"/>
      <c r="C6" s="4">
        <v>14</v>
      </c>
      <c r="D6" s="4">
        <f t="shared" si="1"/>
        <v>1016</v>
      </c>
      <c r="E6" s="4" t="s">
        <v>232</v>
      </c>
      <c r="F6" s="4">
        <v>1</v>
      </c>
      <c r="G6" s="4" t="s">
        <v>14</v>
      </c>
      <c r="H6" s="4"/>
      <c r="I6" s="4"/>
      <c r="J6" s="5">
        <v>92.4</v>
      </c>
      <c r="K6" s="68"/>
      <c r="L6" s="99">
        <v>5.0599999999999996</v>
      </c>
      <c r="M6" s="7" t="s">
        <v>158</v>
      </c>
      <c r="N6" s="3" t="s">
        <v>205</v>
      </c>
      <c r="O6" s="22">
        <v>5.0919999999999996</v>
      </c>
      <c r="P6" s="22">
        <v>4.9690000000000003</v>
      </c>
      <c r="Q6" s="22">
        <v>5.4669999999999996</v>
      </c>
      <c r="R6" s="41"/>
      <c r="S6" s="22">
        <v>5.1230000000000002</v>
      </c>
      <c r="T6" s="41"/>
      <c r="U6" s="22">
        <v>5.1070000000000002</v>
      </c>
      <c r="V6" s="22">
        <v>5.0869999999999997</v>
      </c>
      <c r="W6" s="41"/>
      <c r="X6" s="41"/>
      <c r="Y6" s="22">
        <v>5.2549999999999999</v>
      </c>
      <c r="Z6" s="22">
        <v>5.2</v>
      </c>
      <c r="AA6" s="22">
        <v>5.1230000000000002</v>
      </c>
      <c r="AB6" s="22">
        <v>5.1360000000000001</v>
      </c>
      <c r="AC6" s="22">
        <v>5.03</v>
      </c>
      <c r="AD6" s="22">
        <v>4.8970000000000002</v>
      </c>
      <c r="AE6" s="22">
        <f t="shared" si="2"/>
        <v>4.9634999999999998</v>
      </c>
      <c r="AF6" s="103">
        <v>4.7370000000000001</v>
      </c>
      <c r="AG6" s="103">
        <v>4.8890000000000002</v>
      </c>
      <c r="AH6" s="103">
        <v>4.6820000000000004</v>
      </c>
      <c r="AI6" s="103">
        <v>4.9340000000000002</v>
      </c>
      <c r="AJ6" s="103">
        <v>5.2759999999999998</v>
      </c>
      <c r="AK6" s="103">
        <v>3.9580000000000002</v>
      </c>
      <c r="AL6" s="103">
        <v>4.0119999999999996</v>
      </c>
      <c r="AM6" s="103">
        <v>4.867</v>
      </c>
      <c r="AN6" s="103">
        <v>5.2380000000000004</v>
      </c>
      <c r="AO6" s="103">
        <v>5.59</v>
      </c>
      <c r="AP6" s="103">
        <v>4.4790000000000001</v>
      </c>
      <c r="AQ6" s="103">
        <v>4.9669999999999996</v>
      </c>
      <c r="AR6" s="103">
        <v>5.016</v>
      </c>
      <c r="AS6" s="103">
        <v>5.4009999999999998</v>
      </c>
      <c r="AT6" s="103">
        <v>5.3940000000000001</v>
      </c>
      <c r="AU6" s="103">
        <v>5.0730000000000004</v>
      </c>
      <c r="AV6" s="103">
        <v>4.6680000000000001</v>
      </c>
      <c r="AW6" s="103">
        <v>4.8150000000000004</v>
      </c>
      <c r="AX6" s="103">
        <v>5.2519999999999998</v>
      </c>
      <c r="AY6" s="103">
        <v>5.3339999999999996</v>
      </c>
      <c r="AZ6" s="103">
        <v>4.8860000000000001</v>
      </c>
      <c r="BA6" s="103">
        <v>5.6109999999999998</v>
      </c>
      <c r="BB6" s="103">
        <v>5.7169999999999996</v>
      </c>
      <c r="BC6" s="103">
        <v>5.7359999999999998</v>
      </c>
      <c r="BD6" s="103">
        <v>4.6440000000000001</v>
      </c>
      <c r="BE6" s="103">
        <v>4.8159999999999998</v>
      </c>
      <c r="BF6" s="103">
        <v>5.15</v>
      </c>
      <c r="BG6" s="103">
        <v>5.2190000000000003</v>
      </c>
      <c r="BH6" s="103">
        <v>5.2279999999999998</v>
      </c>
      <c r="BI6" s="103">
        <v>5.6769999999999996</v>
      </c>
      <c r="BJ6" s="103">
        <v>5.4960000000000004</v>
      </c>
      <c r="BK6" s="103">
        <v>5.19</v>
      </c>
      <c r="BL6" s="103">
        <v>5.3159999999999998</v>
      </c>
      <c r="BM6" s="103">
        <v>5.3970000000000002</v>
      </c>
      <c r="BN6" s="103">
        <v>5.4240000000000004</v>
      </c>
      <c r="BO6" s="103">
        <v>5.1710000000000003</v>
      </c>
      <c r="BP6" s="103">
        <v>4.9989999999999997</v>
      </c>
      <c r="BQ6" s="87">
        <v>4.5966779999999998</v>
      </c>
      <c r="BR6" s="87">
        <v>4.8827340000000001</v>
      </c>
      <c r="BS6" s="87">
        <v>5.772265</v>
      </c>
      <c r="BT6" s="87">
        <v>4.8019160000000003</v>
      </c>
      <c r="BU6" s="87">
        <v>4.9302849999999996</v>
      </c>
      <c r="BV6" s="87">
        <v>5.7481770000000001</v>
      </c>
      <c r="BW6" s="105">
        <v>4.7370000000000001</v>
      </c>
      <c r="BX6" s="105">
        <v>4.8899999999999997</v>
      </c>
      <c r="BY6" s="105">
        <v>4.6829999999999998</v>
      </c>
      <c r="BZ6" s="105">
        <v>4.9349999999999996</v>
      </c>
      <c r="CA6" s="105">
        <v>5.2779999999999996</v>
      </c>
      <c r="CB6" s="105">
        <v>3.9649999999999999</v>
      </c>
      <c r="CC6" s="105">
        <v>4.016</v>
      </c>
      <c r="CD6" s="105">
        <v>4.8710000000000004</v>
      </c>
      <c r="CE6" s="105">
        <v>5.2430000000000003</v>
      </c>
      <c r="CF6" s="105">
        <v>5.5960000000000001</v>
      </c>
      <c r="CG6" s="105">
        <v>4.4859999999999998</v>
      </c>
      <c r="CH6" s="105">
        <v>4.97</v>
      </c>
      <c r="CI6" s="105">
        <v>5.0179999999999998</v>
      </c>
      <c r="CJ6" s="105">
        <v>5.4050000000000002</v>
      </c>
      <c r="CK6" s="105">
        <v>5.3970000000000002</v>
      </c>
      <c r="CL6" s="105">
        <v>5.0739999999999998</v>
      </c>
      <c r="CM6" s="105">
        <v>4.6680000000000001</v>
      </c>
      <c r="CN6" s="105">
        <v>4.8159999999999998</v>
      </c>
      <c r="CO6" s="105">
        <v>5.2539999999999996</v>
      </c>
      <c r="CP6" s="105">
        <v>5.3360000000000003</v>
      </c>
      <c r="CQ6" s="105">
        <v>4.8879999999999999</v>
      </c>
      <c r="CR6" s="105">
        <v>5.6139999999999999</v>
      </c>
      <c r="CS6" s="105">
        <v>5.72</v>
      </c>
      <c r="CT6" s="105">
        <v>5.7370000000000001</v>
      </c>
      <c r="CU6" s="105">
        <v>4.6520000000000001</v>
      </c>
      <c r="CV6" s="105">
        <v>4.8220000000000001</v>
      </c>
      <c r="CW6" s="105">
        <v>5.1559999999999997</v>
      </c>
      <c r="CX6" s="105">
        <v>5.2270000000000003</v>
      </c>
      <c r="CY6" s="105">
        <v>5.2309999999999999</v>
      </c>
      <c r="CZ6" s="105">
        <v>5.6790000000000003</v>
      </c>
      <c r="DA6" s="105">
        <v>5.4980000000000002</v>
      </c>
      <c r="DB6" s="105">
        <v>5.19</v>
      </c>
      <c r="DC6" s="105">
        <v>5.319</v>
      </c>
      <c r="DD6" s="105">
        <v>5.399</v>
      </c>
      <c r="DE6" s="105">
        <v>5.4260000000000002</v>
      </c>
      <c r="DF6" s="105">
        <v>5.173</v>
      </c>
      <c r="DG6" s="105">
        <v>5</v>
      </c>
      <c r="DH6" s="115">
        <v>4.5980800000000004</v>
      </c>
      <c r="DI6" s="115">
        <v>4.8840029999999999</v>
      </c>
      <c r="DJ6" s="115">
        <v>5.7728339999999996</v>
      </c>
      <c r="DK6" s="115">
        <v>4.8035379999999996</v>
      </c>
      <c r="DL6" s="115">
        <v>4.9315680000000004</v>
      </c>
      <c r="DM6" s="115">
        <v>5.7487120000000003</v>
      </c>
    </row>
    <row r="7" spans="1:118">
      <c r="A7" s="1">
        <f t="shared" si="3"/>
        <v>5</v>
      </c>
      <c r="B7" s="2"/>
      <c r="C7" s="4">
        <v>14</v>
      </c>
      <c r="D7" s="4">
        <f t="shared" si="1"/>
        <v>1016</v>
      </c>
      <c r="E7" s="4" t="s">
        <v>162</v>
      </c>
      <c r="F7" s="4">
        <v>1</v>
      </c>
      <c r="G7" s="4" t="s">
        <v>11</v>
      </c>
      <c r="H7" s="4" t="s">
        <v>17</v>
      </c>
      <c r="I7" s="4"/>
      <c r="J7" s="5">
        <v>86.8</v>
      </c>
      <c r="K7" s="63">
        <v>1E-3</v>
      </c>
      <c r="L7" s="99">
        <v>5.2839999999999998</v>
      </c>
      <c r="M7" s="7" t="s">
        <v>158</v>
      </c>
      <c r="N7" s="3" t="s">
        <v>205</v>
      </c>
      <c r="O7" s="22">
        <v>5.5620000000000003</v>
      </c>
      <c r="P7" s="22">
        <v>5.2469999999999999</v>
      </c>
      <c r="Q7" s="22">
        <v>6.0979999999999999</v>
      </c>
      <c r="R7" s="41"/>
      <c r="S7" s="22">
        <v>5.5039999999999996</v>
      </c>
      <c r="T7" s="41"/>
      <c r="U7" s="22">
        <v>5.407</v>
      </c>
      <c r="V7" s="22">
        <v>5.3680000000000003</v>
      </c>
      <c r="W7" s="41"/>
      <c r="X7" s="41"/>
      <c r="Y7" s="22">
        <v>5.5339999999999998</v>
      </c>
      <c r="Z7" s="22">
        <v>5.5140000000000002</v>
      </c>
      <c r="AA7" s="22">
        <v>5.4260000000000002</v>
      </c>
      <c r="AB7" s="22">
        <v>5.3570000000000002</v>
      </c>
      <c r="AC7" s="22">
        <v>5.2839999999999998</v>
      </c>
      <c r="AD7" s="22">
        <v>5.2359999999999998</v>
      </c>
      <c r="AE7" s="22">
        <f t="shared" si="2"/>
        <v>5.26</v>
      </c>
      <c r="AF7" s="103">
        <v>4.9450000000000003</v>
      </c>
      <c r="AG7" s="103">
        <v>4.9669999999999996</v>
      </c>
      <c r="AH7" s="103">
        <v>4.9610000000000003</v>
      </c>
      <c r="AI7" s="103">
        <v>5.1420000000000003</v>
      </c>
      <c r="AJ7" s="103">
        <v>5.3280000000000003</v>
      </c>
      <c r="AK7" s="103">
        <v>4.6269999999999998</v>
      </c>
      <c r="AL7" s="103">
        <v>4.7140000000000004</v>
      </c>
      <c r="AM7" s="103">
        <v>5.3129999999999997</v>
      </c>
      <c r="AN7" s="103">
        <v>5.5010000000000003</v>
      </c>
      <c r="AO7" s="103">
        <v>5.4169999999999998</v>
      </c>
      <c r="AP7" s="103">
        <v>5.0140000000000002</v>
      </c>
      <c r="AQ7" s="103">
        <v>5.3490000000000002</v>
      </c>
      <c r="AR7" s="103">
        <v>5.3979999999999997</v>
      </c>
      <c r="AS7" s="103">
        <v>5.4619999999999997</v>
      </c>
      <c r="AT7" s="103">
        <v>5.452</v>
      </c>
      <c r="AU7" s="103">
        <v>5.3780000000000001</v>
      </c>
      <c r="AV7" s="103">
        <v>4.9630000000000001</v>
      </c>
      <c r="AW7" s="103">
        <v>5.1280000000000001</v>
      </c>
      <c r="AX7" s="103">
        <v>5.6369999999999996</v>
      </c>
      <c r="AY7" s="103">
        <v>5.5339999999999998</v>
      </c>
      <c r="AZ7" s="103">
        <v>5.3070000000000004</v>
      </c>
      <c r="BA7" s="103">
        <v>5.7350000000000003</v>
      </c>
      <c r="BB7" s="103">
        <v>5.8470000000000004</v>
      </c>
      <c r="BC7" s="103">
        <v>5.8860000000000001</v>
      </c>
      <c r="BD7" s="103">
        <v>5.2050000000000001</v>
      </c>
      <c r="BE7" s="103">
        <v>5.1580000000000004</v>
      </c>
      <c r="BF7" s="103">
        <v>5.39</v>
      </c>
      <c r="BG7" s="103">
        <v>5.508</v>
      </c>
      <c r="BH7" s="103">
        <v>5.5679999999999996</v>
      </c>
      <c r="BI7" s="103">
        <v>5.87</v>
      </c>
      <c r="BJ7" s="103">
        <v>5.7590000000000003</v>
      </c>
      <c r="BK7" s="103">
        <v>5.399</v>
      </c>
      <c r="BL7" s="103">
        <v>5.5469999999999997</v>
      </c>
      <c r="BM7" s="103">
        <v>5.5629999999999997</v>
      </c>
      <c r="BN7" s="103">
        <v>5.3979999999999997</v>
      </c>
      <c r="BO7" s="103">
        <v>5.1749999999999998</v>
      </c>
      <c r="BP7" s="103">
        <v>5.2489999999999997</v>
      </c>
      <c r="BQ7" s="87">
        <v>4.6916859999999998</v>
      </c>
      <c r="BR7" s="87">
        <v>5.071256</v>
      </c>
      <c r="BS7" s="87">
        <v>5.9758599999999999</v>
      </c>
      <c r="BT7" s="87">
        <v>5.0228760000000001</v>
      </c>
      <c r="BU7" s="87">
        <v>5.1347759999999996</v>
      </c>
      <c r="BV7" s="87">
        <v>5.9400539999999999</v>
      </c>
      <c r="BW7" s="105">
        <v>4.9630000000000001</v>
      </c>
      <c r="BX7" s="105">
        <v>4.9880000000000004</v>
      </c>
      <c r="BY7" s="105">
        <v>4.9850000000000003</v>
      </c>
      <c r="BZ7" s="105">
        <v>5.1689999999999996</v>
      </c>
      <c r="CA7" s="105">
        <v>5.3630000000000004</v>
      </c>
      <c r="CB7" s="105">
        <v>4.6500000000000004</v>
      </c>
      <c r="CC7" s="105">
        <v>4.7359999999999998</v>
      </c>
      <c r="CD7" s="105">
        <v>5.35</v>
      </c>
      <c r="CE7" s="105">
        <v>5.5490000000000004</v>
      </c>
      <c r="CF7" s="105">
        <v>5.468</v>
      </c>
      <c r="CG7" s="105">
        <v>5.0410000000000004</v>
      </c>
      <c r="CH7" s="105">
        <v>5.391</v>
      </c>
      <c r="CI7" s="105">
        <v>5.4390000000000001</v>
      </c>
      <c r="CJ7" s="105">
        <v>5.4960000000000004</v>
      </c>
      <c r="CK7" s="105">
        <v>5.4870000000000001</v>
      </c>
      <c r="CL7" s="105">
        <v>5.4219999999999997</v>
      </c>
      <c r="CM7" s="105">
        <v>4.9880000000000004</v>
      </c>
      <c r="CN7" s="105">
        <v>5.1589999999999998</v>
      </c>
      <c r="CO7" s="105">
        <v>5.7050000000000001</v>
      </c>
      <c r="CP7" s="105">
        <v>5.5860000000000003</v>
      </c>
      <c r="CQ7" s="105">
        <v>5.3470000000000004</v>
      </c>
      <c r="CR7" s="105">
        <v>5.8140000000000001</v>
      </c>
      <c r="CS7" s="105">
        <v>5.9420000000000002</v>
      </c>
      <c r="CT7" s="105">
        <v>5.9779999999999998</v>
      </c>
      <c r="CU7" s="105">
        <v>5.2380000000000004</v>
      </c>
      <c r="CV7" s="105">
        <v>5.181</v>
      </c>
      <c r="CW7" s="105">
        <v>5.4219999999999997</v>
      </c>
      <c r="CX7" s="105">
        <v>5.5439999999999996</v>
      </c>
      <c r="CY7" s="105">
        <v>5.6150000000000002</v>
      </c>
      <c r="CZ7" s="105">
        <v>5.9480000000000004</v>
      </c>
      <c r="DA7" s="105">
        <v>5.8170000000000002</v>
      </c>
      <c r="DB7" s="105">
        <v>5.4219999999999997</v>
      </c>
      <c r="DC7" s="105">
        <v>5.5949999999999998</v>
      </c>
      <c r="DD7" s="105">
        <v>5.6130000000000004</v>
      </c>
      <c r="DE7" s="105">
        <v>5.4370000000000003</v>
      </c>
      <c r="DF7" s="105">
        <v>5.1989999999999998</v>
      </c>
      <c r="DG7" s="105">
        <v>5.2779999999999996</v>
      </c>
      <c r="DH7" s="115">
        <v>4.7372990000000001</v>
      </c>
      <c r="DI7" s="115">
        <v>5.1143789999999996</v>
      </c>
      <c r="DJ7" s="115">
        <v>5.9884789999999999</v>
      </c>
      <c r="DK7" s="115">
        <v>5.0853130000000002</v>
      </c>
      <c r="DL7" s="115">
        <v>5.181368</v>
      </c>
      <c r="DM7" s="115">
        <v>5.9515840000000004</v>
      </c>
    </row>
    <row r="8" spans="1:118">
      <c r="A8" s="1">
        <f t="shared" si="3"/>
        <v>6</v>
      </c>
      <c r="B8" s="2"/>
      <c r="C8" s="4">
        <v>14</v>
      </c>
      <c r="D8" s="4">
        <f t="shared" si="1"/>
        <v>1016</v>
      </c>
      <c r="E8" s="4" t="s">
        <v>160</v>
      </c>
      <c r="F8" s="4">
        <v>1</v>
      </c>
      <c r="G8" s="4" t="s">
        <v>11</v>
      </c>
      <c r="H8" s="4" t="s">
        <v>17</v>
      </c>
      <c r="I8" s="4"/>
      <c r="J8" s="5">
        <v>89.6</v>
      </c>
      <c r="K8" s="68"/>
      <c r="L8" s="99">
        <v>5.2910000000000004</v>
      </c>
      <c r="M8" s="7" t="s">
        <v>158</v>
      </c>
      <c r="N8" s="3" t="s">
        <v>205</v>
      </c>
      <c r="O8" s="22">
        <v>5.4710000000000001</v>
      </c>
      <c r="P8" s="22">
        <v>5.2469999999999999</v>
      </c>
      <c r="Q8" s="22">
        <v>5.7770000000000001</v>
      </c>
      <c r="R8" s="41"/>
      <c r="S8" s="6">
        <v>5.4850000000000003</v>
      </c>
      <c r="T8" s="41"/>
      <c r="U8" s="22">
        <v>5.3419999999999996</v>
      </c>
      <c r="V8" s="41"/>
      <c r="W8" s="41"/>
      <c r="X8" s="41"/>
      <c r="Y8" s="22">
        <v>5.3840000000000003</v>
      </c>
      <c r="Z8" s="22">
        <v>5.4029999999999996</v>
      </c>
      <c r="AA8" s="22">
        <v>5.3650000000000002</v>
      </c>
      <c r="AB8" s="22">
        <v>5.1859999999999999</v>
      </c>
      <c r="AC8" s="22">
        <v>5.2370000000000001</v>
      </c>
      <c r="AD8" s="22">
        <v>5.2060000000000004</v>
      </c>
      <c r="AE8" s="22">
        <f t="shared" si="2"/>
        <v>5.2215000000000007</v>
      </c>
      <c r="AF8" s="103">
        <v>4.3360000000000003</v>
      </c>
      <c r="AG8" s="103">
        <v>4.3869999999999996</v>
      </c>
      <c r="AH8" s="103">
        <v>4.5069999999999997</v>
      </c>
      <c r="AI8" s="103">
        <v>4.6859999999999999</v>
      </c>
      <c r="AJ8" s="103">
        <v>4.8419999999999996</v>
      </c>
      <c r="AK8" s="103">
        <v>4.6029999999999998</v>
      </c>
      <c r="AL8" s="103">
        <v>4.6150000000000002</v>
      </c>
      <c r="AM8" s="103">
        <v>5.1420000000000003</v>
      </c>
      <c r="AN8" s="103">
        <v>5.1639999999999997</v>
      </c>
      <c r="AO8" s="103">
        <v>5.0460000000000003</v>
      </c>
      <c r="AP8" s="103">
        <v>5.2679999999999998</v>
      </c>
      <c r="AQ8" s="103">
        <v>5.3179999999999996</v>
      </c>
      <c r="AR8" s="103">
        <v>5.33</v>
      </c>
      <c r="AS8" s="103">
        <v>5.0789999999999997</v>
      </c>
      <c r="AT8" s="103">
        <v>5.0659999999999998</v>
      </c>
      <c r="AU8" s="103">
        <v>5.33</v>
      </c>
      <c r="AV8" s="103">
        <v>4.8600000000000003</v>
      </c>
      <c r="AW8" s="103">
        <v>4.944</v>
      </c>
      <c r="AX8" s="103">
        <v>6.1749999999999998</v>
      </c>
      <c r="AY8" s="103">
        <v>5.4560000000000004</v>
      </c>
      <c r="AZ8" s="103">
        <v>5.1890000000000001</v>
      </c>
      <c r="BA8" s="103">
        <v>5.8369999999999997</v>
      </c>
      <c r="BB8" s="103">
        <v>6.0609999999999999</v>
      </c>
      <c r="BC8" s="103">
        <v>6.0670000000000002</v>
      </c>
      <c r="BD8" s="103">
        <v>5.78</v>
      </c>
      <c r="BE8" s="103">
        <v>4.9880000000000004</v>
      </c>
      <c r="BF8" s="103">
        <v>5.15</v>
      </c>
      <c r="BG8" s="103">
        <v>5.2050000000000001</v>
      </c>
      <c r="BH8" s="103">
        <v>5.7110000000000003</v>
      </c>
      <c r="BI8" s="103">
        <v>6.0620000000000003</v>
      </c>
      <c r="BJ8" s="103">
        <v>5.7889999999999997</v>
      </c>
      <c r="BK8" s="103">
        <v>5.1070000000000002</v>
      </c>
      <c r="BL8" s="103">
        <v>5.359</v>
      </c>
      <c r="BM8" s="103">
        <v>5.2839999999999998</v>
      </c>
      <c r="BN8" s="103">
        <v>4.8810000000000002</v>
      </c>
      <c r="BO8" s="103">
        <v>4.6479999999999997</v>
      </c>
      <c r="BP8" s="103">
        <v>4.899</v>
      </c>
      <c r="BQ8" s="87">
        <v>4.4102350000000001</v>
      </c>
      <c r="BR8" s="87">
        <v>4.9231749999999996</v>
      </c>
      <c r="BS8" s="87">
        <v>6.112635</v>
      </c>
      <c r="BT8" s="87">
        <v>4.9241640000000002</v>
      </c>
      <c r="BU8" s="87">
        <v>5.0406339999999998</v>
      </c>
      <c r="BV8" s="87">
        <v>6.0430989999999998</v>
      </c>
      <c r="BW8" s="105">
        <v>4.34</v>
      </c>
      <c r="BX8" s="105">
        <v>4.3899999999999997</v>
      </c>
      <c r="BY8" s="105">
        <v>4.5110000000000001</v>
      </c>
      <c r="BZ8" s="105">
        <v>4.6900000000000004</v>
      </c>
      <c r="CA8" s="105">
        <v>4.8490000000000002</v>
      </c>
      <c r="CB8" s="105">
        <v>4.6079999999999997</v>
      </c>
      <c r="CC8" s="105">
        <v>4.6210000000000004</v>
      </c>
      <c r="CD8" s="105">
        <v>5.1379999999999999</v>
      </c>
      <c r="CE8" s="105">
        <v>5.1660000000000004</v>
      </c>
      <c r="CF8" s="105">
        <v>5.05</v>
      </c>
      <c r="CG8" s="105">
        <v>5.2359999999999998</v>
      </c>
      <c r="CH8" s="105">
        <v>5.3040000000000003</v>
      </c>
      <c r="CI8" s="105">
        <v>5.32</v>
      </c>
      <c r="CJ8" s="105">
        <v>5.28</v>
      </c>
      <c r="CK8" s="105">
        <v>5.2690000000000001</v>
      </c>
      <c r="CL8" s="105">
        <v>5.3819999999999997</v>
      </c>
      <c r="CM8" s="105">
        <v>5.0599999999999996</v>
      </c>
      <c r="CN8" s="105">
        <v>5.1449999999999996</v>
      </c>
      <c r="CO8" s="105">
        <v>6.1959999999999997</v>
      </c>
      <c r="CP8" s="105">
        <v>5.4690000000000003</v>
      </c>
      <c r="CQ8" s="105">
        <v>5.4189999999999996</v>
      </c>
      <c r="CR8" s="105">
        <v>5.8520000000000003</v>
      </c>
      <c r="CS8" s="105">
        <v>6.0789999999999997</v>
      </c>
      <c r="CT8" s="105">
        <v>6.0839999999999996</v>
      </c>
      <c r="CU8" s="105">
        <v>5.8070000000000004</v>
      </c>
      <c r="CV8" s="105">
        <v>5.0430000000000001</v>
      </c>
      <c r="CW8" s="105">
        <v>5.2080000000000002</v>
      </c>
      <c r="CX8" s="105">
        <v>5.2080000000000002</v>
      </c>
      <c r="CY8" s="105">
        <v>5.7210000000000001</v>
      </c>
      <c r="CZ8" s="105">
        <v>6.0750000000000002</v>
      </c>
      <c r="DA8" s="105">
        <v>5.798</v>
      </c>
      <c r="DB8" s="105">
        <v>5.2030000000000003</v>
      </c>
      <c r="DC8" s="105">
        <v>5.3609999999999998</v>
      </c>
      <c r="DD8" s="105">
        <v>5.2850000000000001</v>
      </c>
      <c r="DE8" s="105">
        <v>4.8869999999999996</v>
      </c>
      <c r="DF8" s="105">
        <v>4.6529999999999996</v>
      </c>
      <c r="DG8" s="105">
        <v>4.9050000000000002</v>
      </c>
      <c r="DH8" s="115">
        <v>4.441732</v>
      </c>
      <c r="DI8" s="115">
        <v>5.0432689999999996</v>
      </c>
      <c r="DJ8" s="115">
        <v>6.1646229999999997</v>
      </c>
      <c r="DK8" s="115">
        <v>5.0480510000000001</v>
      </c>
      <c r="DL8" s="115">
        <v>5.1292309999999999</v>
      </c>
      <c r="DM8" s="115">
        <v>6.0999319999999999</v>
      </c>
    </row>
    <row r="9" spans="1:118">
      <c r="A9" s="1">
        <f t="shared" si="3"/>
        <v>7</v>
      </c>
      <c r="B9" s="2"/>
      <c r="C9" s="4">
        <v>14</v>
      </c>
      <c r="D9" s="4">
        <f t="shared" si="1"/>
        <v>1016</v>
      </c>
      <c r="E9" s="4" t="s">
        <v>120</v>
      </c>
      <c r="F9" s="4">
        <v>1</v>
      </c>
      <c r="G9" s="4" t="s">
        <v>11</v>
      </c>
      <c r="H9" s="4" t="s">
        <v>17</v>
      </c>
      <c r="I9" s="4" t="s">
        <v>320</v>
      </c>
      <c r="J9" s="5">
        <v>75.099999999999994</v>
      </c>
      <c r="K9" s="68"/>
      <c r="L9" s="99">
        <v>5.319</v>
      </c>
      <c r="M9" s="7" t="s">
        <v>158</v>
      </c>
      <c r="N9" s="3" t="s">
        <v>205</v>
      </c>
      <c r="O9" s="22">
        <v>5.6459999999999999</v>
      </c>
      <c r="P9" s="22">
        <v>5.6070000000000002</v>
      </c>
      <c r="Q9" s="22">
        <v>6.08</v>
      </c>
      <c r="R9" s="41"/>
      <c r="S9" s="6">
        <v>5.7039999999999997</v>
      </c>
      <c r="T9" s="41"/>
      <c r="U9" s="22">
        <v>5.5540000000000003</v>
      </c>
      <c r="V9" s="22">
        <v>5.4420000000000002</v>
      </c>
      <c r="W9" s="41"/>
      <c r="X9" s="41"/>
      <c r="Y9" s="22">
        <v>5.6079999999999997</v>
      </c>
      <c r="Z9" s="22">
        <v>5.5979999999999999</v>
      </c>
      <c r="AA9" s="22">
        <v>5.5990000000000002</v>
      </c>
      <c r="AB9" s="22">
        <v>5.3780000000000001</v>
      </c>
      <c r="AC9" s="22">
        <v>5.62</v>
      </c>
      <c r="AD9" s="54"/>
      <c r="AE9" s="54"/>
      <c r="AF9" s="103">
        <v>5.4790000000000001</v>
      </c>
      <c r="AG9" s="103">
        <v>5.4779999999999998</v>
      </c>
      <c r="AH9" s="103">
        <v>5.5279999999999996</v>
      </c>
      <c r="AI9" s="103">
        <v>5.649</v>
      </c>
      <c r="AJ9" s="103">
        <v>5.8019999999999996</v>
      </c>
      <c r="AK9" s="103">
        <v>5.4740000000000002</v>
      </c>
      <c r="AL9" s="103">
        <v>5.4779999999999998</v>
      </c>
      <c r="AM9" s="103">
        <v>5.891</v>
      </c>
      <c r="AN9" s="103">
        <v>5.8970000000000002</v>
      </c>
      <c r="AO9" s="103">
        <v>5.7409999999999997</v>
      </c>
      <c r="AP9" s="103">
        <v>5.9089999999999998</v>
      </c>
      <c r="AQ9" s="103">
        <v>5.9059999999999997</v>
      </c>
      <c r="AR9" s="103">
        <v>5.91</v>
      </c>
      <c r="AS9" s="103">
        <v>5.851</v>
      </c>
      <c r="AT9" s="103">
        <v>5.85</v>
      </c>
      <c r="AU9" s="103">
        <v>5.8390000000000004</v>
      </c>
      <c r="AV9" s="103">
        <v>5.5190000000000001</v>
      </c>
      <c r="AW9" s="103">
        <v>5.65</v>
      </c>
      <c r="AX9" s="103">
        <v>6.0780000000000003</v>
      </c>
      <c r="AY9" s="103">
        <v>5.8460000000000001</v>
      </c>
      <c r="AZ9" s="103">
        <v>5.9260000000000002</v>
      </c>
      <c r="BA9" s="103">
        <v>5.9989999999999997</v>
      </c>
      <c r="BB9" s="103">
        <v>6.1</v>
      </c>
      <c r="BC9" s="103">
        <v>6.093</v>
      </c>
      <c r="BD9" s="103">
        <v>6.056</v>
      </c>
      <c r="BE9" s="103">
        <v>5.4740000000000002</v>
      </c>
      <c r="BF9" s="103">
        <v>5.7549999999999999</v>
      </c>
      <c r="BG9" s="103">
        <v>5.7089999999999996</v>
      </c>
      <c r="BH9" s="103">
        <v>5.8769999999999998</v>
      </c>
      <c r="BI9" s="103">
        <v>6.1479999999999997</v>
      </c>
      <c r="BJ9" s="103">
        <v>5.944</v>
      </c>
      <c r="BK9" s="103">
        <v>4.93</v>
      </c>
      <c r="BL9" s="103">
        <v>5.4649999999999999</v>
      </c>
      <c r="BM9" s="103">
        <v>5.3760000000000003</v>
      </c>
      <c r="BN9" s="103">
        <v>5.7690000000000001</v>
      </c>
      <c r="BO9" s="103">
        <v>5.617</v>
      </c>
      <c r="BP9" s="103">
        <v>5.7220000000000004</v>
      </c>
      <c r="BQ9" s="87">
        <v>4.9410090000000002</v>
      </c>
      <c r="BR9" s="87">
        <v>5.4298830000000002</v>
      </c>
      <c r="BS9" s="87">
        <v>6.4947759999999999</v>
      </c>
      <c r="BT9" s="87">
        <v>5.370406</v>
      </c>
      <c r="BU9" s="87">
        <v>5.5158209999999999</v>
      </c>
      <c r="BV9" s="87">
        <v>6.4150010000000002</v>
      </c>
      <c r="BW9" s="105">
        <v>5.4969999999999999</v>
      </c>
      <c r="BX9" s="105">
        <v>5.4950000000000001</v>
      </c>
      <c r="BY9" s="105">
        <v>5.5449999999999999</v>
      </c>
      <c r="BZ9" s="105">
        <v>5.67</v>
      </c>
      <c r="CA9" s="105">
        <v>5.827</v>
      </c>
      <c r="CB9" s="105">
        <v>5.5010000000000003</v>
      </c>
      <c r="CC9" s="105">
        <v>5.5060000000000002</v>
      </c>
      <c r="CD9" s="105">
        <v>5.9219999999999997</v>
      </c>
      <c r="CE9" s="105">
        <v>5.93</v>
      </c>
      <c r="CF9" s="105">
        <v>5.7709999999999999</v>
      </c>
      <c r="CG9" s="105">
        <v>5.944</v>
      </c>
      <c r="CH9" s="105">
        <v>5.9420000000000002</v>
      </c>
      <c r="CI9" s="105">
        <v>5.9470000000000001</v>
      </c>
      <c r="CJ9" s="105">
        <v>5.8760000000000003</v>
      </c>
      <c r="CK9" s="105">
        <v>5.8739999999999997</v>
      </c>
      <c r="CL9" s="105">
        <v>5.8739999999999997</v>
      </c>
      <c r="CM9" s="105">
        <v>5.5380000000000003</v>
      </c>
      <c r="CN9" s="105">
        <v>5.673</v>
      </c>
      <c r="CO9" s="105">
        <v>6.1539999999999999</v>
      </c>
      <c r="CP9" s="105">
        <v>5.88</v>
      </c>
      <c r="CQ9" s="105">
        <v>5.9690000000000003</v>
      </c>
      <c r="CR9" s="105">
        <v>6.05</v>
      </c>
      <c r="CS9" s="105">
        <v>6.1669999999999998</v>
      </c>
      <c r="CT9" s="105">
        <v>6.1589999999999998</v>
      </c>
      <c r="CU9" s="105">
        <v>6.1059999999999999</v>
      </c>
      <c r="CV9" s="105">
        <v>5.5579999999999998</v>
      </c>
      <c r="CW9" s="105">
        <v>5.8129999999999997</v>
      </c>
      <c r="CX9" s="105">
        <v>5.8250000000000002</v>
      </c>
      <c r="CY9" s="105">
        <v>5.9950000000000001</v>
      </c>
      <c r="CZ9" s="105">
        <v>6.2439999999999998</v>
      </c>
      <c r="DA9" s="105">
        <v>6.08</v>
      </c>
      <c r="DB9" s="105">
        <v>5.2409999999999997</v>
      </c>
      <c r="DC9" s="105">
        <v>5.6289999999999996</v>
      </c>
      <c r="DD9" s="105">
        <v>5.5570000000000004</v>
      </c>
      <c r="DE9" s="105">
        <v>5.7939999999999996</v>
      </c>
      <c r="DF9" s="105">
        <v>5.6379999999999999</v>
      </c>
      <c r="DG9" s="105">
        <v>5.7489999999999997</v>
      </c>
      <c r="DH9" s="115">
        <v>4.9643839999999999</v>
      </c>
      <c r="DI9" s="115">
        <v>5.456734</v>
      </c>
      <c r="DJ9" s="115">
        <v>6.5328569999999999</v>
      </c>
      <c r="DK9" s="115">
        <v>5.3971960000000001</v>
      </c>
      <c r="DL9" s="115">
        <v>5.5437409999999998</v>
      </c>
      <c r="DM9" s="115">
        <v>6.4547980000000003</v>
      </c>
    </row>
    <row r="10" spans="1:118">
      <c r="A10" s="1">
        <f t="shared" si="3"/>
        <v>8</v>
      </c>
      <c r="B10" s="2"/>
      <c r="C10" s="4">
        <v>14</v>
      </c>
      <c r="D10" s="4">
        <f t="shared" si="1"/>
        <v>1016</v>
      </c>
      <c r="E10" s="4" t="s">
        <v>163</v>
      </c>
      <c r="F10" s="4">
        <v>1</v>
      </c>
      <c r="G10" s="4" t="s">
        <v>14</v>
      </c>
      <c r="H10" s="4"/>
      <c r="I10" s="4"/>
      <c r="J10" s="5">
        <v>92.3</v>
      </c>
      <c r="K10" s="63">
        <v>2E-3</v>
      </c>
      <c r="L10" s="99">
        <v>5.3790000000000004</v>
      </c>
      <c r="M10" s="7" t="s">
        <v>383</v>
      </c>
      <c r="N10" s="3" t="s">
        <v>205</v>
      </c>
      <c r="O10" s="22">
        <v>5.3620000000000001</v>
      </c>
      <c r="P10" s="22">
        <v>5.2480000000000002</v>
      </c>
      <c r="Q10" s="22">
        <v>5.7729999999999997</v>
      </c>
      <c r="R10" s="41"/>
      <c r="S10" s="22">
        <v>5.423</v>
      </c>
      <c r="T10" s="41"/>
      <c r="U10" s="22">
        <v>5.4080000000000004</v>
      </c>
      <c r="V10" s="41"/>
      <c r="W10" s="41"/>
      <c r="X10" s="41"/>
      <c r="Y10" s="22">
        <v>5.5570000000000004</v>
      </c>
      <c r="Z10" s="22">
        <v>5.5030000000000001</v>
      </c>
      <c r="AA10" s="22">
        <v>5.4169999999999998</v>
      </c>
      <c r="AB10" s="22">
        <v>5.4509999999999996</v>
      </c>
      <c r="AC10" s="22">
        <v>5.3209999999999997</v>
      </c>
      <c r="AD10" s="22">
        <v>5.1950000000000003</v>
      </c>
      <c r="AE10" s="22">
        <f t="shared" si="2"/>
        <v>5.258</v>
      </c>
      <c r="AF10" s="103">
        <v>4.9640000000000004</v>
      </c>
      <c r="AG10" s="103">
        <v>5.1260000000000003</v>
      </c>
      <c r="AH10" s="103">
        <v>4.9180000000000001</v>
      </c>
      <c r="AI10" s="103">
        <v>5.1680000000000001</v>
      </c>
      <c r="AJ10" s="103">
        <v>5.5380000000000003</v>
      </c>
      <c r="AK10" s="103">
        <v>4.1429999999999998</v>
      </c>
      <c r="AL10" s="103">
        <v>4.1790000000000003</v>
      </c>
      <c r="AM10" s="103">
        <v>5.0830000000000002</v>
      </c>
      <c r="AN10" s="103">
        <v>5.4539999999999997</v>
      </c>
      <c r="AO10" s="103">
        <v>5.8849999999999998</v>
      </c>
      <c r="AP10" s="103">
        <v>4.7089999999999996</v>
      </c>
      <c r="AQ10" s="103">
        <v>5.2119999999999997</v>
      </c>
      <c r="AR10" s="103">
        <v>5.24</v>
      </c>
      <c r="AS10" s="103">
        <v>5.5990000000000002</v>
      </c>
      <c r="AT10" s="103">
        <v>5.5949999999999998</v>
      </c>
      <c r="AU10" s="103">
        <v>5.3460000000000001</v>
      </c>
      <c r="AV10" s="103">
        <v>4.9349999999999996</v>
      </c>
      <c r="AW10" s="103">
        <v>5.0579999999999998</v>
      </c>
      <c r="AX10" s="103">
        <v>5.5960000000000001</v>
      </c>
      <c r="AY10" s="103">
        <v>5.6219999999999999</v>
      </c>
      <c r="AZ10" s="103">
        <v>5.2110000000000003</v>
      </c>
      <c r="BA10" s="103">
        <v>5.9870000000000001</v>
      </c>
      <c r="BB10" s="103">
        <v>6.0810000000000004</v>
      </c>
      <c r="BC10" s="103">
        <v>6.0389999999999997</v>
      </c>
      <c r="BD10" s="103">
        <v>4.8890000000000002</v>
      </c>
      <c r="BE10" s="103">
        <v>5.0650000000000004</v>
      </c>
      <c r="BF10" s="103">
        <v>5.3970000000000002</v>
      </c>
      <c r="BG10" s="103">
        <v>5.4820000000000002</v>
      </c>
      <c r="BH10" s="103">
        <v>5.5529999999999999</v>
      </c>
      <c r="BI10" s="103">
        <v>5.984</v>
      </c>
      <c r="BJ10" s="103">
        <v>5.7949999999999999</v>
      </c>
      <c r="BK10" s="103">
        <v>5.4950000000000001</v>
      </c>
      <c r="BL10" s="103">
        <v>5.6349999999999998</v>
      </c>
      <c r="BM10" s="103">
        <v>5.7210000000000001</v>
      </c>
      <c r="BN10" s="103">
        <v>5.718</v>
      </c>
      <c r="BO10" s="103">
        <v>5.4669999999999996</v>
      </c>
      <c r="BP10" s="103">
        <v>5.2869999999999999</v>
      </c>
      <c r="BQ10" s="87">
        <v>4.8288380000000002</v>
      </c>
      <c r="BR10" s="87">
        <v>5.1520409999999996</v>
      </c>
      <c r="BS10" s="87">
        <v>5.8461550000000004</v>
      </c>
      <c r="BT10" s="87">
        <v>5.0258890000000003</v>
      </c>
      <c r="BU10" s="87">
        <v>5.1980360000000001</v>
      </c>
      <c r="BV10" s="87">
        <v>5.8195540000000001</v>
      </c>
      <c r="BW10" s="105">
        <v>4.9649999999999999</v>
      </c>
      <c r="BX10" s="105">
        <v>5.1269999999999998</v>
      </c>
      <c r="BY10" s="105">
        <v>4.9189999999999996</v>
      </c>
      <c r="BZ10" s="105">
        <v>5.1680000000000001</v>
      </c>
      <c r="CA10" s="105">
        <v>5.54</v>
      </c>
      <c r="CB10" s="105">
        <v>4.149</v>
      </c>
      <c r="CC10" s="105">
        <v>4.1820000000000004</v>
      </c>
      <c r="CD10" s="105">
        <v>5.0860000000000003</v>
      </c>
      <c r="CE10" s="105">
        <v>5.4569999999999999</v>
      </c>
      <c r="CF10" s="105">
        <v>5.8890000000000002</v>
      </c>
      <c r="CG10" s="105">
        <v>4.7140000000000004</v>
      </c>
      <c r="CH10" s="105">
        <v>5.2149999999999999</v>
      </c>
      <c r="CI10" s="105">
        <v>5.242</v>
      </c>
      <c r="CJ10" s="105">
        <v>5.601</v>
      </c>
      <c r="CK10" s="105">
        <v>5.5970000000000004</v>
      </c>
      <c r="CL10" s="105">
        <v>5.3470000000000004</v>
      </c>
      <c r="CM10" s="105">
        <v>4.9359999999999999</v>
      </c>
      <c r="CN10" s="105">
        <v>5.0599999999999996</v>
      </c>
      <c r="CO10" s="105">
        <v>5.5979999999999999</v>
      </c>
      <c r="CP10" s="105">
        <v>5.6239999999999997</v>
      </c>
      <c r="CQ10" s="105">
        <v>5.2130000000000001</v>
      </c>
      <c r="CR10" s="105">
        <v>5.9889999999999999</v>
      </c>
      <c r="CS10" s="105">
        <v>6.0830000000000002</v>
      </c>
      <c r="CT10" s="105">
        <v>6.0410000000000004</v>
      </c>
      <c r="CU10" s="105">
        <v>4.8949999999999996</v>
      </c>
      <c r="CV10" s="105">
        <v>5.07</v>
      </c>
      <c r="CW10" s="105">
        <v>5.4009999999999998</v>
      </c>
      <c r="CX10" s="105">
        <v>5.4870000000000001</v>
      </c>
      <c r="CY10" s="105">
        <v>5.556</v>
      </c>
      <c r="CZ10" s="105">
        <v>5.9870000000000001</v>
      </c>
      <c r="DA10" s="105">
        <v>5.7990000000000004</v>
      </c>
      <c r="DB10" s="105">
        <v>5.4980000000000002</v>
      </c>
      <c r="DC10" s="105">
        <v>5.6379999999999999</v>
      </c>
      <c r="DD10" s="105">
        <v>5.7249999999999996</v>
      </c>
      <c r="DE10" s="105">
        <v>5.7190000000000003</v>
      </c>
      <c r="DF10" s="105">
        <v>5.468</v>
      </c>
      <c r="DG10" s="105">
        <v>5.2880000000000003</v>
      </c>
      <c r="DH10" s="115">
        <v>4.8305749999999996</v>
      </c>
      <c r="DI10" s="115">
        <v>5.1533620000000004</v>
      </c>
      <c r="DJ10" s="115">
        <v>5.846749</v>
      </c>
      <c r="DK10" s="115">
        <v>5.0279059999999998</v>
      </c>
      <c r="DL10" s="115">
        <v>5.1993819999999999</v>
      </c>
      <c r="DM10" s="115">
        <v>5.8201210000000003</v>
      </c>
    </row>
    <row r="11" spans="1:118">
      <c r="A11" s="1">
        <f t="shared" si="3"/>
        <v>9</v>
      </c>
      <c r="B11" s="2"/>
      <c r="C11" s="4">
        <v>14</v>
      </c>
      <c r="D11" s="4">
        <f t="shared" si="1"/>
        <v>1016</v>
      </c>
      <c r="E11" s="4" t="s">
        <v>150</v>
      </c>
      <c r="F11" s="4">
        <v>1</v>
      </c>
      <c r="G11" s="4" t="s">
        <v>14</v>
      </c>
      <c r="H11" s="4"/>
      <c r="I11" s="4"/>
      <c r="J11" s="5">
        <v>92.1</v>
      </c>
      <c r="K11" s="68"/>
      <c r="L11" s="99">
        <v>5.431</v>
      </c>
      <c r="M11" s="7" t="s">
        <v>158</v>
      </c>
      <c r="N11" s="3" t="s">
        <v>205</v>
      </c>
      <c r="O11" s="22">
        <v>5.444</v>
      </c>
      <c r="P11" s="22">
        <v>5.319</v>
      </c>
      <c r="Q11" s="6">
        <v>5.8410000000000002</v>
      </c>
      <c r="R11" s="41"/>
      <c r="S11" s="6">
        <v>5.5110000000000001</v>
      </c>
      <c r="T11" s="41"/>
      <c r="U11" s="22">
        <v>5.4829999999999997</v>
      </c>
      <c r="V11" s="22">
        <v>5.4630000000000001</v>
      </c>
      <c r="W11" s="41"/>
      <c r="X11" s="41"/>
      <c r="Y11" s="22">
        <v>5.625</v>
      </c>
      <c r="Z11" s="22">
        <v>5.57</v>
      </c>
      <c r="AA11" s="22">
        <v>5.4870000000000001</v>
      </c>
      <c r="AB11" s="22">
        <v>5.5090000000000003</v>
      </c>
      <c r="AC11" s="6">
        <v>5.3860000000000001</v>
      </c>
      <c r="AD11" s="22">
        <v>5.274</v>
      </c>
      <c r="AE11" s="22">
        <f t="shared" si="2"/>
        <v>5.33</v>
      </c>
      <c r="AF11" s="103">
        <v>4.9260000000000002</v>
      </c>
      <c r="AG11" s="103">
        <v>5.0990000000000002</v>
      </c>
      <c r="AH11" s="103">
        <v>4.8949999999999996</v>
      </c>
      <c r="AI11" s="103">
        <v>5.1680000000000001</v>
      </c>
      <c r="AJ11" s="103">
        <v>5.5490000000000004</v>
      </c>
      <c r="AK11" s="103">
        <v>4.1710000000000003</v>
      </c>
      <c r="AL11" s="103">
        <v>4.2110000000000003</v>
      </c>
      <c r="AM11" s="103">
        <v>5.1210000000000004</v>
      </c>
      <c r="AN11" s="103">
        <v>5.4779999999999998</v>
      </c>
      <c r="AO11" s="103">
        <v>5.8970000000000002</v>
      </c>
      <c r="AP11" s="103">
        <v>4.7889999999999997</v>
      </c>
      <c r="AQ11" s="103">
        <v>5.2869999999999999</v>
      </c>
      <c r="AR11" s="103">
        <v>5.3220000000000001</v>
      </c>
      <c r="AS11" s="103">
        <v>5.5910000000000002</v>
      </c>
      <c r="AT11" s="103">
        <v>5.5860000000000003</v>
      </c>
      <c r="AU11" s="103">
        <v>5.4039999999999999</v>
      </c>
      <c r="AV11" s="103">
        <v>5.0209999999999999</v>
      </c>
      <c r="AW11" s="103">
        <v>5.0759999999999996</v>
      </c>
      <c r="AX11" s="103">
        <v>5.673</v>
      </c>
      <c r="AY11" s="103">
        <v>5.7110000000000003</v>
      </c>
      <c r="AZ11" s="103">
        <v>5.3150000000000004</v>
      </c>
      <c r="BA11" s="103">
        <v>6.056</v>
      </c>
      <c r="BB11" s="103">
        <v>6.1509999999999998</v>
      </c>
      <c r="BC11" s="103">
        <v>6.1319999999999997</v>
      </c>
      <c r="BD11" s="103">
        <v>5.0309999999999997</v>
      </c>
      <c r="BE11" s="103">
        <v>5.0910000000000002</v>
      </c>
      <c r="BF11" s="103">
        <v>5.4359999999999999</v>
      </c>
      <c r="BG11" s="103">
        <v>5.5389999999999997</v>
      </c>
      <c r="BH11" s="103">
        <v>5.6390000000000002</v>
      </c>
      <c r="BI11" s="103">
        <v>6.0750000000000002</v>
      </c>
      <c r="BJ11" s="103">
        <v>5.88</v>
      </c>
      <c r="BK11" s="103">
        <v>5.556</v>
      </c>
      <c r="BL11" s="103">
        <v>5.7069999999999999</v>
      </c>
      <c r="BM11" s="103">
        <v>5.7859999999999996</v>
      </c>
      <c r="BN11" s="103">
        <v>5.7119999999999997</v>
      </c>
      <c r="BO11" s="103">
        <v>5.46</v>
      </c>
      <c r="BP11" s="103">
        <v>5.3150000000000004</v>
      </c>
      <c r="BQ11" s="87">
        <v>4.9133339999999999</v>
      </c>
      <c r="BR11" s="87">
        <v>5.2303600000000001</v>
      </c>
      <c r="BS11" s="87">
        <v>5.491009</v>
      </c>
      <c r="BT11" s="87">
        <v>5.1226050000000001</v>
      </c>
      <c r="BU11" s="87">
        <v>5.2786749999999998</v>
      </c>
      <c r="BV11" s="87">
        <v>5.465948</v>
      </c>
      <c r="BW11" s="105">
        <v>4.9269999999999996</v>
      </c>
      <c r="BX11" s="105">
        <v>5.0999999999999996</v>
      </c>
      <c r="BY11" s="105">
        <v>4.8949999999999996</v>
      </c>
      <c r="BZ11" s="105">
        <v>5.1680000000000001</v>
      </c>
      <c r="CA11" s="105">
        <v>5.55</v>
      </c>
      <c r="CB11" s="105">
        <v>4.1769999999999996</v>
      </c>
      <c r="CC11" s="105">
        <v>4.2140000000000004</v>
      </c>
      <c r="CD11" s="105">
        <v>5.1239999999999997</v>
      </c>
      <c r="CE11" s="105">
        <v>5.4809999999999999</v>
      </c>
      <c r="CF11" s="105">
        <v>5.9009999999999998</v>
      </c>
      <c r="CG11" s="105">
        <v>4.7939999999999996</v>
      </c>
      <c r="CH11" s="105">
        <v>5.2889999999999997</v>
      </c>
      <c r="CI11" s="105">
        <v>5.3220000000000001</v>
      </c>
      <c r="CJ11" s="105">
        <v>5.593</v>
      </c>
      <c r="CK11" s="105">
        <v>5.5880000000000001</v>
      </c>
      <c r="CL11" s="105">
        <v>5.4050000000000002</v>
      </c>
      <c r="CM11" s="105">
        <v>5.0220000000000002</v>
      </c>
      <c r="CN11" s="105">
        <v>5.077</v>
      </c>
      <c r="CO11" s="105">
        <v>5.6749999999999998</v>
      </c>
      <c r="CP11" s="105">
        <v>5.7130000000000001</v>
      </c>
      <c r="CQ11" s="105">
        <v>5.3170000000000002</v>
      </c>
      <c r="CR11" s="105">
        <v>6.0590000000000002</v>
      </c>
      <c r="CS11" s="105">
        <v>6.1539999999999999</v>
      </c>
      <c r="CT11" s="105">
        <v>6.133</v>
      </c>
      <c r="CU11" s="105">
        <v>5.0380000000000003</v>
      </c>
      <c r="CV11" s="105">
        <v>5.0970000000000004</v>
      </c>
      <c r="CW11" s="105">
        <v>5.4409999999999998</v>
      </c>
      <c r="CX11" s="105">
        <v>5.5449999999999999</v>
      </c>
      <c r="CY11" s="105">
        <v>5.641</v>
      </c>
      <c r="CZ11" s="105">
        <v>6.077</v>
      </c>
      <c r="DA11" s="105">
        <v>5.8819999999999997</v>
      </c>
      <c r="DB11" s="105">
        <v>5.5570000000000004</v>
      </c>
      <c r="DC11" s="105">
        <v>5.7089999999999996</v>
      </c>
      <c r="DD11" s="105">
        <v>5.7880000000000003</v>
      </c>
      <c r="DE11" s="105">
        <v>5.7130000000000001</v>
      </c>
      <c r="DF11" s="105">
        <v>5.4610000000000003</v>
      </c>
      <c r="DG11" s="105">
        <v>5.3159999999999998</v>
      </c>
      <c r="DH11" s="115">
        <v>4.914752</v>
      </c>
      <c r="DI11" s="115">
        <v>5.2314489999999996</v>
      </c>
      <c r="DJ11" s="115">
        <v>5.4918469999999999</v>
      </c>
      <c r="DK11" s="115">
        <v>5.124206</v>
      </c>
      <c r="DL11" s="115">
        <v>5.2797650000000003</v>
      </c>
      <c r="DM11" s="115">
        <v>5.4667459999999997</v>
      </c>
    </row>
    <row r="12" spans="1:118">
      <c r="A12" s="1">
        <f t="shared" si="3"/>
        <v>10</v>
      </c>
      <c r="B12" s="2"/>
      <c r="C12" s="4">
        <v>14</v>
      </c>
      <c r="D12" s="4">
        <f t="shared" si="1"/>
        <v>1016</v>
      </c>
      <c r="E12" s="4" t="s">
        <v>161</v>
      </c>
      <c r="F12" s="4">
        <v>1</v>
      </c>
      <c r="G12" s="4" t="s">
        <v>11</v>
      </c>
      <c r="H12" s="4" t="s">
        <v>17</v>
      </c>
      <c r="I12" s="4"/>
      <c r="J12" s="5">
        <v>89.8</v>
      </c>
      <c r="K12" s="63">
        <v>2.3220000000000001</v>
      </c>
      <c r="L12" s="99">
        <v>5.476</v>
      </c>
      <c r="M12" s="7" t="s">
        <v>158</v>
      </c>
      <c r="N12" s="3" t="s">
        <v>205</v>
      </c>
      <c r="O12" s="22">
        <v>5.47</v>
      </c>
      <c r="P12" s="22">
        <v>5.3719999999999999</v>
      </c>
      <c r="Q12" s="22">
        <v>5.8490000000000002</v>
      </c>
      <c r="R12" s="41"/>
      <c r="S12" s="22">
        <v>5.702</v>
      </c>
      <c r="T12" s="41"/>
      <c r="U12" s="22">
        <v>5.5330000000000004</v>
      </c>
      <c r="V12" s="41"/>
      <c r="W12" s="41"/>
      <c r="X12" s="41"/>
      <c r="Y12" s="22">
        <v>5.569</v>
      </c>
      <c r="Z12" s="22">
        <v>5.5830000000000002</v>
      </c>
      <c r="AA12" s="22">
        <v>5.5129999999999999</v>
      </c>
      <c r="AB12" s="22">
        <v>5.359</v>
      </c>
      <c r="AC12" s="22">
        <v>5.3520000000000003</v>
      </c>
      <c r="AD12" s="22">
        <v>5.4089999999999998</v>
      </c>
      <c r="AE12" s="22">
        <f t="shared" si="2"/>
        <v>5.3804999999999996</v>
      </c>
      <c r="AF12" s="103">
        <v>5.1580000000000004</v>
      </c>
      <c r="AG12" s="103">
        <v>5.1310000000000002</v>
      </c>
      <c r="AH12" s="103">
        <v>5.1619999999999999</v>
      </c>
      <c r="AI12" s="103">
        <v>5.2469999999999999</v>
      </c>
      <c r="AJ12" s="103">
        <v>5.3140000000000001</v>
      </c>
      <c r="AK12" s="103">
        <v>5.0979999999999999</v>
      </c>
      <c r="AL12" s="103">
        <v>5.1479999999999997</v>
      </c>
      <c r="AM12" s="103">
        <v>5.3979999999999997</v>
      </c>
      <c r="AN12" s="103">
        <v>5.3970000000000002</v>
      </c>
      <c r="AO12" s="103">
        <v>5.258</v>
      </c>
      <c r="AP12" s="103">
        <v>5.3550000000000004</v>
      </c>
      <c r="AQ12" s="103">
        <v>5.367</v>
      </c>
      <c r="AR12" s="103">
        <v>5.4379999999999997</v>
      </c>
      <c r="AS12" s="103">
        <v>5.375</v>
      </c>
      <c r="AT12" s="103">
        <v>5.3529999999999998</v>
      </c>
      <c r="AU12" s="103">
        <v>5.383</v>
      </c>
      <c r="AV12" s="103">
        <v>5.1890000000000001</v>
      </c>
      <c r="AW12" s="103">
        <v>5.2510000000000003</v>
      </c>
      <c r="AX12" s="103">
        <v>5.5659999999999998</v>
      </c>
      <c r="AY12" s="103">
        <v>5.4139999999999997</v>
      </c>
      <c r="AZ12" s="103">
        <v>5.4130000000000003</v>
      </c>
      <c r="BA12" s="103">
        <v>5.5049999999999999</v>
      </c>
      <c r="BB12" s="103">
        <v>5.56</v>
      </c>
      <c r="BC12" s="103">
        <v>5.5679999999999996</v>
      </c>
      <c r="BD12" s="103">
        <v>5.4450000000000003</v>
      </c>
      <c r="BE12" s="103">
        <v>5.1989999999999998</v>
      </c>
      <c r="BF12" s="103">
        <v>5.3520000000000003</v>
      </c>
      <c r="BG12" s="103">
        <v>5.3710000000000004</v>
      </c>
      <c r="BH12" s="103">
        <v>5.47</v>
      </c>
      <c r="BI12" s="103">
        <v>5.6150000000000002</v>
      </c>
      <c r="BJ12" s="103">
        <v>5.5279999999999996</v>
      </c>
      <c r="BK12" s="103">
        <v>5.0179999999999998</v>
      </c>
      <c r="BL12" s="103">
        <v>5.3250000000000002</v>
      </c>
      <c r="BM12" s="103">
        <v>5.2889999999999997</v>
      </c>
      <c r="BN12" s="103">
        <v>5.3319999999999999</v>
      </c>
      <c r="BO12" s="103">
        <v>5.2359999999999998</v>
      </c>
      <c r="BP12" s="103">
        <v>5.3019999999999996</v>
      </c>
      <c r="BQ12" s="87">
        <v>4.7637689999999999</v>
      </c>
      <c r="BR12" s="87">
        <v>5.0131439999999996</v>
      </c>
      <c r="BS12" s="87">
        <v>5.6551</v>
      </c>
      <c r="BT12" s="87">
        <v>5.0558459999999998</v>
      </c>
      <c r="BU12" s="87">
        <v>5.0804489999999998</v>
      </c>
      <c r="BV12" s="87">
        <v>5.5971890000000002</v>
      </c>
      <c r="BW12" s="105">
        <v>5.5620000000000003</v>
      </c>
      <c r="BX12" s="105">
        <v>5.5430000000000001</v>
      </c>
      <c r="BY12" s="105">
        <v>5.5609999999999999</v>
      </c>
      <c r="BZ12" s="105">
        <v>5.6539999999999999</v>
      </c>
      <c r="CA12" s="105">
        <v>5.7350000000000003</v>
      </c>
      <c r="CB12" s="105">
        <v>5.4550000000000001</v>
      </c>
      <c r="CC12" s="105">
        <v>5.5149999999999997</v>
      </c>
      <c r="CD12" s="105">
        <v>5.7939999999999996</v>
      </c>
      <c r="CE12" s="105">
        <v>5.8220000000000001</v>
      </c>
      <c r="CF12" s="105">
        <v>5.6210000000000004</v>
      </c>
      <c r="CG12" s="105">
        <v>5.7389999999999999</v>
      </c>
      <c r="CH12" s="105">
        <v>5.7759999999999998</v>
      </c>
      <c r="CI12" s="105">
        <v>5.827</v>
      </c>
      <c r="CJ12" s="105">
        <v>5.7969999999999997</v>
      </c>
      <c r="CK12" s="105">
        <v>5.78</v>
      </c>
      <c r="CL12" s="105">
        <v>5.7640000000000002</v>
      </c>
      <c r="CM12" s="105">
        <v>5.5469999999999997</v>
      </c>
      <c r="CN12" s="105">
        <v>5.64</v>
      </c>
      <c r="CO12" s="105">
        <v>5.9279999999999999</v>
      </c>
      <c r="CP12" s="105">
        <v>5.7880000000000003</v>
      </c>
      <c r="CQ12" s="105">
        <v>5.7679999999999998</v>
      </c>
      <c r="CR12" s="105">
        <v>5.88</v>
      </c>
      <c r="CS12" s="105">
        <v>5.9429999999999996</v>
      </c>
      <c r="CT12" s="105">
        <v>5.9560000000000004</v>
      </c>
      <c r="CU12" s="105">
        <v>5.819</v>
      </c>
      <c r="CV12" s="105">
        <v>5.4740000000000002</v>
      </c>
      <c r="CW12" s="105">
        <v>5.694</v>
      </c>
      <c r="CX12" s="105">
        <v>5.6509999999999998</v>
      </c>
      <c r="CY12" s="105">
        <v>5.7670000000000003</v>
      </c>
      <c r="CZ12" s="105">
        <v>5.9649999999999999</v>
      </c>
      <c r="DA12" s="105">
        <v>5.8209999999999997</v>
      </c>
      <c r="DB12" s="105">
        <v>5.1289999999999996</v>
      </c>
      <c r="DC12" s="105">
        <v>5.5810000000000004</v>
      </c>
      <c r="DD12" s="105">
        <v>5.5279999999999996</v>
      </c>
      <c r="DE12" s="105">
        <v>5.742</v>
      </c>
      <c r="DF12" s="105">
        <v>5.6440000000000001</v>
      </c>
      <c r="DG12" s="105">
        <v>5.7009999999999996</v>
      </c>
      <c r="DH12" s="115">
        <v>5.2178800000000001</v>
      </c>
      <c r="DI12" s="115">
        <v>5.434183</v>
      </c>
      <c r="DJ12" s="115">
        <v>5.9587110000000001</v>
      </c>
      <c r="DK12" s="115">
        <v>5.4964899999999997</v>
      </c>
      <c r="DL12" s="115">
        <v>5.499047</v>
      </c>
      <c r="DM12" s="115">
        <v>5.8998379999999999</v>
      </c>
    </row>
    <row r="13" spans="1:118">
      <c r="A13" s="1">
        <f t="shared" si="3"/>
        <v>11</v>
      </c>
      <c r="B13" s="2"/>
      <c r="C13" s="4">
        <v>14</v>
      </c>
      <c r="D13" s="4">
        <f t="shared" si="1"/>
        <v>1016</v>
      </c>
      <c r="E13" s="4" t="s">
        <v>166</v>
      </c>
      <c r="F13" s="4">
        <v>3</v>
      </c>
      <c r="G13" s="4" t="s">
        <v>11</v>
      </c>
      <c r="H13" s="4" t="s">
        <v>17</v>
      </c>
      <c r="I13" s="4"/>
      <c r="J13" s="5">
        <v>97.3</v>
      </c>
      <c r="K13" s="68"/>
      <c r="L13" s="99">
        <v>2.2869999999999999</v>
      </c>
      <c r="M13" s="7" t="s">
        <v>260</v>
      </c>
      <c r="N13" s="3" t="s">
        <v>205</v>
      </c>
      <c r="O13" s="22">
        <v>2.6459999999999999</v>
      </c>
      <c r="P13" s="22">
        <v>2.39</v>
      </c>
      <c r="Q13" s="22">
        <v>2.71</v>
      </c>
      <c r="R13" s="41"/>
      <c r="S13" s="6">
        <v>2.2170000000000001</v>
      </c>
      <c r="T13" s="41"/>
      <c r="U13" s="41"/>
      <c r="V13" s="41"/>
      <c r="W13" s="41"/>
      <c r="X13" s="41"/>
      <c r="Y13" s="22">
        <v>2.5059999999999998</v>
      </c>
      <c r="Z13" s="22">
        <v>2.5089999999999999</v>
      </c>
      <c r="AA13" s="22">
        <v>2.4700000000000002</v>
      </c>
      <c r="AB13" s="22">
        <v>2.343</v>
      </c>
      <c r="AC13" s="22">
        <v>2.4049999999999998</v>
      </c>
      <c r="AD13" s="22">
        <v>2.024</v>
      </c>
      <c r="AE13" s="22">
        <f t="shared" si="2"/>
        <v>2.2145000000000001</v>
      </c>
      <c r="AF13" s="103">
        <v>1.7729999999999999</v>
      </c>
      <c r="AG13" s="103">
        <v>1.857</v>
      </c>
      <c r="AH13" s="103">
        <v>1.847</v>
      </c>
      <c r="AI13" s="103">
        <v>1.7010000000000001</v>
      </c>
      <c r="AJ13" s="108"/>
      <c r="AK13" s="103">
        <v>1.756</v>
      </c>
      <c r="AL13" s="103">
        <v>1.7649999999999999</v>
      </c>
      <c r="AM13" s="103">
        <v>1.851</v>
      </c>
      <c r="AN13" s="103">
        <v>2.0110000000000001</v>
      </c>
      <c r="AO13" s="103">
        <v>1.8859999999999999</v>
      </c>
      <c r="AP13" s="103">
        <v>2.1800000000000002</v>
      </c>
      <c r="AQ13" s="103">
        <v>2.1859999999999999</v>
      </c>
      <c r="AR13" s="103">
        <v>2.2040000000000002</v>
      </c>
      <c r="AS13" s="103">
        <v>1.952</v>
      </c>
      <c r="AT13" s="103">
        <v>1.946</v>
      </c>
      <c r="AU13" s="103">
        <v>1.647</v>
      </c>
      <c r="AV13" s="103">
        <v>1.96</v>
      </c>
      <c r="AW13" s="103">
        <v>1.772</v>
      </c>
      <c r="AX13" s="108"/>
      <c r="AY13" s="103">
        <v>1.782</v>
      </c>
      <c r="AZ13" s="103">
        <v>1.954</v>
      </c>
      <c r="BA13" s="103">
        <v>1.5640000000000001</v>
      </c>
      <c r="BB13" s="103">
        <v>1.373</v>
      </c>
      <c r="BC13" s="103">
        <v>0.97299999999999998</v>
      </c>
      <c r="BD13" s="103">
        <v>1.7509999999999999</v>
      </c>
      <c r="BE13" s="108"/>
      <c r="BF13" s="108"/>
      <c r="BG13" s="108"/>
      <c r="BH13" s="108"/>
      <c r="BI13" s="108"/>
      <c r="BJ13" s="108"/>
      <c r="BK13" s="108"/>
      <c r="BL13" s="108"/>
      <c r="BM13" s="108"/>
      <c r="BN13" s="103">
        <v>2.1150000000000002</v>
      </c>
      <c r="BO13" s="103">
        <v>1.8560000000000001</v>
      </c>
      <c r="BP13" s="103">
        <v>2.06</v>
      </c>
      <c r="BQ13" s="87">
        <v>1.536972</v>
      </c>
      <c r="BR13" s="87">
        <v>1.7071769999999999</v>
      </c>
      <c r="BS13" s="87">
        <v>2.3002880000000001</v>
      </c>
      <c r="BT13" s="87">
        <v>1.604805</v>
      </c>
      <c r="BU13" s="87">
        <v>1.711354</v>
      </c>
      <c r="BV13" s="87">
        <v>2.2876970000000001</v>
      </c>
      <c r="BW13" s="105">
        <v>2.0569999999999999</v>
      </c>
      <c r="BX13" s="105">
        <v>2.0910000000000002</v>
      </c>
      <c r="BY13" s="105">
        <v>2.1070000000000002</v>
      </c>
      <c r="BZ13" s="105">
        <v>2.0840000000000001</v>
      </c>
      <c r="CA13" s="105">
        <v>1.6279999999999999</v>
      </c>
      <c r="CB13" s="105">
        <v>2.0990000000000002</v>
      </c>
      <c r="CC13" s="105">
        <v>2.117</v>
      </c>
      <c r="CD13" s="105">
        <v>2.246</v>
      </c>
      <c r="CE13" s="105">
        <v>2.3109999999999999</v>
      </c>
      <c r="CF13" s="105">
        <v>2.2120000000000002</v>
      </c>
      <c r="CG13" s="105">
        <v>2.4060000000000001</v>
      </c>
      <c r="CH13" s="105">
        <v>2.4089999999999998</v>
      </c>
      <c r="CI13" s="105">
        <v>2.4369999999999998</v>
      </c>
      <c r="CJ13" s="105">
        <v>2.2480000000000002</v>
      </c>
      <c r="CK13" s="105">
        <v>2.2400000000000002</v>
      </c>
      <c r="CL13" s="105">
        <v>2.1859999999999999</v>
      </c>
      <c r="CM13" s="105">
        <v>2.1720000000000002</v>
      </c>
      <c r="CN13" s="105">
        <v>2.1349999999999998</v>
      </c>
      <c r="CO13" s="105">
        <v>2.093</v>
      </c>
      <c r="CP13" s="105">
        <v>2.242</v>
      </c>
      <c r="CQ13" s="105">
        <v>2.3519999999999999</v>
      </c>
      <c r="CR13" s="105">
        <v>2.2669999999999999</v>
      </c>
      <c r="CS13" s="105">
        <v>2.2869999999999999</v>
      </c>
      <c r="CT13" s="105">
        <v>2.1890000000000001</v>
      </c>
      <c r="CU13" s="105">
        <v>2.2879999999999998</v>
      </c>
      <c r="CV13" s="105">
        <v>2.2549999999999999</v>
      </c>
      <c r="CW13" s="105">
        <v>2.1560000000000001</v>
      </c>
      <c r="CX13" s="105">
        <v>2.2690000000000001</v>
      </c>
      <c r="CY13" s="105">
        <v>2.3130000000000002</v>
      </c>
      <c r="CZ13" s="105">
        <v>2.2090000000000001</v>
      </c>
      <c r="DA13" s="105">
        <v>2.29</v>
      </c>
      <c r="DB13" s="105">
        <v>2.778</v>
      </c>
      <c r="DC13" s="105">
        <v>2.2629999999999999</v>
      </c>
      <c r="DD13" s="105">
        <v>2.258</v>
      </c>
      <c r="DE13" s="105">
        <v>2.302</v>
      </c>
      <c r="DF13" s="105">
        <v>2.1389999999999998</v>
      </c>
      <c r="DG13" s="105">
        <v>2.278</v>
      </c>
      <c r="DH13" s="115">
        <v>1.7708630000000001</v>
      </c>
      <c r="DI13" s="115">
        <v>1.987903</v>
      </c>
      <c r="DJ13" s="115">
        <v>2.5189900000000001</v>
      </c>
      <c r="DK13" s="115">
        <v>1.94371</v>
      </c>
      <c r="DL13" s="115">
        <v>2.0251220000000001</v>
      </c>
      <c r="DM13" s="115">
        <v>2.4835090000000002</v>
      </c>
    </row>
    <row r="14" spans="1:118">
      <c r="A14" s="1">
        <f>A13+1</f>
        <v>12</v>
      </c>
      <c r="B14" s="2"/>
      <c r="C14" s="4">
        <v>14</v>
      </c>
      <c r="D14" s="4">
        <f t="shared" si="1"/>
        <v>1016</v>
      </c>
      <c r="E14" s="4" t="s">
        <v>233</v>
      </c>
      <c r="F14" s="4">
        <v>3</v>
      </c>
      <c r="G14" s="4" t="s">
        <v>11</v>
      </c>
      <c r="H14" s="4" t="s">
        <v>17</v>
      </c>
      <c r="I14" s="4"/>
      <c r="J14" s="5">
        <v>97.6</v>
      </c>
      <c r="K14" s="68"/>
      <c r="L14" s="99">
        <v>3.6549999999999998</v>
      </c>
      <c r="M14" s="7" t="s">
        <v>260</v>
      </c>
      <c r="N14" s="3" t="s">
        <v>205</v>
      </c>
      <c r="O14" s="22">
        <v>3.9550000000000001</v>
      </c>
      <c r="P14" s="22">
        <v>3.7919999999999998</v>
      </c>
      <c r="Q14" s="22">
        <v>3.952</v>
      </c>
      <c r="R14" s="41"/>
      <c r="S14" s="6">
        <v>3.62</v>
      </c>
      <c r="T14" s="41"/>
      <c r="U14" s="41"/>
      <c r="V14" s="41"/>
      <c r="W14" s="41"/>
      <c r="X14" s="41"/>
      <c r="Y14" s="22">
        <v>3.7959999999999998</v>
      </c>
      <c r="Z14" s="22">
        <v>3.8029999999999999</v>
      </c>
      <c r="AA14" s="22">
        <v>3.8</v>
      </c>
      <c r="AB14" s="22">
        <v>3.65</v>
      </c>
      <c r="AC14" s="22">
        <v>3.78</v>
      </c>
      <c r="AD14" s="22">
        <v>3.4049999999999998</v>
      </c>
      <c r="AE14" s="22">
        <f t="shared" si="2"/>
        <v>3.5924999999999998</v>
      </c>
      <c r="AF14" s="103">
        <v>3.2450000000000001</v>
      </c>
      <c r="AG14" s="103">
        <v>3.319</v>
      </c>
      <c r="AH14" s="103">
        <v>3.3130000000000002</v>
      </c>
      <c r="AI14" s="103">
        <v>3.214</v>
      </c>
      <c r="AJ14" s="108"/>
      <c r="AK14" s="103">
        <v>3.2189999999999999</v>
      </c>
      <c r="AL14" s="103">
        <v>3.24</v>
      </c>
      <c r="AM14" s="103">
        <v>3.415</v>
      </c>
      <c r="AN14" s="103">
        <v>3.55</v>
      </c>
      <c r="AO14" s="103">
        <v>3.3919999999999999</v>
      </c>
      <c r="AP14" s="103">
        <v>3.6680000000000001</v>
      </c>
      <c r="AQ14" s="103">
        <v>3.6779999999999999</v>
      </c>
      <c r="AR14" s="103">
        <v>3.714</v>
      </c>
      <c r="AS14" s="103">
        <v>3.4990000000000001</v>
      </c>
      <c r="AT14" s="103">
        <v>3.488</v>
      </c>
      <c r="AU14" s="103">
        <v>3.2360000000000002</v>
      </c>
      <c r="AV14" s="103">
        <v>3.399</v>
      </c>
      <c r="AW14" s="103">
        <v>3.274</v>
      </c>
      <c r="AX14" s="108"/>
      <c r="AY14" s="103">
        <v>3.3420000000000001</v>
      </c>
      <c r="AZ14" s="103">
        <v>3.4870000000000001</v>
      </c>
      <c r="BA14" s="103">
        <v>3.2490000000000001</v>
      </c>
      <c r="BB14" s="103">
        <v>3.18</v>
      </c>
      <c r="BC14" s="103">
        <v>2.9729999999999999</v>
      </c>
      <c r="BD14" s="103">
        <v>3.3650000000000002</v>
      </c>
      <c r="BE14" s="108"/>
      <c r="BF14" s="108"/>
      <c r="BG14" s="108"/>
      <c r="BH14" s="108"/>
      <c r="BI14" s="108"/>
      <c r="BJ14" s="108"/>
      <c r="BK14" s="108"/>
      <c r="BL14" s="108"/>
      <c r="BM14" s="108"/>
      <c r="BN14" s="103">
        <v>3.621</v>
      </c>
      <c r="BO14" s="103">
        <v>3.3420000000000001</v>
      </c>
      <c r="BP14" s="103">
        <v>3.5529999999999999</v>
      </c>
      <c r="BQ14" s="87">
        <v>2.8082069999999999</v>
      </c>
      <c r="BR14" s="87">
        <v>3.0723319999999998</v>
      </c>
      <c r="BS14" s="87">
        <v>3.9468390000000002</v>
      </c>
      <c r="BT14" s="87">
        <v>2.9971399999999999</v>
      </c>
      <c r="BU14" s="87">
        <v>3.1003090000000002</v>
      </c>
      <c r="BV14" s="87">
        <v>3.9209529999999999</v>
      </c>
      <c r="BW14" s="105">
        <v>3.476</v>
      </c>
      <c r="BX14" s="105">
        <v>3.5059999999999998</v>
      </c>
      <c r="BY14" s="105">
        <v>3.508</v>
      </c>
      <c r="BZ14" s="105">
        <v>3.484</v>
      </c>
      <c r="CA14" s="105">
        <v>2.964</v>
      </c>
      <c r="CB14" s="105">
        <v>3.464</v>
      </c>
      <c r="CC14" s="105">
        <v>3.4950000000000001</v>
      </c>
      <c r="CD14" s="105">
        <v>3.6739999999999999</v>
      </c>
      <c r="CE14" s="105">
        <v>3.75</v>
      </c>
      <c r="CF14" s="105">
        <v>3.5990000000000002</v>
      </c>
      <c r="CG14" s="105">
        <v>3.8180000000000001</v>
      </c>
      <c r="CH14" s="105">
        <v>3.8210000000000002</v>
      </c>
      <c r="CI14" s="105">
        <v>3.8679999999999999</v>
      </c>
      <c r="CJ14" s="105">
        <v>3.7120000000000002</v>
      </c>
      <c r="CK14" s="105">
        <v>3.698</v>
      </c>
      <c r="CL14" s="105">
        <v>3.5489999999999999</v>
      </c>
      <c r="CM14" s="105">
        <v>3.548</v>
      </c>
      <c r="CN14" s="105">
        <v>3.5190000000000001</v>
      </c>
      <c r="CO14" s="105">
        <v>3.367</v>
      </c>
      <c r="CP14" s="105">
        <v>3.6139999999999999</v>
      </c>
      <c r="CQ14" s="105">
        <v>3.706</v>
      </c>
      <c r="CR14" s="105">
        <v>3.6160000000000001</v>
      </c>
      <c r="CS14" s="105">
        <v>3.6219999999999999</v>
      </c>
      <c r="CT14" s="105">
        <v>3.5</v>
      </c>
      <c r="CU14" s="105">
        <v>3.6440000000000001</v>
      </c>
      <c r="CV14" s="105">
        <v>3.629</v>
      </c>
      <c r="CW14" s="105">
        <v>3.5430000000000001</v>
      </c>
      <c r="CX14" s="105">
        <v>3.6280000000000001</v>
      </c>
      <c r="CY14" s="105">
        <v>3.653</v>
      </c>
      <c r="CZ14" s="105">
        <v>3.548</v>
      </c>
      <c r="DA14" s="105">
        <v>3.6320000000000001</v>
      </c>
      <c r="DB14" s="105">
        <v>4.1429999999999998</v>
      </c>
      <c r="DC14" s="105">
        <v>3.589</v>
      </c>
      <c r="DD14" s="105">
        <v>3.59</v>
      </c>
      <c r="DE14" s="105">
        <v>3.76</v>
      </c>
      <c r="DF14" s="105">
        <v>3.5539999999999998</v>
      </c>
      <c r="DG14" s="105">
        <v>3.7109999999999999</v>
      </c>
      <c r="DH14" s="115">
        <v>2.9697079999999998</v>
      </c>
      <c r="DI14" s="115">
        <v>3.2609319999999999</v>
      </c>
      <c r="DJ14" s="115">
        <v>4.0991910000000003</v>
      </c>
      <c r="DK14" s="115">
        <v>3.2145069999999998</v>
      </c>
      <c r="DL14" s="115">
        <v>3.306486</v>
      </c>
      <c r="DM14" s="115">
        <v>4.0585300000000002</v>
      </c>
    </row>
    <row r="15" spans="1:118">
      <c r="A15" s="1">
        <f t="shared" si="3"/>
        <v>13</v>
      </c>
      <c r="B15" s="2"/>
      <c r="C15" s="4">
        <v>14</v>
      </c>
      <c r="D15" s="4">
        <f t="shared" si="1"/>
        <v>1016</v>
      </c>
      <c r="E15" s="4" t="s">
        <v>164</v>
      </c>
      <c r="F15" s="4">
        <v>3</v>
      </c>
      <c r="G15" s="4" t="s">
        <v>11</v>
      </c>
      <c r="H15" s="4" t="s">
        <v>17</v>
      </c>
      <c r="I15" s="4"/>
      <c r="J15" s="5">
        <v>96.1</v>
      </c>
      <c r="K15" s="68"/>
      <c r="L15" s="99">
        <v>3.7079999999999993</v>
      </c>
      <c r="M15" s="7" t="s">
        <v>260</v>
      </c>
      <c r="N15" s="3" t="s">
        <v>205</v>
      </c>
      <c r="O15" s="22">
        <v>4.008</v>
      </c>
      <c r="P15" s="22">
        <v>3.8610000000000002</v>
      </c>
      <c r="Q15" s="22">
        <v>4.2450000000000001</v>
      </c>
      <c r="R15" s="41"/>
      <c r="S15" s="6">
        <v>3.8079999999999998</v>
      </c>
      <c r="T15" s="41"/>
      <c r="U15" s="41"/>
      <c r="V15" s="41"/>
      <c r="W15" s="41"/>
      <c r="X15" s="41"/>
      <c r="Y15" s="22">
        <v>3.863</v>
      </c>
      <c r="Z15" s="22">
        <v>3.875</v>
      </c>
      <c r="AA15" s="22">
        <v>3.8719999999999999</v>
      </c>
      <c r="AB15" s="22">
        <v>3.673</v>
      </c>
      <c r="AC15" s="22">
        <v>3.847</v>
      </c>
      <c r="AD15" s="22">
        <v>3.4319999999999999</v>
      </c>
      <c r="AE15" s="22">
        <f t="shared" si="2"/>
        <v>3.6395</v>
      </c>
      <c r="AF15" s="103">
        <v>3.4649999999999999</v>
      </c>
      <c r="AG15" s="103">
        <v>3.4769999999999999</v>
      </c>
      <c r="AH15" s="103">
        <v>3.5030000000000001</v>
      </c>
      <c r="AI15" s="103">
        <v>3.5179999999999998</v>
      </c>
      <c r="AJ15" s="108"/>
      <c r="AK15" s="103">
        <v>3.456</v>
      </c>
      <c r="AL15" s="103">
        <v>3.488</v>
      </c>
      <c r="AM15" s="103">
        <v>3.6989999999999998</v>
      </c>
      <c r="AN15" s="103">
        <v>3.7440000000000002</v>
      </c>
      <c r="AO15" s="103">
        <v>3.593</v>
      </c>
      <c r="AP15" s="103">
        <v>3.7719999999999998</v>
      </c>
      <c r="AQ15" s="103">
        <v>3.7679999999999998</v>
      </c>
      <c r="AR15" s="103">
        <v>3.8170000000000002</v>
      </c>
      <c r="AS15" s="103">
        <v>3.6970000000000001</v>
      </c>
      <c r="AT15" s="103">
        <v>3.68</v>
      </c>
      <c r="AU15" s="103">
        <v>3.6419999999999999</v>
      </c>
      <c r="AV15" s="103">
        <v>3.5670000000000002</v>
      </c>
      <c r="AW15" s="103">
        <v>3.5590000000000002</v>
      </c>
      <c r="AX15" s="108"/>
      <c r="AY15" s="103">
        <v>3.7</v>
      </c>
      <c r="AZ15" s="103">
        <v>3.7650000000000001</v>
      </c>
      <c r="BA15" s="103">
        <v>3.7370000000000001</v>
      </c>
      <c r="BB15" s="103">
        <v>3.7530000000000001</v>
      </c>
      <c r="BC15" s="103">
        <v>3.677</v>
      </c>
      <c r="BD15" s="103">
        <v>3.7589999999999999</v>
      </c>
      <c r="BE15" s="108"/>
      <c r="BF15" s="108"/>
      <c r="BG15" s="108"/>
      <c r="BH15" s="108"/>
      <c r="BI15" s="108"/>
      <c r="BJ15" s="108"/>
      <c r="BK15" s="108"/>
      <c r="BL15" s="108"/>
      <c r="BM15" s="108"/>
      <c r="BN15" s="103">
        <v>3.7029999999999998</v>
      </c>
      <c r="BO15" s="103">
        <v>3.5529999999999999</v>
      </c>
      <c r="BP15" s="103">
        <v>3.677</v>
      </c>
      <c r="BQ15" s="87">
        <v>3.0350440000000001</v>
      </c>
      <c r="BR15" s="87">
        <v>3.2965680000000002</v>
      </c>
      <c r="BS15" s="87">
        <v>3.830946</v>
      </c>
      <c r="BT15" s="87">
        <v>3.262019</v>
      </c>
      <c r="BU15" s="87">
        <v>3.3446020000000001</v>
      </c>
      <c r="BV15" s="87">
        <v>3.7712639999999999</v>
      </c>
      <c r="BW15" s="105">
        <v>3.52</v>
      </c>
      <c r="BX15" s="105">
        <v>3.5230000000000001</v>
      </c>
      <c r="BY15" s="105">
        <v>3.548</v>
      </c>
      <c r="BZ15" s="105">
        <v>3.58</v>
      </c>
      <c r="CA15" s="105">
        <v>3.42</v>
      </c>
      <c r="CB15" s="105">
        <v>3.5169999999999999</v>
      </c>
      <c r="CC15" s="105">
        <v>3.5539999999999998</v>
      </c>
      <c r="CD15" s="105">
        <v>3.758</v>
      </c>
      <c r="CE15" s="105">
        <v>3.7879999999999998</v>
      </c>
      <c r="CF15" s="105">
        <v>3.6379999999999999</v>
      </c>
      <c r="CG15" s="105">
        <v>3.8069999999999999</v>
      </c>
      <c r="CH15" s="105">
        <v>3.8010000000000002</v>
      </c>
      <c r="CI15" s="105">
        <v>3.8580000000000001</v>
      </c>
      <c r="CJ15" s="105">
        <v>3.7429999999999999</v>
      </c>
      <c r="CK15" s="105">
        <v>3.7250000000000001</v>
      </c>
      <c r="CL15" s="105">
        <v>3.7130000000000001</v>
      </c>
      <c r="CM15" s="105">
        <v>3.6070000000000002</v>
      </c>
      <c r="CN15" s="105">
        <v>3.6150000000000002</v>
      </c>
      <c r="CO15" s="105">
        <v>3.7839999999999998</v>
      </c>
      <c r="CP15" s="105">
        <v>3.766</v>
      </c>
      <c r="CQ15" s="105">
        <v>3.82</v>
      </c>
      <c r="CR15" s="105">
        <v>3.8260000000000001</v>
      </c>
      <c r="CS15" s="105">
        <v>3.86</v>
      </c>
      <c r="CT15" s="105">
        <v>3.8029999999999999</v>
      </c>
      <c r="CU15" s="105">
        <v>3.8210000000000002</v>
      </c>
      <c r="CV15" s="105">
        <v>3.694</v>
      </c>
      <c r="CW15" s="105">
        <v>3.702</v>
      </c>
      <c r="CX15" s="105">
        <v>3.7949999999999999</v>
      </c>
      <c r="CY15" s="105">
        <v>3.8580000000000001</v>
      </c>
      <c r="CZ15" s="105">
        <v>3.8650000000000002</v>
      </c>
      <c r="DA15" s="105">
        <v>3.883</v>
      </c>
      <c r="DB15" s="105">
        <v>3.907</v>
      </c>
      <c r="DC15" s="105">
        <v>3.7010000000000001</v>
      </c>
      <c r="DD15" s="105">
        <v>3.6709999999999998</v>
      </c>
      <c r="DE15" s="105">
        <v>3.7330000000000001</v>
      </c>
      <c r="DF15" s="105">
        <v>3.6</v>
      </c>
      <c r="DG15" s="105">
        <v>3.7109999999999999</v>
      </c>
      <c r="DH15" s="115">
        <v>3.0768450000000001</v>
      </c>
      <c r="DI15" s="115">
        <v>3.3426809999999998</v>
      </c>
      <c r="DJ15" s="115">
        <v>3.8864770000000002</v>
      </c>
      <c r="DK15" s="115">
        <v>3.3155079999999999</v>
      </c>
      <c r="DL15" s="115">
        <v>3.3944049999999999</v>
      </c>
      <c r="DM15" s="115">
        <v>3.8227760000000002</v>
      </c>
    </row>
    <row r="16" spans="1:118">
      <c r="A16" s="1">
        <f t="shared" si="3"/>
        <v>14</v>
      </c>
      <c r="B16" s="2" t="s">
        <v>387</v>
      </c>
      <c r="C16" s="4">
        <v>16</v>
      </c>
      <c r="D16" s="4">
        <f t="shared" si="1"/>
        <v>1016</v>
      </c>
      <c r="E16" s="4" t="s">
        <v>240</v>
      </c>
      <c r="F16" s="4">
        <v>1</v>
      </c>
      <c r="G16" s="4" t="s">
        <v>11</v>
      </c>
      <c r="H16" s="4" t="s">
        <v>12</v>
      </c>
      <c r="I16" s="4"/>
      <c r="J16" s="5">
        <v>87.1</v>
      </c>
      <c r="K16" s="68"/>
      <c r="L16" s="99">
        <v>3.2260000000000004</v>
      </c>
      <c r="M16" s="7" t="s">
        <v>383</v>
      </c>
      <c r="N16" s="3" t="s">
        <v>205</v>
      </c>
      <c r="O16" s="6">
        <v>3.28</v>
      </c>
      <c r="P16" s="6">
        <v>3.1640000000000001</v>
      </c>
      <c r="Q16" s="6">
        <v>3.681</v>
      </c>
      <c r="R16" s="54"/>
      <c r="S16" s="6">
        <v>3.4849999999999999</v>
      </c>
      <c r="T16" s="54"/>
      <c r="U16" s="6">
        <v>3.343</v>
      </c>
      <c r="V16" s="54"/>
      <c r="W16" s="54"/>
      <c r="X16" s="54"/>
      <c r="Y16" s="6">
        <v>3.4540000000000002</v>
      </c>
      <c r="Z16" s="6">
        <v>3.5939999999999999</v>
      </c>
      <c r="AA16" s="6">
        <v>3.46</v>
      </c>
      <c r="AB16" s="6">
        <v>3.2029999999999998</v>
      </c>
      <c r="AC16" s="6">
        <v>3.0249999999999999</v>
      </c>
      <c r="AD16" s="22">
        <v>3.419</v>
      </c>
      <c r="AE16" s="22">
        <f t="shared" si="2"/>
        <v>3.222</v>
      </c>
      <c r="AF16" s="103">
        <v>2.7629999999999999</v>
      </c>
      <c r="AG16" s="103">
        <v>2.81</v>
      </c>
      <c r="AH16" s="103">
        <v>2.9380000000000002</v>
      </c>
      <c r="AI16" s="103">
        <v>3.0030000000000001</v>
      </c>
      <c r="AJ16" s="103">
        <v>3.0960000000000001</v>
      </c>
      <c r="AK16" s="103">
        <v>3.032</v>
      </c>
      <c r="AL16" s="103">
        <v>3.0419999999999998</v>
      </c>
      <c r="AM16" s="103">
        <v>3.3570000000000002</v>
      </c>
      <c r="AN16" s="103">
        <v>3.181</v>
      </c>
      <c r="AO16" s="103">
        <v>2.9969999999999999</v>
      </c>
      <c r="AP16" s="103">
        <v>3.2229999999999999</v>
      </c>
      <c r="AQ16" s="103">
        <v>3.1819999999999999</v>
      </c>
      <c r="AR16" s="103">
        <v>3.3929999999999998</v>
      </c>
      <c r="AS16" s="103">
        <v>3.056</v>
      </c>
      <c r="AT16" s="103">
        <v>3.0350000000000001</v>
      </c>
      <c r="AU16" s="103">
        <v>3.3159999999999998</v>
      </c>
      <c r="AV16" s="103">
        <v>2.9</v>
      </c>
      <c r="AW16" s="103">
        <v>3.1040000000000001</v>
      </c>
      <c r="AX16" s="103">
        <v>3.7490000000000001</v>
      </c>
      <c r="AY16" s="103">
        <v>3.2879999999999998</v>
      </c>
      <c r="AZ16" s="103">
        <v>3.4159999999999999</v>
      </c>
      <c r="BA16" s="103">
        <v>3.4420000000000002</v>
      </c>
      <c r="BB16" s="103">
        <v>3.51</v>
      </c>
      <c r="BC16" s="103">
        <v>3.4489999999999998</v>
      </c>
      <c r="BD16" s="103">
        <v>3.1739999999999999</v>
      </c>
      <c r="BE16" s="103">
        <v>3.0430000000000001</v>
      </c>
      <c r="BF16" s="103">
        <v>3.24</v>
      </c>
      <c r="BG16" s="103">
        <v>3.3090000000000002</v>
      </c>
      <c r="BH16" s="103">
        <v>3.4540000000000002</v>
      </c>
      <c r="BI16" s="103">
        <v>3.6190000000000002</v>
      </c>
      <c r="BJ16" s="103">
        <v>3.5230000000000001</v>
      </c>
      <c r="BK16" s="103">
        <v>2.5209999999999999</v>
      </c>
      <c r="BL16" s="103">
        <v>3.2570000000000001</v>
      </c>
      <c r="BM16" s="103">
        <v>3.214</v>
      </c>
      <c r="BN16" s="103">
        <v>3.0649999999999999</v>
      </c>
      <c r="BO16" s="103">
        <v>2.9620000000000002</v>
      </c>
      <c r="BP16" s="103">
        <v>3.1339999999999999</v>
      </c>
      <c r="BQ16" s="87">
        <v>2.6255190000000002</v>
      </c>
      <c r="BR16" s="87">
        <v>3.0652469999999998</v>
      </c>
      <c r="BS16" s="87">
        <v>4.0747109999999997</v>
      </c>
      <c r="BT16" s="87">
        <v>3.1044309999999999</v>
      </c>
      <c r="BU16" s="87">
        <v>3.1844139999999999</v>
      </c>
      <c r="BV16" s="87">
        <v>3.8252730000000001</v>
      </c>
      <c r="BW16" s="105">
        <v>2.778</v>
      </c>
      <c r="BX16" s="105">
        <v>2.8290000000000002</v>
      </c>
      <c r="BY16" s="105">
        <v>2.9580000000000002</v>
      </c>
      <c r="BZ16" s="105">
        <v>3.0289999999999999</v>
      </c>
      <c r="CA16" s="105">
        <v>3.1339999999999999</v>
      </c>
      <c r="CB16" s="105">
        <v>3.0619999999999998</v>
      </c>
      <c r="CC16" s="105">
        <v>3.073</v>
      </c>
      <c r="CD16" s="105">
        <v>3.3969999999999998</v>
      </c>
      <c r="CE16" s="105">
        <v>3.23</v>
      </c>
      <c r="CF16" s="105">
        <v>3.0619999999999998</v>
      </c>
      <c r="CG16" s="105">
        <v>3.2959999999999998</v>
      </c>
      <c r="CH16" s="105">
        <v>3.2570000000000001</v>
      </c>
      <c r="CI16" s="105">
        <v>3.4369999999999998</v>
      </c>
      <c r="CJ16" s="105">
        <v>3.09</v>
      </c>
      <c r="CK16" s="105">
        <v>3.0710000000000002</v>
      </c>
      <c r="CL16" s="105">
        <v>3.347</v>
      </c>
      <c r="CM16" s="105">
        <v>2.92</v>
      </c>
      <c r="CN16" s="105">
        <v>3.1280000000000001</v>
      </c>
      <c r="CO16" s="105">
        <v>3.7909999999999999</v>
      </c>
      <c r="CP16" s="105">
        <v>3.32</v>
      </c>
      <c r="CQ16" s="105">
        <v>3.4529999999999998</v>
      </c>
      <c r="CR16" s="105">
        <v>3.4790000000000001</v>
      </c>
      <c r="CS16" s="105">
        <v>3.55</v>
      </c>
      <c r="CT16" s="105">
        <v>3.49</v>
      </c>
      <c r="CU16" s="105">
        <v>3.26</v>
      </c>
      <c r="CV16" s="105">
        <v>3.0670000000000002</v>
      </c>
      <c r="CW16" s="105">
        <v>3.2770000000000001</v>
      </c>
      <c r="CX16" s="105">
        <v>3.359</v>
      </c>
      <c r="CY16" s="105">
        <v>3.504</v>
      </c>
      <c r="CZ16" s="105">
        <v>3.6819999999999999</v>
      </c>
      <c r="DA16" s="105">
        <v>3.589</v>
      </c>
      <c r="DB16" s="105">
        <v>2.5190000000000001</v>
      </c>
      <c r="DC16" s="105">
        <v>3.3029999999999999</v>
      </c>
      <c r="DD16" s="105">
        <v>3.2610000000000001</v>
      </c>
      <c r="DE16" s="105">
        <v>3.093</v>
      </c>
      <c r="DF16" s="105">
        <v>2.984</v>
      </c>
      <c r="DG16" s="105">
        <v>3.1629999999999998</v>
      </c>
      <c r="DH16" s="115">
        <v>2.6644909999999999</v>
      </c>
      <c r="DI16" s="115">
        <v>3.1020460000000001</v>
      </c>
      <c r="DJ16" s="115">
        <v>4.1056150000000002</v>
      </c>
      <c r="DK16" s="115">
        <v>3.1431170000000002</v>
      </c>
      <c r="DL16" s="115">
        <v>3.2215780000000001</v>
      </c>
      <c r="DM16" s="115">
        <v>3.855191</v>
      </c>
    </row>
    <row r="17" spans="1:117">
      <c r="A17" s="1">
        <f t="shared" si="3"/>
        <v>15</v>
      </c>
      <c r="B17" s="2"/>
      <c r="C17" s="4">
        <v>16</v>
      </c>
      <c r="D17" s="4">
        <f t="shared" si="1"/>
        <v>1016</v>
      </c>
      <c r="E17" s="4" t="s">
        <v>150</v>
      </c>
      <c r="F17" s="4">
        <v>1</v>
      </c>
      <c r="G17" s="4" t="s">
        <v>11</v>
      </c>
      <c r="H17" s="4" t="s">
        <v>12</v>
      </c>
      <c r="I17" s="4"/>
      <c r="J17" s="5">
        <v>86.4</v>
      </c>
      <c r="K17" s="68"/>
      <c r="L17" s="99">
        <v>3.4660000000000002</v>
      </c>
      <c r="M17" s="7" t="s">
        <v>383</v>
      </c>
      <c r="N17" s="3" t="s">
        <v>205</v>
      </c>
      <c r="O17" s="6">
        <v>3.492</v>
      </c>
      <c r="P17" s="6">
        <v>3.4260000000000002</v>
      </c>
      <c r="Q17" s="6">
        <v>3.8580000000000001</v>
      </c>
      <c r="R17" s="54"/>
      <c r="S17" s="6">
        <v>3.7010000000000001</v>
      </c>
      <c r="T17" s="54"/>
      <c r="U17" s="6">
        <v>3.5739999999999998</v>
      </c>
      <c r="V17" s="54"/>
      <c r="W17" s="54"/>
      <c r="X17" s="54"/>
      <c r="Y17" s="6">
        <v>3.6230000000000002</v>
      </c>
      <c r="Z17" s="6">
        <v>3.7930000000000001</v>
      </c>
      <c r="AA17" s="6">
        <v>3.6779999999999999</v>
      </c>
      <c r="AB17" s="6">
        <v>3.3719999999999999</v>
      </c>
      <c r="AC17" s="6">
        <v>3.2360000000000002</v>
      </c>
      <c r="AD17" s="22">
        <v>3.6720000000000002</v>
      </c>
      <c r="AE17" s="22">
        <f t="shared" si="2"/>
        <v>3.4540000000000002</v>
      </c>
      <c r="AF17" s="103">
        <v>3.0750000000000002</v>
      </c>
      <c r="AG17" s="103">
        <v>3.117</v>
      </c>
      <c r="AH17" s="103">
        <v>3.2330000000000001</v>
      </c>
      <c r="AI17" s="103">
        <v>3.306</v>
      </c>
      <c r="AJ17" s="103">
        <v>3.3849999999999998</v>
      </c>
      <c r="AK17" s="103">
        <v>3.3239999999999998</v>
      </c>
      <c r="AL17" s="103">
        <v>3.331</v>
      </c>
      <c r="AM17" s="103">
        <v>3.6349999999999998</v>
      </c>
      <c r="AN17" s="103">
        <v>3.4689999999999999</v>
      </c>
      <c r="AO17" s="103">
        <v>3.2639999999999998</v>
      </c>
      <c r="AP17" s="103">
        <v>3.4889999999999999</v>
      </c>
      <c r="AQ17" s="103">
        <v>3.4510000000000001</v>
      </c>
      <c r="AR17" s="103">
        <v>3.681</v>
      </c>
      <c r="AS17" s="103">
        <v>3.3969999999999998</v>
      </c>
      <c r="AT17" s="103">
        <v>3.3719999999999999</v>
      </c>
      <c r="AU17" s="103">
        <v>3.5790000000000002</v>
      </c>
      <c r="AV17" s="103">
        <v>3.2010000000000001</v>
      </c>
      <c r="AW17" s="103">
        <v>3.387</v>
      </c>
      <c r="AX17" s="103">
        <v>3.9470000000000001</v>
      </c>
      <c r="AY17" s="103">
        <v>3.5550000000000002</v>
      </c>
      <c r="AZ17" s="103">
        <v>3.67</v>
      </c>
      <c r="BA17" s="103">
        <v>3.69</v>
      </c>
      <c r="BB17" s="103">
        <v>3.754</v>
      </c>
      <c r="BC17" s="103">
        <v>3.6920000000000002</v>
      </c>
      <c r="BD17" s="103">
        <v>3.431</v>
      </c>
      <c r="BE17" s="103">
        <v>3.2970000000000002</v>
      </c>
      <c r="BF17" s="103">
        <v>3.5049999999999999</v>
      </c>
      <c r="BG17" s="103">
        <v>3.5510000000000002</v>
      </c>
      <c r="BH17" s="103">
        <v>3.68</v>
      </c>
      <c r="BI17" s="103">
        <v>3.8519999999999999</v>
      </c>
      <c r="BJ17" s="103">
        <v>3.7490000000000001</v>
      </c>
      <c r="BK17" s="103">
        <v>2.7570000000000001</v>
      </c>
      <c r="BL17" s="103">
        <v>3.472</v>
      </c>
      <c r="BM17" s="103">
        <v>3.427</v>
      </c>
      <c r="BN17" s="103">
        <v>3.399</v>
      </c>
      <c r="BO17" s="103">
        <v>3.286</v>
      </c>
      <c r="BP17" s="103">
        <v>3.4550000000000001</v>
      </c>
      <c r="BQ17" s="87">
        <v>2.8433440000000001</v>
      </c>
      <c r="BR17" s="87">
        <v>3.297593</v>
      </c>
      <c r="BS17" s="87">
        <v>4.2597500000000004</v>
      </c>
      <c r="BT17" s="87">
        <v>3.3508</v>
      </c>
      <c r="BU17" s="87">
        <v>3.4210189999999998</v>
      </c>
      <c r="BV17" s="87">
        <v>3.9921519999999999</v>
      </c>
      <c r="BW17" s="105">
        <v>3.0870000000000002</v>
      </c>
      <c r="BX17" s="105">
        <v>3.133</v>
      </c>
      <c r="BY17" s="105">
        <v>3.2519999999999998</v>
      </c>
      <c r="BZ17" s="105">
        <v>3.33</v>
      </c>
      <c r="CA17" s="105">
        <v>3.4209999999999998</v>
      </c>
      <c r="CB17" s="105">
        <v>3.3540000000000001</v>
      </c>
      <c r="CC17" s="105">
        <v>3.3620000000000001</v>
      </c>
      <c r="CD17" s="105">
        <v>3.673</v>
      </c>
      <c r="CE17" s="105">
        <v>3.5169999999999999</v>
      </c>
      <c r="CF17" s="105">
        <v>3.327</v>
      </c>
      <c r="CG17" s="105">
        <v>3.5609999999999999</v>
      </c>
      <c r="CH17" s="105">
        <v>3.5249999999999999</v>
      </c>
      <c r="CI17" s="105">
        <v>3.722</v>
      </c>
      <c r="CJ17" s="105">
        <v>3.43</v>
      </c>
      <c r="CK17" s="105">
        <v>3.407</v>
      </c>
      <c r="CL17" s="105">
        <v>3.6070000000000002</v>
      </c>
      <c r="CM17" s="105">
        <v>3.218</v>
      </c>
      <c r="CN17" s="105">
        <v>3.4079999999999999</v>
      </c>
      <c r="CO17" s="105">
        <v>3.984</v>
      </c>
      <c r="CP17" s="105">
        <v>3.5840000000000001</v>
      </c>
      <c r="CQ17" s="105">
        <v>3.7010000000000001</v>
      </c>
      <c r="CR17" s="105">
        <v>3.7229999999999999</v>
      </c>
      <c r="CS17" s="105">
        <v>3.7879999999999998</v>
      </c>
      <c r="CT17" s="105">
        <v>3.7280000000000002</v>
      </c>
      <c r="CU17" s="105">
        <v>3.5139999999999998</v>
      </c>
      <c r="CV17" s="105">
        <v>3.3220000000000001</v>
      </c>
      <c r="CW17" s="105">
        <v>3.5419999999999998</v>
      </c>
      <c r="CX17" s="105">
        <v>3.6019999999999999</v>
      </c>
      <c r="CY17" s="105">
        <v>3.7280000000000002</v>
      </c>
      <c r="CZ17" s="105">
        <v>3.911</v>
      </c>
      <c r="DA17" s="105">
        <v>3.8149999999999999</v>
      </c>
      <c r="DB17" s="105">
        <v>2.7589999999999999</v>
      </c>
      <c r="DC17" s="105">
        <v>3.5169999999999999</v>
      </c>
      <c r="DD17" s="105">
        <v>3.4740000000000002</v>
      </c>
      <c r="DE17" s="105">
        <v>3.4249999999999998</v>
      </c>
      <c r="DF17" s="105">
        <v>3.306</v>
      </c>
      <c r="DG17" s="105">
        <v>3.4820000000000002</v>
      </c>
      <c r="DH17" s="115">
        <v>2.878965</v>
      </c>
      <c r="DI17" s="115">
        <v>3.3313229999999998</v>
      </c>
      <c r="DJ17" s="115">
        <v>4.288036</v>
      </c>
      <c r="DK17" s="115">
        <v>3.386047</v>
      </c>
      <c r="DL17" s="115">
        <v>3.4550519999999998</v>
      </c>
      <c r="DM17" s="115">
        <v>4.0193570000000003</v>
      </c>
    </row>
    <row r="18" spans="1:117">
      <c r="A18" s="1">
        <f t="shared" si="3"/>
        <v>16</v>
      </c>
      <c r="B18" s="2"/>
      <c r="C18" s="4">
        <v>16</v>
      </c>
      <c r="D18" s="4">
        <f t="shared" si="1"/>
        <v>1016</v>
      </c>
      <c r="E18" s="4" t="s">
        <v>120</v>
      </c>
      <c r="F18" s="4">
        <v>1</v>
      </c>
      <c r="G18" s="4" t="s">
        <v>11</v>
      </c>
      <c r="H18" s="4" t="s">
        <v>17</v>
      </c>
      <c r="I18" s="4"/>
      <c r="J18" s="5">
        <v>85.5</v>
      </c>
      <c r="K18" s="68"/>
      <c r="L18" s="99">
        <v>4.1040000000000019</v>
      </c>
      <c r="M18" s="7" t="s">
        <v>383</v>
      </c>
      <c r="N18" s="3" t="s">
        <v>205</v>
      </c>
      <c r="O18" s="6">
        <v>4.3220000000000001</v>
      </c>
      <c r="P18" s="6">
        <v>4.2380000000000004</v>
      </c>
      <c r="Q18" s="6">
        <v>4.8559999999999999</v>
      </c>
      <c r="R18" s="54"/>
      <c r="S18" s="6">
        <v>4.4720000000000004</v>
      </c>
      <c r="T18" s="54"/>
      <c r="U18" s="6">
        <v>4.3280000000000003</v>
      </c>
      <c r="V18" s="54"/>
      <c r="W18" s="54"/>
      <c r="X18" s="54"/>
      <c r="Y18" s="6">
        <v>4.3159999999999998</v>
      </c>
      <c r="Z18" s="6">
        <v>4.3250000000000002</v>
      </c>
      <c r="AA18" s="6">
        <v>4.3099999999999996</v>
      </c>
      <c r="AB18" s="6">
        <v>4.0750000000000002</v>
      </c>
      <c r="AC18" s="6">
        <v>4.2290000000000001</v>
      </c>
      <c r="AD18" s="22">
        <v>4.1959999999999997</v>
      </c>
      <c r="AE18" s="22">
        <f t="shared" si="2"/>
        <v>4.2125000000000004</v>
      </c>
      <c r="AF18" s="103">
        <v>3.7250000000000001</v>
      </c>
      <c r="AG18" s="103">
        <v>3.7669999999999999</v>
      </c>
      <c r="AH18" s="103">
        <v>3.8620000000000001</v>
      </c>
      <c r="AI18" s="103">
        <v>4.0060000000000002</v>
      </c>
      <c r="AJ18" s="109"/>
      <c r="AK18" s="103">
        <v>3.9590000000000001</v>
      </c>
      <c r="AL18" s="103">
        <v>3.964</v>
      </c>
      <c r="AM18" s="103">
        <v>4.3289999999999997</v>
      </c>
      <c r="AN18" s="103">
        <v>4.3380000000000001</v>
      </c>
      <c r="AO18" s="103">
        <v>4.2359999999999998</v>
      </c>
      <c r="AP18" s="103">
        <v>4.4779999999999998</v>
      </c>
      <c r="AQ18" s="103">
        <v>4.4690000000000003</v>
      </c>
      <c r="AR18" s="103">
        <v>4.4770000000000003</v>
      </c>
      <c r="AS18" s="103">
        <v>4.1890000000000001</v>
      </c>
      <c r="AT18" s="103">
        <v>4.1859999999999999</v>
      </c>
      <c r="AU18" s="103">
        <v>4.3860000000000001</v>
      </c>
      <c r="AV18" s="103">
        <v>3.9689999999999999</v>
      </c>
      <c r="AW18" s="103">
        <v>4.0860000000000003</v>
      </c>
      <c r="AX18" s="103">
        <v>4.74</v>
      </c>
      <c r="AY18" s="103">
        <v>4.4139999999999997</v>
      </c>
      <c r="AZ18" s="103">
        <v>4.5789999999999997</v>
      </c>
      <c r="BA18" s="103">
        <v>4.63</v>
      </c>
      <c r="BB18" s="103">
        <v>4.7439999999999998</v>
      </c>
      <c r="BC18" s="103">
        <v>4.742</v>
      </c>
      <c r="BD18" s="103">
        <v>4.6859999999999999</v>
      </c>
      <c r="BE18" s="103">
        <v>4.0049999999999999</v>
      </c>
      <c r="BF18" s="103">
        <v>4.2519999999999998</v>
      </c>
      <c r="BG18" s="103">
        <v>4.29</v>
      </c>
      <c r="BH18" s="103">
        <v>4.5049999999999999</v>
      </c>
      <c r="BI18" s="103">
        <v>4.7450000000000001</v>
      </c>
      <c r="BJ18" s="103">
        <v>4.5579999999999998</v>
      </c>
      <c r="BK18" s="103">
        <v>3.633</v>
      </c>
      <c r="BL18" s="103">
        <v>4.125</v>
      </c>
      <c r="BM18" s="103">
        <v>4.0380000000000003</v>
      </c>
      <c r="BN18" s="103">
        <v>4.117</v>
      </c>
      <c r="BO18" s="103">
        <v>3.9409999999999998</v>
      </c>
      <c r="BP18" s="103">
        <v>4.1180000000000003</v>
      </c>
      <c r="BQ18" s="87">
        <v>3.7216640000000001</v>
      </c>
      <c r="BR18" s="87">
        <v>4.0782420000000004</v>
      </c>
      <c r="BS18" s="87">
        <v>4.6300780000000001</v>
      </c>
      <c r="BT18" s="87">
        <v>4.1212059999999999</v>
      </c>
      <c r="BU18" s="87">
        <v>4.1756279999999997</v>
      </c>
      <c r="BV18" s="87">
        <v>4.5107030000000004</v>
      </c>
      <c r="BW18" s="105">
        <v>3.8149999999999999</v>
      </c>
      <c r="BX18" s="105">
        <v>3.859</v>
      </c>
      <c r="BY18" s="105">
        <v>3.9550000000000001</v>
      </c>
      <c r="BZ18" s="105">
        <v>4.101</v>
      </c>
      <c r="CA18" s="105">
        <v>4.2140000000000004</v>
      </c>
      <c r="CB18" s="105">
        <v>4.0549999999999997</v>
      </c>
      <c r="CC18" s="105">
        <v>4.0599999999999996</v>
      </c>
      <c r="CD18" s="105">
        <v>4.4349999999999996</v>
      </c>
      <c r="CE18" s="105">
        <v>4.4480000000000004</v>
      </c>
      <c r="CF18" s="105">
        <v>4.343</v>
      </c>
      <c r="CG18" s="105">
        <v>4.5880000000000001</v>
      </c>
      <c r="CH18" s="105">
        <v>4.5819999999999999</v>
      </c>
      <c r="CI18" s="105">
        <v>4.5880000000000001</v>
      </c>
      <c r="CJ18" s="105">
        <v>4.2889999999999997</v>
      </c>
      <c r="CK18" s="105">
        <v>4.2880000000000003</v>
      </c>
      <c r="CL18" s="105">
        <v>4.4969999999999999</v>
      </c>
      <c r="CM18" s="105">
        <v>4.0650000000000004</v>
      </c>
      <c r="CN18" s="105">
        <v>4.1849999999999996</v>
      </c>
      <c r="CO18" s="105">
        <v>4.899</v>
      </c>
      <c r="CP18" s="105">
        <v>4.5250000000000004</v>
      </c>
      <c r="CQ18" s="105">
        <v>4.7009999999999996</v>
      </c>
      <c r="CR18" s="105">
        <v>4.758</v>
      </c>
      <c r="CS18" s="105">
        <v>4.8890000000000002</v>
      </c>
      <c r="CT18" s="105">
        <v>4.8869999999999996</v>
      </c>
      <c r="CU18" s="105">
        <v>4.8170000000000002</v>
      </c>
      <c r="CV18" s="105">
        <v>4.101</v>
      </c>
      <c r="CW18" s="105">
        <v>4.3559999999999999</v>
      </c>
      <c r="CX18" s="105">
        <v>4.4219999999999997</v>
      </c>
      <c r="CY18" s="105">
        <v>4.6660000000000004</v>
      </c>
      <c r="CZ18" s="105">
        <v>4.91</v>
      </c>
      <c r="DA18" s="105">
        <v>4.734</v>
      </c>
      <c r="DB18" s="105">
        <v>3.806</v>
      </c>
      <c r="DC18" s="105">
        <v>4.3010000000000002</v>
      </c>
      <c r="DD18" s="105">
        <v>4.226</v>
      </c>
      <c r="DE18" s="105">
        <v>4.2169999999999996</v>
      </c>
      <c r="DF18" s="105">
        <v>4.0369999999999999</v>
      </c>
      <c r="DG18" s="105">
        <v>4.22</v>
      </c>
      <c r="DH18" s="115">
        <v>3.8232719999999998</v>
      </c>
      <c r="DI18" s="115">
        <v>4.1808800000000002</v>
      </c>
      <c r="DJ18" s="115">
        <v>4.7397710000000002</v>
      </c>
      <c r="DK18" s="115">
        <v>4.2253020000000001</v>
      </c>
      <c r="DL18" s="115">
        <v>4.2792009999999996</v>
      </c>
      <c r="DM18" s="115">
        <v>4.6190360000000004</v>
      </c>
    </row>
    <row r="19" spans="1:117">
      <c r="A19" s="1">
        <f t="shared" si="3"/>
        <v>17</v>
      </c>
      <c r="B19" s="2"/>
      <c r="C19" s="4">
        <v>16</v>
      </c>
      <c r="D19" s="4">
        <f t="shared" si="1"/>
        <v>1016</v>
      </c>
      <c r="E19" s="4" t="s">
        <v>161</v>
      </c>
      <c r="F19" s="4">
        <v>1</v>
      </c>
      <c r="G19" s="4" t="s">
        <v>11</v>
      </c>
      <c r="H19" s="4" t="s">
        <v>17</v>
      </c>
      <c r="I19" s="4"/>
      <c r="J19" s="5">
        <v>85.3</v>
      </c>
      <c r="K19" s="63">
        <v>5.6000000000000001E-2</v>
      </c>
      <c r="L19" s="99">
        <v>4.2190000000000012</v>
      </c>
      <c r="M19" s="7" t="s">
        <v>383</v>
      </c>
      <c r="N19" s="3" t="s">
        <v>205</v>
      </c>
      <c r="O19" s="6">
        <v>4.3710000000000004</v>
      </c>
      <c r="P19" s="6">
        <v>4.2869999999999999</v>
      </c>
      <c r="Q19" s="6">
        <v>4.8600000000000003</v>
      </c>
      <c r="R19" s="54"/>
      <c r="S19" s="6">
        <v>4.4619999999999997</v>
      </c>
      <c r="T19" s="54"/>
      <c r="U19" s="6">
        <v>4.3360000000000003</v>
      </c>
      <c r="V19" s="54"/>
      <c r="W19" s="54"/>
      <c r="X19" s="54"/>
      <c r="Y19" s="6">
        <v>4.335</v>
      </c>
      <c r="Z19" s="6">
        <v>4.3289999999999997</v>
      </c>
      <c r="AA19" s="6">
        <v>4.3280000000000003</v>
      </c>
      <c r="AB19" s="6">
        <v>4.0999999999999996</v>
      </c>
      <c r="AC19" s="6">
        <v>4.3079999999999998</v>
      </c>
      <c r="AD19" s="22">
        <v>4.1719999999999997</v>
      </c>
      <c r="AE19" s="22">
        <f t="shared" si="2"/>
        <v>4.24</v>
      </c>
      <c r="AF19" s="103">
        <v>3.7370000000000001</v>
      </c>
      <c r="AG19" s="103">
        <v>3.7719999999999998</v>
      </c>
      <c r="AH19" s="103">
        <v>3.867</v>
      </c>
      <c r="AI19" s="103">
        <v>4.0110000000000001</v>
      </c>
      <c r="AJ19" s="103">
        <v>4.117</v>
      </c>
      <c r="AK19" s="103">
        <v>3.9449999999999998</v>
      </c>
      <c r="AL19" s="103">
        <v>3.95</v>
      </c>
      <c r="AM19" s="103">
        <v>4.3330000000000002</v>
      </c>
      <c r="AN19" s="103">
        <v>4.3419999999999996</v>
      </c>
      <c r="AO19" s="103">
        <v>4.2460000000000004</v>
      </c>
      <c r="AP19" s="103">
        <v>4.4809999999999999</v>
      </c>
      <c r="AQ19" s="103">
        <v>4.4720000000000004</v>
      </c>
      <c r="AR19" s="103">
        <v>4.4790000000000001</v>
      </c>
      <c r="AS19" s="103">
        <v>4.2</v>
      </c>
      <c r="AT19" s="103">
        <v>4.1970000000000001</v>
      </c>
      <c r="AU19" s="103">
        <v>4.3710000000000004</v>
      </c>
      <c r="AV19" s="103">
        <v>3.9529999999999998</v>
      </c>
      <c r="AW19" s="103">
        <v>4.0830000000000002</v>
      </c>
      <c r="AX19" s="103">
        <v>4.7030000000000003</v>
      </c>
      <c r="AY19" s="103">
        <v>4.3869999999999996</v>
      </c>
      <c r="AZ19" s="103">
        <v>4.556</v>
      </c>
      <c r="BA19" s="103">
        <v>4.601</v>
      </c>
      <c r="BB19" s="103">
        <v>4.7149999999999999</v>
      </c>
      <c r="BC19" s="103">
        <v>4.71</v>
      </c>
      <c r="BD19" s="103">
        <v>4.6580000000000004</v>
      </c>
      <c r="BE19" s="103">
        <v>4.0419999999999998</v>
      </c>
      <c r="BF19" s="103">
        <v>4.2699999999999996</v>
      </c>
      <c r="BG19" s="103">
        <v>4.3140000000000001</v>
      </c>
      <c r="BH19" s="103">
        <v>4.5010000000000003</v>
      </c>
      <c r="BI19" s="103">
        <v>4.726</v>
      </c>
      <c r="BJ19" s="103">
        <v>4.5570000000000004</v>
      </c>
      <c r="BK19" s="103">
        <v>3.6850000000000001</v>
      </c>
      <c r="BL19" s="103">
        <v>4.1180000000000003</v>
      </c>
      <c r="BM19" s="103">
        <v>4.0309999999999997</v>
      </c>
      <c r="BN19" s="103">
        <v>4.1150000000000002</v>
      </c>
      <c r="BO19" s="103">
        <v>3.9430000000000001</v>
      </c>
      <c r="BP19" s="103">
        <v>4.1180000000000003</v>
      </c>
      <c r="BQ19" s="87">
        <v>3.7432940000000001</v>
      </c>
      <c r="BR19" s="87">
        <v>4.0928399999999998</v>
      </c>
      <c r="BS19" s="87">
        <v>4.6682610000000002</v>
      </c>
      <c r="BT19" s="87">
        <v>4.1189600000000004</v>
      </c>
      <c r="BU19" s="87">
        <v>4.1837559999999998</v>
      </c>
      <c r="BV19" s="87">
        <v>4.5581829999999997</v>
      </c>
      <c r="BW19" s="105">
        <v>3.7869999999999999</v>
      </c>
      <c r="BX19" s="105">
        <v>3.8239999999999998</v>
      </c>
      <c r="BY19" s="105">
        <v>3.92</v>
      </c>
      <c r="BZ19" s="105">
        <v>4.0670000000000002</v>
      </c>
      <c r="CA19" s="105">
        <v>4.1790000000000003</v>
      </c>
      <c r="CB19" s="105">
        <v>4.0049999999999999</v>
      </c>
      <c r="CC19" s="105">
        <v>4.0090000000000003</v>
      </c>
      <c r="CD19" s="105">
        <v>4.4020000000000001</v>
      </c>
      <c r="CE19" s="105">
        <v>4.4139999999999997</v>
      </c>
      <c r="CF19" s="105">
        <v>4.3150000000000004</v>
      </c>
      <c r="CG19" s="105">
        <v>4.5579999999999998</v>
      </c>
      <c r="CH19" s="105">
        <v>4.55</v>
      </c>
      <c r="CI19" s="105">
        <v>4.5549999999999997</v>
      </c>
      <c r="CJ19" s="105">
        <v>4.2610000000000001</v>
      </c>
      <c r="CK19" s="105">
        <v>4.2590000000000003</v>
      </c>
      <c r="CL19" s="105">
        <v>4.4489999999999998</v>
      </c>
      <c r="CM19" s="105">
        <v>4.0110000000000001</v>
      </c>
      <c r="CN19" s="105">
        <v>4.1429999999999998</v>
      </c>
      <c r="CO19" s="105">
        <v>4.8419999999999996</v>
      </c>
      <c r="CP19" s="105">
        <v>4.4649999999999999</v>
      </c>
      <c r="CQ19" s="105">
        <v>4.6500000000000004</v>
      </c>
      <c r="CR19" s="105">
        <v>4.7009999999999996</v>
      </c>
      <c r="CS19" s="105">
        <v>4.8369999999999997</v>
      </c>
      <c r="CT19" s="105">
        <v>4.8319999999999999</v>
      </c>
      <c r="CU19" s="105">
        <v>4.76</v>
      </c>
      <c r="CV19" s="105">
        <v>4.1219999999999999</v>
      </c>
      <c r="CW19" s="105">
        <v>4.3470000000000004</v>
      </c>
      <c r="CX19" s="105">
        <v>4.4340000000000002</v>
      </c>
      <c r="CY19" s="105">
        <v>4.6500000000000004</v>
      </c>
      <c r="CZ19" s="105">
        <v>4.875</v>
      </c>
      <c r="DA19" s="105">
        <v>4.7229999999999999</v>
      </c>
      <c r="DB19" s="105">
        <v>3.8809999999999998</v>
      </c>
      <c r="DC19" s="105">
        <v>4.2969999999999997</v>
      </c>
      <c r="DD19" s="105">
        <v>4.2270000000000003</v>
      </c>
      <c r="DE19" s="105">
        <v>4.1769999999999996</v>
      </c>
      <c r="DF19" s="105">
        <v>3.9990000000000001</v>
      </c>
      <c r="DG19" s="105">
        <v>4.181</v>
      </c>
      <c r="DH19" s="115">
        <v>3.8090630000000001</v>
      </c>
      <c r="DI19" s="115">
        <v>4.1608289999999997</v>
      </c>
      <c r="DJ19" s="115">
        <v>4.745234</v>
      </c>
      <c r="DK19" s="115">
        <v>4.187443</v>
      </c>
      <c r="DL19" s="115">
        <v>4.2529260000000004</v>
      </c>
      <c r="DM19" s="115">
        <v>4.6334540000000004</v>
      </c>
    </row>
    <row r="20" spans="1:117">
      <c r="A20" s="1">
        <f t="shared" si="3"/>
        <v>18</v>
      </c>
      <c r="B20" s="2"/>
      <c r="C20" s="4">
        <v>16</v>
      </c>
      <c r="D20" s="4">
        <f t="shared" si="1"/>
        <v>1016</v>
      </c>
      <c r="E20" s="4" t="s">
        <v>160</v>
      </c>
      <c r="F20" s="4">
        <v>1</v>
      </c>
      <c r="G20" s="4" t="s">
        <v>11</v>
      </c>
      <c r="H20" s="4" t="s">
        <v>17</v>
      </c>
      <c r="I20" s="4"/>
      <c r="J20" s="5">
        <v>88.1</v>
      </c>
      <c r="K20" s="68"/>
      <c r="L20" s="99">
        <v>4.3209999999999997</v>
      </c>
      <c r="M20" s="7" t="s">
        <v>383</v>
      </c>
      <c r="N20" s="3" t="s">
        <v>205</v>
      </c>
      <c r="O20" s="6">
        <v>4.7389999999999999</v>
      </c>
      <c r="P20" s="6">
        <v>4.3479999999999999</v>
      </c>
      <c r="Q20" s="6">
        <v>5.0679999999999996</v>
      </c>
      <c r="R20" s="54"/>
      <c r="S20" s="6">
        <v>4.6269999999999998</v>
      </c>
      <c r="T20" s="54"/>
      <c r="U20" s="6">
        <v>4.4550000000000001</v>
      </c>
      <c r="V20" s="54"/>
      <c r="W20" s="54"/>
      <c r="X20" s="54"/>
      <c r="Y20" s="6">
        <v>4.6289999999999996</v>
      </c>
      <c r="Z20" s="6">
        <v>4.6079999999999997</v>
      </c>
      <c r="AA20" s="6">
        <v>4.5259999999999998</v>
      </c>
      <c r="AB20" s="6">
        <v>4.407</v>
      </c>
      <c r="AC20" s="6">
        <v>4.4000000000000004</v>
      </c>
      <c r="AD20" s="22">
        <v>4.2089999999999996</v>
      </c>
      <c r="AE20" s="22">
        <f t="shared" si="2"/>
        <v>4.3045</v>
      </c>
      <c r="AF20" s="103">
        <v>3.6019999999999999</v>
      </c>
      <c r="AG20" s="103">
        <v>3.6190000000000002</v>
      </c>
      <c r="AH20" s="103">
        <v>3.7040000000000002</v>
      </c>
      <c r="AI20" s="103">
        <v>3.8380000000000001</v>
      </c>
      <c r="AJ20" s="103">
        <v>3.9039999999999999</v>
      </c>
      <c r="AK20" s="103">
        <v>3.7679999999999998</v>
      </c>
      <c r="AL20" s="103">
        <v>3.7839999999999998</v>
      </c>
      <c r="AM20" s="103">
        <v>4.1310000000000002</v>
      </c>
      <c r="AN20" s="103">
        <v>4.1449999999999996</v>
      </c>
      <c r="AO20" s="103">
        <v>4.0410000000000004</v>
      </c>
      <c r="AP20" s="103">
        <v>4.2949999999999999</v>
      </c>
      <c r="AQ20" s="103">
        <v>4.2809999999999997</v>
      </c>
      <c r="AR20" s="103">
        <v>4.3070000000000004</v>
      </c>
      <c r="AS20" s="103">
        <v>4.0039999999999996</v>
      </c>
      <c r="AT20" s="103">
        <v>3.996</v>
      </c>
      <c r="AU20" s="103">
        <v>4.1710000000000003</v>
      </c>
      <c r="AV20" s="103">
        <v>3.7789999999999999</v>
      </c>
      <c r="AW20" s="103">
        <v>3.8969999999999998</v>
      </c>
      <c r="AX20" s="103">
        <v>4.5289999999999999</v>
      </c>
      <c r="AY20" s="103">
        <v>4.1970000000000001</v>
      </c>
      <c r="AZ20" s="103">
        <v>4.37</v>
      </c>
      <c r="BA20" s="103">
        <v>4.423</v>
      </c>
      <c r="BB20" s="103">
        <v>4.5549999999999997</v>
      </c>
      <c r="BC20" s="103">
        <v>4.5629999999999997</v>
      </c>
      <c r="BD20" s="103">
        <v>4.4589999999999996</v>
      </c>
      <c r="BE20" s="103">
        <v>4.0339999999999998</v>
      </c>
      <c r="BF20" s="103">
        <v>4.1509999999999998</v>
      </c>
      <c r="BG20" s="103">
        <v>4.343</v>
      </c>
      <c r="BH20" s="103">
        <v>4.4989999999999997</v>
      </c>
      <c r="BI20" s="103">
        <v>4.6239999999999997</v>
      </c>
      <c r="BJ20" s="103">
        <v>4.5919999999999996</v>
      </c>
      <c r="BK20" s="103">
        <v>4.2889999999999997</v>
      </c>
      <c r="BL20" s="103">
        <v>4.3250000000000002</v>
      </c>
      <c r="BM20" s="103">
        <v>4.2880000000000003</v>
      </c>
      <c r="BN20" s="103">
        <v>3.9319999999999999</v>
      </c>
      <c r="BO20" s="103">
        <v>3.778</v>
      </c>
      <c r="BP20" s="103">
        <v>3.9430000000000001</v>
      </c>
      <c r="BQ20" s="87">
        <v>3.631224</v>
      </c>
      <c r="BR20" s="87">
        <v>3.9913340000000002</v>
      </c>
      <c r="BS20" s="87">
        <v>4.5861689999999999</v>
      </c>
      <c r="BT20" s="87">
        <v>3.9731559999999999</v>
      </c>
      <c r="BU20" s="87">
        <v>4.0755650000000001</v>
      </c>
      <c r="BV20" s="87">
        <v>4.4804000000000004</v>
      </c>
      <c r="BW20" s="105">
        <v>3.661</v>
      </c>
      <c r="BX20" s="105">
        <v>3.681</v>
      </c>
      <c r="BY20" s="105">
        <v>3.7679999999999998</v>
      </c>
      <c r="BZ20" s="105">
        <v>3.9060000000000001</v>
      </c>
      <c r="CA20" s="105">
        <v>3.9780000000000002</v>
      </c>
      <c r="CB20" s="105">
        <v>3.8410000000000002</v>
      </c>
      <c r="CC20" s="105">
        <v>3.8570000000000002</v>
      </c>
      <c r="CD20" s="105">
        <v>4.2110000000000003</v>
      </c>
      <c r="CE20" s="105">
        <v>4.2300000000000004</v>
      </c>
      <c r="CF20" s="105">
        <v>4.1239999999999997</v>
      </c>
      <c r="CG20" s="105">
        <v>4.3899999999999997</v>
      </c>
      <c r="CH20" s="105">
        <v>4.3739999999999997</v>
      </c>
      <c r="CI20" s="105">
        <v>4.4009999999999998</v>
      </c>
      <c r="CJ20" s="105">
        <v>4.0759999999999996</v>
      </c>
      <c r="CK20" s="105">
        <v>4.07</v>
      </c>
      <c r="CL20" s="105">
        <v>4.2610000000000001</v>
      </c>
      <c r="CM20" s="105">
        <v>3.8530000000000002</v>
      </c>
      <c r="CN20" s="105">
        <v>3.9710000000000001</v>
      </c>
      <c r="CO20" s="105">
        <v>4.6749999999999998</v>
      </c>
      <c r="CP20" s="105">
        <v>4.29</v>
      </c>
      <c r="CQ20" s="105">
        <v>4.4779999999999998</v>
      </c>
      <c r="CR20" s="105">
        <v>4.5330000000000004</v>
      </c>
      <c r="CS20" s="105">
        <v>4.6779999999999999</v>
      </c>
      <c r="CT20" s="105">
        <v>4.6870000000000003</v>
      </c>
      <c r="CU20" s="105">
        <v>4.5780000000000003</v>
      </c>
      <c r="CV20" s="105">
        <v>4.09</v>
      </c>
      <c r="CW20" s="105">
        <v>4.2240000000000002</v>
      </c>
      <c r="CX20" s="105">
        <v>4.4130000000000003</v>
      </c>
      <c r="CY20" s="105">
        <v>4.5979999999999999</v>
      </c>
      <c r="CZ20" s="105">
        <v>4.7450000000000001</v>
      </c>
      <c r="DA20" s="105">
        <v>4.6920000000000002</v>
      </c>
      <c r="DB20" s="105">
        <v>4.2759999999999998</v>
      </c>
      <c r="DC20" s="105">
        <v>4.4109999999999996</v>
      </c>
      <c r="DD20" s="105">
        <v>4.3730000000000002</v>
      </c>
      <c r="DE20" s="105">
        <v>4.0039999999999996</v>
      </c>
      <c r="DF20" s="105">
        <v>3.8450000000000002</v>
      </c>
      <c r="DG20" s="105">
        <v>4.0170000000000003</v>
      </c>
      <c r="DH20" s="115">
        <v>3.7311809999999999</v>
      </c>
      <c r="DI20" s="115">
        <v>4.0962329999999998</v>
      </c>
      <c r="DJ20" s="115">
        <v>4.6980019999999998</v>
      </c>
      <c r="DK20" s="115">
        <v>4.071637</v>
      </c>
      <c r="DL20" s="115">
        <v>4.1800069999999998</v>
      </c>
      <c r="DM20" s="115">
        <v>4.5925710000000004</v>
      </c>
    </row>
    <row r="21" spans="1:117">
      <c r="A21" s="1">
        <f t="shared" si="3"/>
        <v>19</v>
      </c>
      <c r="B21" s="2"/>
      <c r="C21" s="4">
        <v>16</v>
      </c>
      <c r="D21" s="4">
        <f t="shared" si="1"/>
        <v>1016</v>
      </c>
      <c r="E21" s="4" t="s">
        <v>162</v>
      </c>
      <c r="F21" s="4">
        <v>1</v>
      </c>
      <c r="G21" s="4" t="s">
        <v>11</v>
      </c>
      <c r="H21" s="4" t="s">
        <v>17</v>
      </c>
      <c r="I21" s="4"/>
      <c r="J21" s="5">
        <v>87.7</v>
      </c>
      <c r="K21" s="63">
        <v>0.19600000000000001</v>
      </c>
      <c r="L21" s="99">
        <v>5.1009999999999991</v>
      </c>
      <c r="M21" s="7" t="s">
        <v>383</v>
      </c>
      <c r="N21" s="3" t="s">
        <v>205</v>
      </c>
      <c r="O21" s="6">
        <v>5.4820000000000002</v>
      </c>
      <c r="P21" s="6">
        <v>5.4260000000000002</v>
      </c>
      <c r="Q21" s="6">
        <v>5.6449999999999996</v>
      </c>
      <c r="R21" s="54"/>
      <c r="S21" s="6">
        <v>5.3440000000000003</v>
      </c>
      <c r="T21" s="54"/>
      <c r="U21" s="6">
        <v>5.1959999999999997</v>
      </c>
      <c r="V21" s="54"/>
      <c r="W21" s="54"/>
      <c r="X21" s="54"/>
      <c r="Y21" s="6">
        <v>5.1879999999999997</v>
      </c>
      <c r="Z21" s="6">
        <v>5.2690000000000001</v>
      </c>
      <c r="AA21" s="6">
        <v>5.2160000000000002</v>
      </c>
      <c r="AB21" s="6">
        <v>4.9640000000000004</v>
      </c>
      <c r="AC21" s="6">
        <v>4.9939999999999998</v>
      </c>
      <c r="AD21" s="22">
        <v>5.0289999999999999</v>
      </c>
      <c r="AE21" s="22">
        <f t="shared" si="2"/>
        <v>5.0114999999999998</v>
      </c>
      <c r="AF21" s="103">
        <v>4.3840000000000003</v>
      </c>
      <c r="AG21" s="103">
        <v>4.4290000000000003</v>
      </c>
      <c r="AH21" s="103">
        <v>4.5259999999999998</v>
      </c>
      <c r="AI21" s="103">
        <v>4.665</v>
      </c>
      <c r="AJ21" s="103">
        <v>4.758</v>
      </c>
      <c r="AK21" s="103">
        <v>4.6050000000000004</v>
      </c>
      <c r="AL21" s="103">
        <v>4.6180000000000003</v>
      </c>
      <c r="AM21" s="103">
        <v>4.9539999999999997</v>
      </c>
      <c r="AN21" s="103">
        <v>4.976</v>
      </c>
      <c r="AO21" s="103">
        <v>4.8739999999999997</v>
      </c>
      <c r="AP21" s="103">
        <v>5.0750000000000002</v>
      </c>
      <c r="AQ21" s="103">
        <v>5.0730000000000004</v>
      </c>
      <c r="AR21" s="103">
        <v>5.0960000000000001</v>
      </c>
      <c r="AS21" s="103">
        <v>4.8319999999999999</v>
      </c>
      <c r="AT21" s="103">
        <v>4.8259999999999996</v>
      </c>
      <c r="AU21" s="103">
        <v>5.0140000000000002</v>
      </c>
      <c r="AV21" s="103">
        <v>4.6719999999999997</v>
      </c>
      <c r="AW21" s="103">
        <v>4.7450000000000001</v>
      </c>
      <c r="AX21" s="103">
        <v>5.202</v>
      </c>
      <c r="AY21" s="103">
        <v>5.05</v>
      </c>
      <c r="AZ21" s="103">
        <v>5.15</v>
      </c>
      <c r="BA21" s="103">
        <v>5.2140000000000004</v>
      </c>
      <c r="BB21" s="103">
        <v>5.2930000000000001</v>
      </c>
      <c r="BC21" s="103">
        <v>5.3120000000000003</v>
      </c>
      <c r="BD21" s="103">
        <v>5.2370000000000001</v>
      </c>
      <c r="BE21" s="103">
        <v>4.8150000000000004</v>
      </c>
      <c r="BF21" s="103">
        <v>4.9409999999999998</v>
      </c>
      <c r="BG21" s="103">
        <v>5.0919999999999996</v>
      </c>
      <c r="BH21" s="103">
        <v>5.2190000000000003</v>
      </c>
      <c r="BI21" s="103">
        <v>5.3220000000000001</v>
      </c>
      <c r="BJ21" s="103">
        <v>5.2830000000000004</v>
      </c>
      <c r="BK21" s="103">
        <v>5.085</v>
      </c>
      <c r="BL21" s="103">
        <v>5.0330000000000004</v>
      </c>
      <c r="BM21" s="103">
        <v>4.9909999999999997</v>
      </c>
      <c r="BN21" s="103">
        <v>4.7779999999999996</v>
      </c>
      <c r="BO21" s="103">
        <v>4.6100000000000003</v>
      </c>
      <c r="BP21" s="103">
        <v>4.774</v>
      </c>
      <c r="BQ21" s="87">
        <v>4.4055980000000003</v>
      </c>
      <c r="BR21" s="87">
        <v>4.7670409999999999</v>
      </c>
      <c r="BS21" s="87">
        <v>5.2599720000000003</v>
      </c>
      <c r="BT21" s="87">
        <v>4.816268</v>
      </c>
      <c r="BU21" s="87">
        <v>4.8638649999999997</v>
      </c>
      <c r="BV21" s="87">
        <v>5.1368669999999996</v>
      </c>
      <c r="BW21" s="105">
        <v>4.556</v>
      </c>
      <c r="BX21" s="105">
        <v>4.6040000000000001</v>
      </c>
      <c r="BY21" s="105">
        <v>4.7060000000000004</v>
      </c>
      <c r="BZ21" s="105">
        <v>4.8540000000000001</v>
      </c>
      <c r="CA21" s="105">
        <v>4.9589999999999996</v>
      </c>
      <c r="CB21" s="105">
        <v>4.7880000000000003</v>
      </c>
      <c r="CC21" s="105">
        <v>4.8010000000000002</v>
      </c>
      <c r="CD21" s="105">
        <v>5.16</v>
      </c>
      <c r="CE21" s="105">
        <v>5.1929999999999996</v>
      </c>
      <c r="CF21" s="105">
        <v>5.0919999999999996</v>
      </c>
      <c r="CG21" s="105">
        <v>5.2960000000000003</v>
      </c>
      <c r="CH21" s="105">
        <v>5.2919999999999998</v>
      </c>
      <c r="CI21" s="105">
        <v>5.3120000000000003</v>
      </c>
      <c r="CJ21" s="105">
        <v>5.03</v>
      </c>
      <c r="CK21" s="105">
        <v>5.0259999999999998</v>
      </c>
      <c r="CL21" s="105">
        <v>5.2350000000000003</v>
      </c>
      <c r="CM21" s="105">
        <v>4.8780000000000001</v>
      </c>
      <c r="CN21" s="105">
        <v>4.9450000000000003</v>
      </c>
      <c r="CO21" s="105">
        <v>5.4550000000000001</v>
      </c>
      <c r="CP21" s="105">
        <v>5.282</v>
      </c>
      <c r="CQ21" s="105">
        <v>5.3819999999999997</v>
      </c>
      <c r="CR21" s="105">
        <v>5.452</v>
      </c>
      <c r="CS21" s="105">
        <v>5.5350000000000001</v>
      </c>
      <c r="CT21" s="105">
        <v>5.5609999999999999</v>
      </c>
      <c r="CU21" s="105">
        <v>5.4909999999999997</v>
      </c>
      <c r="CV21" s="105">
        <v>4.9610000000000003</v>
      </c>
      <c r="CW21" s="105">
        <v>5.1219999999999999</v>
      </c>
      <c r="CX21" s="105">
        <v>5.26</v>
      </c>
      <c r="CY21" s="105">
        <v>5.4169999999999998</v>
      </c>
      <c r="CZ21" s="105">
        <v>5.5490000000000004</v>
      </c>
      <c r="DA21" s="105">
        <v>5.4820000000000002</v>
      </c>
      <c r="DB21" s="105">
        <v>5.165</v>
      </c>
      <c r="DC21" s="105">
        <v>5.2140000000000004</v>
      </c>
      <c r="DD21" s="105">
        <v>5.17</v>
      </c>
      <c r="DE21" s="105">
        <v>4.9740000000000002</v>
      </c>
      <c r="DF21" s="105">
        <v>4.7960000000000003</v>
      </c>
      <c r="DG21" s="105">
        <v>4.9710000000000001</v>
      </c>
      <c r="DH21" s="115">
        <v>4.6585419999999997</v>
      </c>
      <c r="DI21" s="115">
        <v>5.0144450000000003</v>
      </c>
      <c r="DJ21" s="115">
        <v>5.4565460000000003</v>
      </c>
      <c r="DK21" s="115">
        <v>5.069121</v>
      </c>
      <c r="DL21" s="115">
        <v>5.110671</v>
      </c>
      <c r="DM21" s="115">
        <v>5.3357599999999996</v>
      </c>
    </row>
    <row r="22" spans="1:117">
      <c r="A22" s="1">
        <f t="shared" si="3"/>
        <v>20</v>
      </c>
      <c r="B22" s="2"/>
      <c r="C22" s="4">
        <v>16</v>
      </c>
      <c r="D22" s="4">
        <f t="shared" si="1"/>
        <v>1016</v>
      </c>
      <c r="E22" s="4" t="s">
        <v>161</v>
      </c>
      <c r="F22" s="4">
        <v>1</v>
      </c>
      <c r="G22" s="4" t="s">
        <v>11</v>
      </c>
      <c r="H22" s="4" t="s">
        <v>17</v>
      </c>
      <c r="I22" s="4"/>
      <c r="J22" s="5">
        <v>87</v>
      </c>
      <c r="K22" s="63">
        <v>0.85299999999999998</v>
      </c>
      <c r="L22" s="99">
        <v>5.4060000000000006</v>
      </c>
      <c r="M22" s="7" t="s">
        <v>383</v>
      </c>
      <c r="N22" s="3" t="s">
        <v>205</v>
      </c>
      <c r="O22" s="6">
        <v>5.5229999999999997</v>
      </c>
      <c r="P22" s="6">
        <v>5.0780000000000003</v>
      </c>
      <c r="Q22" s="6">
        <v>6.109</v>
      </c>
      <c r="R22" s="54"/>
      <c r="S22" s="6">
        <v>5.734</v>
      </c>
      <c r="T22" s="54"/>
      <c r="U22" s="6">
        <v>5.51</v>
      </c>
      <c r="V22" s="54"/>
      <c r="W22" s="54"/>
      <c r="X22" s="54"/>
      <c r="Y22" s="6">
        <v>5.6909999999999998</v>
      </c>
      <c r="Z22" s="6">
        <v>5.6710000000000003</v>
      </c>
      <c r="AA22" s="6">
        <v>5.585</v>
      </c>
      <c r="AB22" s="6">
        <v>5.4660000000000002</v>
      </c>
      <c r="AC22" s="6">
        <v>5.452</v>
      </c>
      <c r="AD22" s="22">
        <v>5.3849999999999998</v>
      </c>
      <c r="AE22" s="22">
        <f t="shared" si="2"/>
        <v>5.4184999999999999</v>
      </c>
      <c r="AF22" s="103">
        <v>4.92</v>
      </c>
      <c r="AG22" s="103">
        <v>4.9429999999999996</v>
      </c>
      <c r="AH22" s="103">
        <v>5.0250000000000004</v>
      </c>
      <c r="AI22" s="103">
        <v>5.1639999999999997</v>
      </c>
      <c r="AJ22" s="103">
        <v>5.2960000000000003</v>
      </c>
      <c r="AK22" s="103">
        <v>5.0590000000000002</v>
      </c>
      <c r="AL22" s="103">
        <v>5.0789999999999997</v>
      </c>
      <c r="AM22" s="103">
        <v>5.468</v>
      </c>
      <c r="AN22" s="103">
        <v>5.47</v>
      </c>
      <c r="AO22" s="103">
        <v>5.3129999999999997</v>
      </c>
      <c r="AP22" s="103">
        <v>5.5220000000000002</v>
      </c>
      <c r="AQ22" s="103">
        <v>5.5279999999999996</v>
      </c>
      <c r="AR22" s="103">
        <v>5.56</v>
      </c>
      <c r="AS22" s="103">
        <v>5.3559999999999999</v>
      </c>
      <c r="AT22" s="103">
        <v>5.3470000000000004</v>
      </c>
      <c r="AU22" s="103">
        <v>5.4989999999999997</v>
      </c>
      <c r="AV22" s="103">
        <v>5.1340000000000003</v>
      </c>
      <c r="AW22" s="103">
        <v>5.2270000000000003</v>
      </c>
      <c r="AX22" s="103">
        <v>5.8949999999999996</v>
      </c>
      <c r="AY22" s="103">
        <v>5.5510000000000002</v>
      </c>
      <c r="AZ22" s="103">
        <v>5.6509999999999998</v>
      </c>
      <c r="BA22" s="103">
        <v>5.74</v>
      </c>
      <c r="BB22" s="103">
        <v>5.8520000000000003</v>
      </c>
      <c r="BC22" s="103">
        <v>5.8550000000000004</v>
      </c>
      <c r="BD22" s="103">
        <v>5.7480000000000002</v>
      </c>
      <c r="BE22" s="103">
        <v>5.1689999999999996</v>
      </c>
      <c r="BF22" s="103">
        <v>5.4039999999999999</v>
      </c>
      <c r="BG22" s="103">
        <v>5.4820000000000002</v>
      </c>
      <c r="BH22" s="103">
        <v>5.6920000000000002</v>
      </c>
      <c r="BI22" s="103">
        <v>5.9180000000000001</v>
      </c>
      <c r="BJ22" s="103">
        <v>5.78</v>
      </c>
      <c r="BK22" s="103">
        <v>4.9429999999999996</v>
      </c>
      <c r="BL22" s="103">
        <v>5.431</v>
      </c>
      <c r="BM22" s="103">
        <v>5.3789999999999996</v>
      </c>
      <c r="BN22" s="103">
        <v>5.2949999999999999</v>
      </c>
      <c r="BO22" s="103">
        <v>5.1219999999999999</v>
      </c>
      <c r="BP22" s="103">
        <v>5.2809999999999997</v>
      </c>
      <c r="BQ22" s="87">
        <v>4.8443990000000001</v>
      </c>
      <c r="BR22" s="87">
        <v>5.1949589999999999</v>
      </c>
      <c r="BS22" s="87">
        <v>5.9355330000000004</v>
      </c>
      <c r="BT22" s="87">
        <v>5.2329290000000004</v>
      </c>
      <c r="BU22" s="87">
        <v>5.2874160000000003</v>
      </c>
      <c r="BV22" s="87">
        <v>5.8253750000000002</v>
      </c>
      <c r="BW22" s="105">
        <v>5.0010000000000003</v>
      </c>
      <c r="BX22" s="105">
        <v>5.0289999999999999</v>
      </c>
      <c r="BY22" s="105">
        <v>5.1130000000000004</v>
      </c>
      <c r="BZ22" s="105">
        <v>5.2590000000000003</v>
      </c>
      <c r="CA22" s="105">
        <v>5.4</v>
      </c>
      <c r="CB22" s="105">
        <v>5.1589999999999998</v>
      </c>
      <c r="CC22" s="105">
        <v>5.1769999999999996</v>
      </c>
      <c r="CD22" s="105">
        <v>5.5869999999999997</v>
      </c>
      <c r="CE22" s="105">
        <v>5.5960000000000001</v>
      </c>
      <c r="CF22" s="105">
        <v>5.4409999999999998</v>
      </c>
      <c r="CG22" s="105">
        <v>5.6639999999999997</v>
      </c>
      <c r="CH22" s="105">
        <v>5.6719999999999997</v>
      </c>
      <c r="CI22" s="105">
        <v>5.6959999999999997</v>
      </c>
      <c r="CJ22" s="105">
        <v>5.4589999999999996</v>
      </c>
      <c r="CK22" s="105">
        <v>5.4530000000000003</v>
      </c>
      <c r="CL22" s="105">
        <v>5.6349999999999998</v>
      </c>
      <c r="CM22" s="105">
        <v>5.2359999999999998</v>
      </c>
      <c r="CN22" s="105">
        <v>5.3310000000000004</v>
      </c>
      <c r="CO22" s="105">
        <v>6.1070000000000002</v>
      </c>
      <c r="CP22" s="105">
        <v>5.6920000000000002</v>
      </c>
      <c r="CQ22" s="105">
        <v>5.8239999999999998</v>
      </c>
      <c r="CR22" s="105">
        <v>5.9169999999999998</v>
      </c>
      <c r="CS22" s="105">
        <v>6.0529999999999999</v>
      </c>
      <c r="CT22" s="105">
        <v>6.056</v>
      </c>
      <c r="CU22" s="105">
        <v>5.9340000000000002</v>
      </c>
      <c r="CV22" s="105">
        <v>5.2489999999999997</v>
      </c>
      <c r="CW22" s="105">
        <v>5.5119999999999996</v>
      </c>
      <c r="CX22" s="105">
        <v>5.5910000000000002</v>
      </c>
      <c r="CY22" s="105">
        <v>5.8470000000000004</v>
      </c>
      <c r="CZ22" s="105">
        <v>6.1070000000000002</v>
      </c>
      <c r="DA22" s="105">
        <v>5.9359999999999999</v>
      </c>
      <c r="DB22" s="105">
        <v>4.96</v>
      </c>
      <c r="DC22" s="105">
        <v>5.5720000000000001</v>
      </c>
      <c r="DD22" s="105">
        <v>5.5149999999999997</v>
      </c>
      <c r="DE22" s="105">
        <v>5.399</v>
      </c>
      <c r="DF22" s="105">
        <v>5.2160000000000002</v>
      </c>
      <c r="DG22" s="105">
        <v>5.3860000000000001</v>
      </c>
      <c r="DH22" s="115">
        <v>4.9896520000000004</v>
      </c>
      <c r="DI22" s="115">
        <v>5.3487280000000004</v>
      </c>
      <c r="DJ22" s="115">
        <v>6.1004230000000002</v>
      </c>
      <c r="DK22" s="115">
        <v>5.387893</v>
      </c>
      <c r="DL22" s="115">
        <v>5.4435450000000003</v>
      </c>
      <c r="DM22" s="115">
        <v>5.9878280000000004</v>
      </c>
    </row>
    <row r="23" spans="1:117">
      <c r="A23" s="1">
        <f t="shared" si="3"/>
        <v>21</v>
      </c>
      <c r="B23" s="2"/>
      <c r="C23" s="4">
        <v>16</v>
      </c>
      <c r="D23" s="4">
        <f t="shared" si="1"/>
        <v>1016</v>
      </c>
      <c r="E23" s="4" t="s">
        <v>241</v>
      </c>
      <c r="F23" s="4">
        <v>3</v>
      </c>
      <c r="G23" s="4" t="s">
        <v>11</v>
      </c>
      <c r="H23" s="4" t="s">
        <v>12</v>
      </c>
      <c r="I23" s="4"/>
      <c r="J23" s="5">
        <v>96.3</v>
      </c>
      <c r="K23" s="68"/>
      <c r="L23" s="99">
        <v>3.0100000000000002</v>
      </c>
      <c r="M23" s="7" t="s">
        <v>260</v>
      </c>
      <c r="N23" s="3" t="s">
        <v>205</v>
      </c>
      <c r="O23" s="6">
        <v>3.06</v>
      </c>
      <c r="P23" s="6">
        <v>2.8969999999999998</v>
      </c>
      <c r="Q23" s="6">
        <v>3.3690000000000002</v>
      </c>
      <c r="R23" s="54"/>
      <c r="S23" s="6">
        <v>3.165</v>
      </c>
      <c r="T23" s="54"/>
      <c r="U23" s="54"/>
      <c r="V23" s="54"/>
      <c r="W23" s="54"/>
      <c r="X23" s="54"/>
      <c r="Y23" s="6">
        <v>3.24</v>
      </c>
      <c r="Z23" s="6">
        <v>3.3639999999999999</v>
      </c>
      <c r="AA23" s="6">
        <v>3.2149999999999999</v>
      </c>
      <c r="AB23" s="6">
        <v>3.0049999999999999</v>
      </c>
      <c r="AC23" s="6">
        <v>2.7669999999999999</v>
      </c>
      <c r="AD23" s="22">
        <v>3.1349999999999998</v>
      </c>
      <c r="AE23" s="22">
        <f>AVERAGE(AC23:AD23)</f>
        <v>2.9509999999999996</v>
      </c>
      <c r="AF23" s="103">
        <v>2.3199999999999998</v>
      </c>
      <c r="AG23" s="103">
        <v>2.419</v>
      </c>
      <c r="AH23" s="103">
        <v>2.5089999999999999</v>
      </c>
      <c r="AI23" s="103">
        <v>2.5179999999999998</v>
      </c>
      <c r="AJ23" s="109"/>
      <c r="AK23" s="103">
        <v>2.746</v>
      </c>
      <c r="AL23" s="103">
        <v>2.7549999999999999</v>
      </c>
      <c r="AM23" s="103">
        <v>2.891</v>
      </c>
      <c r="AN23" s="103">
        <v>2.7469999999999999</v>
      </c>
      <c r="AO23" s="103">
        <v>2.766</v>
      </c>
      <c r="AP23" s="103">
        <v>2.8980000000000001</v>
      </c>
      <c r="AQ23" s="103">
        <v>2.8239999999999998</v>
      </c>
      <c r="AR23" s="103">
        <v>3.0179999999999998</v>
      </c>
      <c r="AS23" s="103">
        <v>2.7029999999999998</v>
      </c>
      <c r="AT23" s="103">
        <v>2.6840000000000002</v>
      </c>
      <c r="AU23" s="103">
        <v>2.8210000000000002</v>
      </c>
      <c r="AV23" s="103">
        <v>2.4830000000000001</v>
      </c>
      <c r="AW23" s="103">
        <v>2.6429999999999998</v>
      </c>
      <c r="AX23" s="103">
        <v>3.1419999999999999</v>
      </c>
      <c r="AY23" s="103">
        <v>2.8290000000000002</v>
      </c>
      <c r="AZ23" s="103">
        <v>3.0449999999999999</v>
      </c>
      <c r="BA23" s="103">
        <v>2.9620000000000002</v>
      </c>
      <c r="BB23" s="103">
        <v>3.0310000000000001</v>
      </c>
      <c r="BC23" s="103">
        <v>2.883</v>
      </c>
      <c r="BD23" s="103">
        <v>2.794</v>
      </c>
      <c r="BE23" s="109"/>
      <c r="BF23" s="109"/>
      <c r="BG23" s="109"/>
      <c r="BH23" s="109"/>
      <c r="BI23" s="109"/>
      <c r="BJ23" s="109"/>
      <c r="BK23" s="109"/>
      <c r="BL23" s="109"/>
      <c r="BM23" s="109"/>
      <c r="BN23" s="103">
        <v>2.73</v>
      </c>
      <c r="BO23" s="103">
        <v>2.528</v>
      </c>
      <c r="BP23" s="103">
        <v>2.7829999999999999</v>
      </c>
      <c r="BQ23" s="87">
        <v>2.1279629999999998</v>
      </c>
      <c r="BR23" s="87">
        <v>2.556578</v>
      </c>
      <c r="BS23" s="87">
        <v>3.6297410000000001</v>
      </c>
      <c r="BT23" s="87">
        <v>2.5759180000000002</v>
      </c>
      <c r="BU23" s="87">
        <v>2.6658529999999998</v>
      </c>
      <c r="BV23" s="87">
        <v>3.395321</v>
      </c>
      <c r="BW23" s="105">
        <v>2.3780000000000001</v>
      </c>
      <c r="BX23" s="105">
        <v>2.456</v>
      </c>
      <c r="BY23" s="105">
        <v>2.5569999999999999</v>
      </c>
      <c r="BZ23" s="105">
        <v>2.577</v>
      </c>
      <c r="CA23" s="105">
        <v>2.621</v>
      </c>
      <c r="CB23" s="105">
        <v>2.7650000000000001</v>
      </c>
      <c r="CC23" s="105">
        <v>2.7749999999999999</v>
      </c>
      <c r="CD23" s="105">
        <v>2.96</v>
      </c>
      <c r="CE23" s="105">
        <v>2.798</v>
      </c>
      <c r="CF23" s="105">
        <v>2.8029999999999999</v>
      </c>
      <c r="CG23" s="105">
        <v>2.96</v>
      </c>
      <c r="CH23" s="105">
        <v>2.883</v>
      </c>
      <c r="CI23" s="105">
        <v>3.073</v>
      </c>
      <c r="CJ23" s="105">
        <v>2.7370000000000001</v>
      </c>
      <c r="CK23" s="105">
        <v>2.718</v>
      </c>
      <c r="CL23" s="105">
        <v>2.8820000000000001</v>
      </c>
      <c r="CM23" s="105">
        <v>2.52</v>
      </c>
      <c r="CN23" s="105">
        <v>2.6970000000000001</v>
      </c>
      <c r="CO23" s="105">
        <v>3.258</v>
      </c>
      <c r="CP23" s="105">
        <v>2.879</v>
      </c>
      <c r="CQ23" s="105">
        <v>3.085</v>
      </c>
      <c r="CR23" s="105">
        <v>3.0169999999999999</v>
      </c>
      <c r="CS23" s="105">
        <v>3.0859999999999999</v>
      </c>
      <c r="CT23" s="105">
        <v>2.952</v>
      </c>
      <c r="CU23" s="105">
        <v>2.8410000000000002</v>
      </c>
      <c r="CV23" s="105">
        <v>2.7280000000000002</v>
      </c>
      <c r="CW23" s="105">
        <v>2.8330000000000002</v>
      </c>
      <c r="CX23" s="105">
        <v>2.9630000000000001</v>
      </c>
      <c r="CY23" s="105">
        <v>3.0830000000000002</v>
      </c>
      <c r="CZ23" s="105">
        <v>3.1659999999999999</v>
      </c>
      <c r="DA23" s="105">
        <v>3.1480000000000001</v>
      </c>
      <c r="DB23" s="105">
        <v>2.4279999999999999</v>
      </c>
      <c r="DC23" s="105">
        <v>2.9710000000000001</v>
      </c>
      <c r="DD23" s="105">
        <v>2.95</v>
      </c>
      <c r="DE23" s="105">
        <v>2.76</v>
      </c>
      <c r="DF23" s="105">
        <v>2.5760000000000001</v>
      </c>
      <c r="DG23" s="105">
        <v>2.8220000000000001</v>
      </c>
      <c r="DH23" s="115">
        <v>2.1695679999999999</v>
      </c>
      <c r="DI23" s="115">
        <v>2.6014629999999999</v>
      </c>
      <c r="DJ23" s="115">
        <v>3.669349</v>
      </c>
      <c r="DK23" s="115">
        <v>2.626233</v>
      </c>
      <c r="DL23" s="115">
        <v>2.713476</v>
      </c>
      <c r="DM23" s="115">
        <v>3.430005</v>
      </c>
    </row>
    <row r="24" spans="1:117">
      <c r="A24" s="1">
        <f t="shared" si="3"/>
        <v>22</v>
      </c>
      <c r="B24" s="2"/>
      <c r="C24" s="4">
        <v>16</v>
      </c>
      <c r="D24" s="4">
        <f t="shared" si="1"/>
        <v>1016</v>
      </c>
      <c r="E24" s="4" t="s">
        <v>149</v>
      </c>
      <c r="F24" s="4">
        <v>3</v>
      </c>
      <c r="G24" s="4" t="s">
        <v>11</v>
      </c>
      <c r="H24" s="4" t="s">
        <v>12</v>
      </c>
      <c r="I24" s="4"/>
      <c r="J24" s="5">
        <v>96.3</v>
      </c>
      <c r="K24" s="68"/>
      <c r="L24" s="99">
        <v>3.262</v>
      </c>
      <c r="M24" s="7" t="s">
        <v>260</v>
      </c>
      <c r="N24" s="3" t="s">
        <v>205</v>
      </c>
      <c r="O24" s="6">
        <v>3.2719999999999998</v>
      </c>
      <c r="P24" s="6">
        <v>3.1589999999999998</v>
      </c>
      <c r="Q24" s="6">
        <v>3.5529999999999999</v>
      </c>
      <c r="R24" s="54"/>
      <c r="S24" s="6">
        <v>3.3839999999999999</v>
      </c>
      <c r="T24" s="54"/>
      <c r="U24" s="54"/>
      <c r="V24" s="54"/>
      <c r="W24" s="54"/>
      <c r="X24" s="54"/>
      <c r="Y24" s="6">
        <v>3.4180000000000001</v>
      </c>
      <c r="Z24" s="6">
        <v>3.5710000000000002</v>
      </c>
      <c r="AA24" s="6">
        <v>3.4380000000000002</v>
      </c>
      <c r="AB24" s="6">
        <v>3.1850000000000001</v>
      </c>
      <c r="AC24" s="6">
        <v>2.9830000000000001</v>
      </c>
      <c r="AD24" s="22">
        <v>3.3980000000000001</v>
      </c>
      <c r="AE24" s="22">
        <f>AVERAGE(AC24:AD24)</f>
        <v>3.1905000000000001</v>
      </c>
      <c r="AF24" s="103">
        <v>2.6179999999999999</v>
      </c>
      <c r="AG24" s="103">
        <v>2.7120000000000002</v>
      </c>
      <c r="AH24" s="103">
        <v>2.7869999999999999</v>
      </c>
      <c r="AI24" s="103">
        <v>2.8</v>
      </c>
      <c r="AJ24" s="109"/>
      <c r="AK24" s="103">
        <v>3.0249999999999999</v>
      </c>
      <c r="AL24" s="103">
        <v>3.032</v>
      </c>
      <c r="AM24" s="103">
        <v>3.1539999999999999</v>
      </c>
      <c r="AN24" s="103">
        <v>3.016</v>
      </c>
      <c r="AO24" s="103">
        <v>3.0139999999999998</v>
      </c>
      <c r="AP24" s="103">
        <v>3.1459999999999999</v>
      </c>
      <c r="AQ24" s="103">
        <v>3.073</v>
      </c>
      <c r="AR24" s="103">
        <v>3.282</v>
      </c>
      <c r="AS24" s="103">
        <v>3.0230000000000001</v>
      </c>
      <c r="AT24" s="103">
        <v>3</v>
      </c>
      <c r="AU24" s="103">
        <v>3.0680000000000001</v>
      </c>
      <c r="AV24" s="103">
        <v>2.7650000000000001</v>
      </c>
      <c r="AW24" s="103">
        <v>2.907</v>
      </c>
      <c r="AX24" s="103">
        <v>3.3330000000000002</v>
      </c>
      <c r="AY24" s="103">
        <v>3.081</v>
      </c>
      <c r="AZ24" s="103">
        <v>3.286</v>
      </c>
      <c r="BA24" s="103">
        <v>3.1989999999999998</v>
      </c>
      <c r="BB24" s="103">
        <v>3.2669999999999999</v>
      </c>
      <c r="BC24" s="103">
        <v>3.1160000000000001</v>
      </c>
      <c r="BD24" s="103">
        <v>3.0470000000000002</v>
      </c>
      <c r="BE24" s="109"/>
      <c r="BF24" s="109"/>
      <c r="BG24" s="109"/>
      <c r="BH24" s="109"/>
      <c r="BI24" s="109"/>
      <c r="BJ24" s="109"/>
      <c r="BK24" s="109"/>
      <c r="BL24" s="109"/>
      <c r="BM24" s="109"/>
      <c r="BN24" s="103">
        <v>3.0470000000000002</v>
      </c>
      <c r="BO24" s="103">
        <v>2.83</v>
      </c>
      <c r="BP24" s="103">
        <v>3.085</v>
      </c>
      <c r="BQ24" s="87">
        <v>2.329955</v>
      </c>
      <c r="BR24" s="87">
        <v>2.7729720000000002</v>
      </c>
      <c r="BS24" s="87">
        <v>3.807572</v>
      </c>
      <c r="BT24" s="87">
        <v>2.80586</v>
      </c>
      <c r="BU24" s="87">
        <v>2.8865940000000001</v>
      </c>
      <c r="BV24" s="87">
        <v>3.5562369999999999</v>
      </c>
      <c r="BW24" s="105">
        <v>2.6760000000000002</v>
      </c>
      <c r="BX24" s="105">
        <v>2.75</v>
      </c>
      <c r="BY24" s="105">
        <v>2.835</v>
      </c>
      <c r="BZ24" s="105">
        <v>2.86</v>
      </c>
      <c r="CA24" s="105">
        <v>2.8959999999999999</v>
      </c>
      <c r="CB24" s="105">
        <v>3.0449999999999999</v>
      </c>
      <c r="CC24" s="105">
        <v>3.0529999999999999</v>
      </c>
      <c r="CD24" s="105">
        <v>3.2240000000000002</v>
      </c>
      <c r="CE24" s="105">
        <v>3.069</v>
      </c>
      <c r="CF24" s="105">
        <v>3.052</v>
      </c>
      <c r="CG24" s="105">
        <v>3.2109999999999999</v>
      </c>
      <c r="CH24" s="105">
        <v>3.1339999999999999</v>
      </c>
      <c r="CI24" s="105">
        <v>3.34</v>
      </c>
      <c r="CJ24" s="105">
        <v>3.06</v>
      </c>
      <c r="CK24" s="105">
        <v>3.036</v>
      </c>
      <c r="CL24" s="105">
        <v>3.1280000000000001</v>
      </c>
      <c r="CM24" s="105">
        <v>2.802</v>
      </c>
      <c r="CN24" s="105">
        <v>2.9620000000000002</v>
      </c>
      <c r="CO24" s="105">
        <v>3.4449999999999998</v>
      </c>
      <c r="CP24" s="105">
        <v>3.13</v>
      </c>
      <c r="CQ24" s="105">
        <v>3.3239999999999998</v>
      </c>
      <c r="CR24" s="105">
        <v>3.2519999999999998</v>
      </c>
      <c r="CS24" s="105">
        <v>3.3180000000000001</v>
      </c>
      <c r="CT24" s="105">
        <v>3.18</v>
      </c>
      <c r="CU24" s="105">
        <v>3.0920000000000001</v>
      </c>
      <c r="CV24" s="105">
        <v>2.9750000000000001</v>
      </c>
      <c r="CW24" s="105">
        <v>3.0870000000000002</v>
      </c>
      <c r="CX24" s="105">
        <v>3.1989999999999998</v>
      </c>
      <c r="CY24" s="105">
        <v>3.302</v>
      </c>
      <c r="CZ24" s="105">
        <v>3.3889999999999998</v>
      </c>
      <c r="DA24" s="105">
        <v>3.3690000000000002</v>
      </c>
      <c r="DB24" s="105">
        <v>2.665</v>
      </c>
      <c r="DC24" s="105">
        <v>3.1850000000000001</v>
      </c>
      <c r="DD24" s="105">
        <v>3.1640000000000001</v>
      </c>
      <c r="DE24" s="105">
        <v>3.0779999999999998</v>
      </c>
      <c r="DF24" s="105">
        <v>2.88</v>
      </c>
      <c r="DG24" s="105">
        <v>3.125</v>
      </c>
      <c r="DH24" s="115">
        <v>2.370031</v>
      </c>
      <c r="DI24" s="115">
        <v>2.8165490000000002</v>
      </c>
      <c r="DJ24" s="115">
        <v>3.84599</v>
      </c>
      <c r="DK24" s="115">
        <v>2.8544700000000001</v>
      </c>
      <c r="DL24" s="115">
        <v>2.9328409999999998</v>
      </c>
      <c r="DM24" s="115">
        <v>3.589518</v>
      </c>
    </row>
    <row r="25" spans="1:117">
      <c r="A25" s="1">
        <f t="shared" si="3"/>
        <v>23</v>
      </c>
      <c r="B25" s="2"/>
      <c r="C25" s="4">
        <v>16</v>
      </c>
      <c r="D25" s="4">
        <f t="shared" si="1"/>
        <v>1016</v>
      </c>
      <c r="E25" s="4" t="s">
        <v>166</v>
      </c>
      <c r="F25" s="4">
        <v>3</v>
      </c>
      <c r="G25" s="4" t="s">
        <v>11</v>
      </c>
      <c r="H25" s="4" t="s">
        <v>17</v>
      </c>
      <c r="I25" s="4"/>
      <c r="J25" s="5">
        <v>97.7</v>
      </c>
      <c r="K25" s="68"/>
      <c r="L25" s="99">
        <v>3.4430000000000001</v>
      </c>
      <c r="M25" s="7" t="s">
        <v>260</v>
      </c>
      <c r="N25" s="3" t="s">
        <v>205</v>
      </c>
      <c r="O25" s="6">
        <v>3.8340000000000001</v>
      </c>
      <c r="P25" s="6">
        <v>3.6179999999999999</v>
      </c>
      <c r="Q25" s="6">
        <v>3.8050000000000002</v>
      </c>
      <c r="R25" s="54"/>
      <c r="S25" s="6">
        <v>3.347</v>
      </c>
      <c r="T25" s="54"/>
      <c r="U25" s="54"/>
      <c r="V25" s="54"/>
      <c r="W25" s="54"/>
      <c r="X25" s="54"/>
      <c r="Y25" s="6">
        <v>3.6539999999999999</v>
      </c>
      <c r="Z25" s="6">
        <v>3.6779999999999999</v>
      </c>
      <c r="AA25" s="6">
        <v>3.661</v>
      </c>
      <c r="AB25" s="6">
        <v>3.492</v>
      </c>
      <c r="AC25" s="6">
        <v>3.5779999999999998</v>
      </c>
      <c r="AD25" s="22">
        <v>3.1960000000000002</v>
      </c>
      <c r="AE25" s="22">
        <f>AVERAGE(AC25:AD25)</f>
        <v>3.387</v>
      </c>
      <c r="AF25" s="103">
        <v>2.8610000000000002</v>
      </c>
      <c r="AG25" s="103">
        <v>2.9460000000000002</v>
      </c>
      <c r="AH25" s="103">
        <v>2.9249999999999998</v>
      </c>
      <c r="AI25" s="103">
        <v>2.8069999999999999</v>
      </c>
      <c r="AJ25" s="109"/>
      <c r="AK25" s="103">
        <v>2.9540000000000002</v>
      </c>
      <c r="AL25" s="103">
        <v>2.968</v>
      </c>
      <c r="AM25" s="103">
        <v>2.9710000000000001</v>
      </c>
      <c r="AN25" s="103">
        <v>3.125</v>
      </c>
      <c r="AO25" s="103">
        <v>3.0230000000000001</v>
      </c>
      <c r="AP25" s="103">
        <v>3.3069999999999999</v>
      </c>
      <c r="AQ25" s="103">
        <v>3.2559999999999998</v>
      </c>
      <c r="AR25" s="103">
        <v>3.282</v>
      </c>
      <c r="AS25" s="103">
        <v>3.0910000000000002</v>
      </c>
      <c r="AT25" s="103">
        <v>3.0830000000000002</v>
      </c>
      <c r="AU25" s="103">
        <v>2.8279999999999998</v>
      </c>
      <c r="AV25" s="103">
        <v>3.0630000000000002</v>
      </c>
      <c r="AW25" s="103">
        <v>2.8889999999999998</v>
      </c>
      <c r="AX25" s="103">
        <v>1.837</v>
      </c>
      <c r="AY25" s="103">
        <v>2.9569999999999999</v>
      </c>
      <c r="AZ25" s="103">
        <v>3.1419999999999999</v>
      </c>
      <c r="BA25" s="103">
        <v>2.835</v>
      </c>
      <c r="BB25" s="103">
        <v>2.7410000000000001</v>
      </c>
      <c r="BC25" s="103">
        <v>2.48</v>
      </c>
      <c r="BD25" s="103">
        <v>3.0219999999999998</v>
      </c>
      <c r="BE25" s="109"/>
      <c r="BF25" s="109"/>
      <c r="BG25" s="109"/>
      <c r="BH25" s="109"/>
      <c r="BI25" s="109"/>
      <c r="BJ25" s="109"/>
      <c r="BK25" s="109"/>
      <c r="BL25" s="109"/>
      <c r="BM25" s="109"/>
      <c r="BN25" s="103">
        <v>3.214</v>
      </c>
      <c r="BO25" s="103">
        <v>2.94</v>
      </c>
      <c r="BP25" s="103">
        <v>3.1259999999999999</v>
      </c>
      <c r="BQ25" s="87">
        <v>2.5480010000000002</v>
      </c>
      <c r="BR25" s="87">
        <v>2.7831090000000001</v>
      </c>
      <c r="BS25" s="87">
        <v>3.4998100000000001</v>
      </c>
      <c r="BT25" s="87">
        <v>2.7157830000000001</v>
      </c>
      <c r="BU25" s="87">
        <v>2.806219</v>
      </c>
      <c r="BV25" s="87">
        <v>3.4630420000000002</v>
      </c>
      <c r="BW25" s="105">
        <v>3.113</v>
      </c>
      <c r="BX25" s="105">
        <v>3.1629999999999998</v>
      </c>
      <c r="BY25" s="105">
        <v>3.177</v>
      </c>
      <c r="BZ25" s="105">
        <v>3.1739999999999999</v>
      </c>
      <c r="CA25" s="105">
        <v>2.7210000000000001</v>
      </c>
      <c r="CB25" s="105">
        <v>3.2549999999999999</v>
      </c>
      <c r="CC25" s="105">
        <v>3.278</v>
      </c>
      <c r="CD25" s="105">
        <v>3.3759999999999999</v>
      </c>
      <c r="CE25" s="105">
        <v>3.427</v>
      </c>
      <c r="CF25" s="105">
        <v>3.3330000000000002</v>
      </c>
      <c r="CG25" s="105">
        <v>3.5750000000000002</v>
      </c>
      <c r="CH25" s="105">
        <v>3.532</v>
      </c>
      <c r="CI25" s="105">
        <v>3.573</v>
      </c>
      <c r="CJ25" s="105">
        <v>3.3879999999999999</v>
      </c>
      <c r="CK25" s="105">
        <v>3.3759999999999999</v>
      </c>
      <c r="CL25" s="105">
        <v>3.3</v>
      </c>
      <c r="CM25" s="105">
        <v>3.2570000000000001</v>
      </c>
      <c r="CN25" s="105">
        <v>3.2280000000000002</v>
      </c>
      <c r="CO25" s="105">
        <v>3.153</v>
      </c>
      <c r="CP25" s="105">
        <v>3.3660000000000001</v>
      </c>
      <c r="CQ25" s="105">
        <v>3.5019999999999998</v>
      </c>
      <c r="CR25" s="105">
        <v>3.4039999999999999</v>
      </c>
      <c r="CS25" s="105">
        <v>3.431</v>
      </c>
      <c r="CT25" s="105">
        <v>3.306</v>
      </c>
      <c r="CU25" s="105">
        <v>3.4740000000000002</v>
      </c>
      <c r="CV25" s="105">
        <v>3.3940000000000001</v>
      </c>
      <c r="CW25" s="105">
        <v>3.282</v>
      </c>
      <c r="CX25" s="105">
        <v>3.419</v>
      </c>
      <c r="CY25" s="105">
        <v>3.4540000000000002</v>
      </c>
      <c r="CZ25" s="105">
        <v>3.3340000000000001</v>
      </c>
      <c r="DA25" s="105">
        <v>3.4329999999999998</v>
      </c>
      <c r="DB25" s="105">
        <v>4.0279999999999996</v>
      </c>
      <c r="DC25" s="105">
        <v>3.4140000000000001</v>
      </c>
      <c r="DD25" s="105">
        <v>3.4169999999999998</v>
      </c>
      <c r="DE25" s="105">
        <v>3.4119999999999999</v>
      </c>
      <c r="DF25" s="105">
        <v>3.214</v>
      </c>
      <c r="DG25" s="105">
        <v>3.3650000000000002</v>
      </c>
      <c r="DH25" s="115">
        <v>2.7909320000000002</v>
      </c>
      <c r="DI25" s="115">
        <v>3.077394</v>
      </c>
      <c r="DJ25" s="115">
        <v>3.7459020000000001</v>
      </c>
      <c r="DK25" s="115">
        <v>3.0511159999999999</v>
      </c>
      <c r="DL25" s="115">
        <v>3.131221</v>
      </c>
      <c r="DM25" s="115">
        <v>3.6732550000000002</v>
      </c>
    </row>
    <row r="26" spans="1:117">
      <c r="A26" s="1">
        <f t="shared" si="3"/>
        <v>24</v>
      </c>
      <c r="B26" s="2"/>
      <c r="C26" s="4">
        <v>16</v>
      </c>
      <c r="D26" s="4">
        <f t="shared" si="1"/>
        <v>1016</v>
      </c>
      <c r="E26" s="4" t="s">
        <v>233</v>
      </c>
      <c r="F26" s="4">
        <v>3</v>
      </c>
      <c r="G26" s="4" t="s">
        <v>11</v>
      </c>
      <c r="H26" s="4" t="s">
        <v>17</v>
      </c>
      <c r="I26" s="4"/>
      <c r="J26" s="5">
        <v>97.4</v>
      </c>
      <c r="K26" s="68"/>
      <c r="L26" s="99">
        <v>3.4980000000000007</v>
      </c>
      <c r="M26" s="7" t="s">
        <v>260</v>
      </c>
      <c r="N26" s="3" t="s">
        <v>205</v>
      </c>
      <c r="O26" s="6">
        <v>3.9649999999999999</v>
      </c>
      <c r="P26" s="6">
        <v>3.6659999999999999</v>
      </c>
      <c r="Q26" s="6">
        <v>3.9359999999999999</v>
      </c>
      <c r="R26" s="54"/>
      <c r="S26" s="6">
        <v>3.4660000000000002</v>
      </c>
      <c r="T26" s="54"/>
      <c r="U26" s="54"/>
      <c r="V26" s="54"/>
      <c r="W26" s="54"/>
      <c r="X26" s="54"/>
      <c r="Y26" s="6">
        <v>3.774</v>
      </c>
      <c r="Z26" s="6">
        <v>3.7690000000000001</v>
      </c>
      <c r="AA26" s="6">
        <v>3.7389999999999999</v>
      </c>
      <c r="AB26" s="6">
        <v>3.613</v>
      </c>
      <c r="AC26" s="6">
        <v>3.6789999999999998</v>
      </c>
      <c r="AD26" s="22">
        <v>3.2360000000000002</v>
      </c>
      <c r="AE26" s="22">
        <f>AVERAGE(AC26:AD26)</f>
        <v>3.4575</v>
      </c>
      <c r="AF26" s="103">
        <v>2.919</v>
      </c>
      <c r="AG26" s="103">
        <v>2.9830000000000001</v>
      </c>
      <c r="AH26" s="103">
        <v>3.004</v>
      </c>
      <c r="AI26" s="103">
        <v>2.9430000000000001</v>
      </c>
      <c r="AJ26" s="109"/>
      <c r="AK26" s="103">
        <v>2.9620000000000002</v>
      </c>
      <c r="AL26" s="103">
        <v>2.9740000000000002</v>
      </c>
      <c r="AM26" s="103">
        <v>3.1640000000000001</v>
      </c>
      <c r="AN26" s="103">
        <v>3.29</v>
      </c>
      <c r="AO26" s="103">
        <v>3.153</v>
      </c>
      <c r="AP26" s="103">
        <v>3.5019999999999998</v>
      </c>
      <c r="AQ26" s="103">
        <v>3.4689999999999999</v>
      </c>
      <c r="AR26" s="103">
        <v>3.492</v>
      </c>
      <c r="AS26" s="103">
        <v>3.222</v>
      </c>
      <c r="AT26" s="103">
        <v>3.2160000000000002</v>
      </c>
      <c r="AU26" s="103">
        <v>2.996</v>
      </c>
      <c r="AV26" s="103">
        <v>3.1040000000000001</v>
      </c>
      <c r="AW26" s="103">
        <v>3.0110000000000001</v>
      </c>
      <c r="AX26" s="103">
        <v>2.0939999999999999</v>
      </c>
      <c r="AY26" s="103">
        <v>3.1150000000000002</v>
      </c>
      <c r="AZ26" s="103">
        <v>3.3149999999999999</v>
      </c>
      <c r="BA26" s="103">
        <v>3.0110000000000001</v>
      </c>
      <c r="BB26" s="103">
        <v>2.903</v>
      </c>
      <c r="BC26" s="103">
        <v>2.6560000000000001</v>
      </c>
      <c r="BD26" s="103">
        <v>3.1819999999999999</v>
      </c>
      <c r="BE26" s="109"/>
      <c r="BF26" s="109"/>
      <c r="BG26" s="109"/>
      <c r="BH26" s="109"/>
      <c r="BI26" s="109"/>
      <c r="BJ26" s="109"/>
      <c r="BK26" s="109"/>
      <c r="BL26" s="109"/>
      <c r="BM26" s="109"/>
      <c r="BN26" s="103">
        <v>3.2930000000000001</v>
      </c>
      <c r="BO26" s="103">
        <v>3.0339999999999998</v>
      </c>
      <c r="BP26" s="103">
        <v>3.2509999999999999</v>
      </c>
      <c r="BQ26" s="87">
        <v>2.7140140000000001</v>
      </c>
      <c r="BR26" s="87">
        <v>2.9403410000000001</v>
      </c>
      <c r="BS26" s="87">
        <v>3.5146540000000002</v>
      </c>
      <c r="BT26" s="87">
        <v>2.9057210000000002</v>
      </c>
      <c r="BU26" s="87">
        <v>2.9740799999999998</v>
      </c>
      <c r="BV26" s="87">
        <v>3.470237</v>
      </c>
      <c r="BW26" s="105">
        <v>3.09</v>
      </c>
      <c r="BX26" s="105">
        <v>3.12</v>
      </c>
      <c r="BY26" s="105">
        <v>3.1619999999999999</v>
      </c>
      <c r="BZ26" s="105">
        <v>3.1970000000000001</v>
      </c>
      <c r="CA26" s="105">
        <v>2.7240000000000002</v>
      </c>
      <c r="CB26" s="105">
        <v>3.1869999999999998</v>
      </c>
      <c r="CC26" s="105">
        <v>3.206</v>
      </c>
      <c r="CD26" s="105">
        <v>3.4350000000000001</v>
      </c>
      <c r="CE26" s="105">
        <v>3.4929999999999999</v>
      </c>
      <c r="CF26" s="105">
        <v>3.3730000000000002</v>
      </c>
      <c r="CG26" s="105">
        <v>3.6560000000000001</v>
      </c>
      <c r="CH26" s="105">
        <v>3.6240000000000001</v>
      </c>
      <c r="CI26" s="105">
        <v>3.6549999999999998</v>
      </c>
      <c r="CJ26" s="105">
        <v>3.4129999999999998</v>
      </c>
      <c r="CK26" s="105">
        <v>3.4039999999999999</v>
      </c>
      <c r="CL26" s="105">
        <v>3.36</v>
      </c>
      <c r="CM26" s="105">
        <v>3.2240000000000002</v>
      </c>
      <c r="CN26" s="105">
        <v>3.2480000000000002</v>
      </c>
      <c r="CO26" s="105">
        <v>3.258</v>
      </c>
      <c r="CP26" s="105">
        <v>3.419</v>
      </c>
      <c r="CQ26" s="105">
        <v>3.5779999999999998</v>
      </c>
      <c r="CR26" s="105">
        <v>3.4830000000000001</v>
      </c>
      <c r="CS26" s="105">
        <v>3.5129999999999999</v>
      </c>
      <c r="CT26" s="105">
        <v>3.4</v>
      </c>
      <c r="CU26" s="105">
        <v>3.5489999999999999</v>
      </c>
      <c r="CV26" s="105">
        <v>3.4630000000000001</v>
      </c>
      <c r="CW26" s="105">
        <v>3.3679999999999999</v>
      </c>
      <c r="CX26" s="105">
        <v>3.5310000000000001</v>
      </c>
      <c r="CY26" s="105">
        <v>3.5649999999999999</v>
      </c>
      <c r="CZ26" s="105">
        <v>3.456</v>
      </c>
      <c r="DA26" s="105">
        <v>3.5569999999999999</v>
      </c>
      <c r="DB26" s="105">
        <v>4.1319999999999997</v>
      </c>
      <c r="DC26" s="105">
        <v>3.5329999999999999</v>
      </c>
      <c r="DD26" s="105">
        <v>3.5379999999999998</v>
      </c>
      <c r="DE26" s="105">
        <v>3.4009999999999998</v>
      </c>
      <c r="DF26" s="105">
        <v>3.21</v>
      </c>
      <c r="DG26" s="105">
        <v>3.3839999999999999</v>
      </c>
      <c r="DH26" s="115">
        <v>2.8902139999999998</v>
      </c>
      <c r="DI26" s="115">
        <v>3.1610480000000001</v>
      </c>
      <c r="DJ26" s="115">
        <v>3.7055690000000001</v>
      </c>
      <c r="DK26" s="115">
        <v>3.1573259999999999</v>
      </c>
      <c r="DL26" s="115">
        <v>3.2211259999999999</v>
      </c>
      <c r="DM26" s="115">
        <v>3.6325669999999999</v>
      </c>
    </row>
    <row r="27" spans="1:117">
      <c r="A27" s="1">
        <f t="shared" si="3"/>
        <v>25</v>
      </c>
      <c r="B27" s="2"/>
      <c r="C27" s="4">
        <v>16</v>
      </c>
      <c r="D27" s="4">
        <f t="shared" si="1"/>
        <v>1016</v>
      </c>
      <c r="E27" s="4" t="s">
        <v>169</v>
      </c>
      <c r="F27" s="4">
        <v>3</v>
      </c>
      <c r="G27" s="4" t="s">
        <v>11</v>
      </c>
      <c r="H27" s="4" t="s">
        <v>17</v>
      </c>
      <c r="I27" s="4"/>
      <c r="J27" s="5">
        <v>96.6</v>
      </c>
      <c r="K27" s="68"/>
      <c r="L27" s="99">
        <v>3.7399999999999998</v>
      </c>
      <c r="M27" s="7" t="s">
        <v>260</v>
      </c>
      <c r="N27" s="3" t="s">
        <v>205</v>
      </c>
      <c r="O27" s="6">
        <v>4.024</v>
      </c>
      <c r="P27" s="6">
        <v>3.8319999999999999</v>
      </c>
      <c r="Q27" s="6">
        <v>4.1980000000000004</v>
      </c>
      <c r="R27" s="54"/>
      <c r="S27" s="6">
        <v>3.84</v>
      </c>
      <c r="T27" s="54"/>
      <c r="U27" s="54"/>
      <c r="V27" s="54"/>
      <c r="W27" s="54"/>
      <c r="X27" s="54"/>
      <c r="Y27" s="6">
        <v>3.9590000000000001</v>
      </c>
      <c r="Z27" s="6">
        <v>4.0090000000000003</v>
      </c>
      <c r="AA27" s="6">
        <v>3.956</v>
      </c>
      <c r="AB27" s="6">
        <v>3.7650000000000001</v>
      </c>
      <c r="AC27" s="6">
        <v>3.7879999999999998</v>
      </c>
      <c r="AD27" s="22">
        <v>3.556</v>
      </c>
      <c r="AE27" s="22">
        <f>AVERAGE(AC27:AD27)</f>
        <v>3.6719999999999997</v>
      </c>
      <c r="AF27" s="103">
        <v>2.9969999999999999</v>
      </c>
      <c r="AG27" s="103">
        <v>3.0449999999999999</v>
      </c>
      <c r="AH27" s="103">
        <v>3.0910000000000002</v>
      </c>
      <c r="AI27" s="103">
        <v>3.1339999999999999</v>
      </c>
      <c r="AJ27" s="109"/>
      <c r="AK27" s="103">
        <v>3.1970000000000001</v>
      </c>
      <c r="AL27" s="103">
        <v>3.21</v>
      </c>
      <c r="AM27" s="103">
        <v>3.371</v>
      </c>
      <c r="AN27" s="103">
        <v>3.4420000000000002</v>
      </c>
      <c r="AO27" s="103">
        <v>3.3809999999999998</v>
      </c>
      <c r="AP27" s="103">
        <v>3.6040000000000001</v>
      </c>
      <c r="AQ27" s="103">
        <v>3.5550000000000002</v>
      </c>
      <c r="AR27" s="103">
        <v>3.581</v>
      </c>
      <c r="AS27" s="103">
        <v>3.351</v>
      </c>
      <c r="AT27" s="103">
        <v>3.3439999999999999</v>
      </c>
      <c r="AU27" s="103">
        <v>3.3860000000000001</v>
      </c>
      <c r="AV27" s="103">
        <v>3.206</v>
      </c>
      <c r="AW27" s="103">
        <v>3.2170000000000001</v>
      </c>
      <c r="AX27" s="103">
        <v>3.4470000000000001</v>
      </c>
      <c r="AY27" s="103">
        <v>3.4470000000000001</v>
      </c>
      <c r="AZ27" s="103">
        <v>3.6240000000000001</v>
      </c>
      <c r="BA27" s="103">
        <v>3.5710000000000002</v>
      </c>
      <c r="BB27" s="103">
        <v>3.653</v>
      </c>
      <c r="BC27" s="103">
        <v>3.58</v>
      </c>
      <c r="BD27" s="103">
        <v>3.6539999999999999</v>
      </c>
      <c r="BE27" s="109"/>
      <c r="BF27" s="109"/>
      <c r="BG27" s="109"/>
      <c r="BH27" s="109"/>
      <c r="BI27" s="109"/>
      <c r="BJ27" s="109"/>
      <c r="BK27" s="109"/>
      <c r="BL27" s="109"/>
      <c r="BM27" s="109"/>
      <c r="BN27" s="103">
        <v>3.3410000000000002</v>
      </c>
      <c r="BO27" s="103">
        <v>3.1389999999999998</v>
      </c>
      <c r="BP27" s="103">
        <v>3.3069999999999999</v>
      </c>
      <c r="BQ27" s="87">
        <v>2.8103570000000002</v>
      </c>
      <c r="BR27" s="87">
        <v>3.1154449999999998</v>
      </c>
      <c r="BS27" s="87">
        <v>3.7060749999999998</v>
      </c>
      <c r="BT27" s="87">
        <v>3.1080869999999998</v>
      </c>
      <c r="BU27" s="87">
        <v>3.1826140000000001</v>
      </c>
      <c r="BV27" s="87">
        <v>3.6222759999999998</v>
      </c>
      <c r="BW27" s="105">
        <v>3.0720000000000001</v>
      </c>
      <c r="BX27" s="105">
        <v>3.1120000000000001</v>
      </c>
      <c r="BY27" s="105">
        <v>3.1680000000000001</v>
      </c>
      <c r="BZ27" s="105">
        <v>3.24</v>
      </c>
      <c r="CA27" s="105">
        <v>3.169</v>
      </c>
      <c r="CB27" s="105">
        <v>3.2749999999999999</v>
      </c>
      <c r="CC27" s="105">
        <v>3.2909999999999999</v>
      </c>
      <c r="CD27" s="105">
        <v>3.4990000000000001</v>
      </c>
      <c r="CE27" s="105">
        <v>3.5379999999999998</v>
      </c>
      <c r="CF27" s="105">
        <v>3.4620000000000002</v>
      </c>
      <c r="CG27" s="105">
        <v>3.6960000000000002</v>
      </c>
      <c r="CH27" s="105">
        <v>3.653</v>
      </c>
      <c r="CI27" s="105">
        <v>3.6850000000000001</v>
      </c>
      <c r="CJ27" s="105">
        <v>3.44</v>
      </c>
      <c r="CK27" s="105">
        <v>3.4319999999999999</v>
      </c>
      <c r="CL27" s="105">
        <v>3.512</v>
      </c>
      <c r="CM27" s="105">
        <v>3.2629999999999999</v>
      </c>
      <c r="CN27" s="105">
        <v>3.3140000000000001</v>
      </c>
      <c r="CO27" s="105">
        <v>3.7240000000000002</v>
      </c>
      <c r="CP27" s="105">
        <v>3.56</v>
      </c>
      <c r="CQ27" s="105">
        <v>3.7250000000000001</v>
      </c>
      <c r="CR27" s="105">
        <v>3.7160000000000002</v>
      </c>
      <c r="CS27" s="105">
        <v>3.8149999999999999</v>
      </c>
      <c r="CT27" s="105">
        <v>3.758</v>
      </c>
      <c r="CU27" s="105">
        <v>3.7639999999999998</v>
      </c>
      <c r="CV27" s="105">
        <v>3.5019999999999998</v>
      </c>
      <c r="CW27" s="105">
        <v>3.4950000000000001</v>
      </c>
      <c r="CX27" s="105">
        <v>3.68</v>
      </c>
      <c r="CY27" s="105">
        <v>3.79</v>
      </c>
      <c r="CZ27" s="105">
        <v>3.802</v>
      </c>
      <c r="DA27" s="105">
        <v>3.83</v>
      </c>
      <c r="DB27" s="105">
        <v>3.9140000000000001</v>
      </c>
      <c r="DC27" s="105">
        <v>3.6859999999999999</v>
      </c>
      <c r="DD27" s="105">
        <v>3.6669999999999998</v>
      </c>
      <c r="DE27" s="105">
        <v>3.4060000000000001</v>
      </c>
      <c r="DF27" s="105">
        <v>3.222</v>
      </c>
      <c r="DG27" s="105">
        <v>3.387</v>
      </c>
      <c r="DH27" s="115">
        <v>2.8863240000000001</v>
      </c>
      <c r="DI27" s="115">
        <v>3.2017069999999999</v>
      </c>
      <c r="DJ27" s="115">
        <v>3.77841</v>
      </c>
      <c r="DK27" s="115">
        <v>3.2085590000000002</v>
      </c>
      <c r="DL27" s="115">
        <v>3.2769919999999999</v>
      </c>
      <c r="DM27" s="115">
        <v>3.685972</v>
      </c>
    </row>
    <row r="28" spans="1:117">
      <c r="A28" s="1">
        <f t="shared" ref="A28:A71" si="4">A27+1</f>
        <v>26</v>
      </c>
      <c r="B28" s="2" t="s">
        <v>385</v>
      </c>
      <c r="C28" s="4">
        <v>14</v>
      </c>
      <c r="D28" s="4">
        <f t="shared" si="1"/>
        <v>1016</v>
      </c>
      <c r="E28" s="4" t="s">
        <v>137</v>
      </c>
      <c r="F28" s="4">
        <v>1</v>
      </c>
      <c r="G28" s="4" t="s">
        <v>11</v>
      </c>
      <c r="H28" s="4" t="s">
        <v>17</v>
      </c>
      <c r="I28" s="4"/>
      <c r="J28" s="5">
        <v>84.3</v>
      </c>
      <c r="K28" s="63">
        <v>0.48099999999999998</v>
      </c>
      <c r="L28" s="99">
        <v>2.512</v>
      </c>
      <c r="M28" s="7" t="s">
        <v>113</v>
      </c>
      <c r="N28" s="3" t="s">
        <v>205</v>
      </c>
      <c r="O28" s="6">
        <v>2.7410000000000001</v>
      </c>
      <c r="P28" s="6">
        <v>2.6789999999999998</v>
      </c>
      <c r="Q28" s="6">
        <v>3.1440000000000001</v>
      </c>
      <c r="R28" s="9"/>
      <c r="S28" s="6">
        <v>2.6339999999999999</v>
      </c>
      <c r="T28" s="6">
        <v>2.5920000000000001</v>
      </c>
      <c r="U28" s="6">
        <v>2.5859999999999999</v>
      </c>
      <c r="V28" s="4">
        <v>2.552</v>
      </c>
      <c r="W28" s="6">
        <v>2.5179999999999998</v>
      </c>
      <c r="X28" s="9"/>
      <c r="Y28" s="6">
        <v>2.5390000000000001</v>
      </c>
      <c r="Z28" s="6">
        <v>2.6429999999999998</v>
      </c>
      <c r="AA28" s="6">
        <v>2.6589999999999998</v>
      </c>
      <c r="AB28" s="6">
        <v>2.3039999999999998</v>
      </c>
      <c r="AC28" s="6">
        <v>2.5489999999999999</v>
      </c>
      <c r="AD28" s="6">
        <v>2.0990000000000002</v>
      </c>
      <c r="AE28" s="6">
        <f t="shared" ref="AE28:AE45" si="5">AVERAGE(AC28:AD28)</f>
        <v>2.3239999999999998</v>
      </c>
      <c r="AF28" s="103">
        <v>2.847</v>
      </c>
      <c r="AG28" s="103">
        <v>2.8290000000000002</v>
      </c>
      <c r="AH28" s="103">
        <v>2.839</v>
      </c>
      <c r="AI28" s="103">
        <v>2.867</v>
      </c>
      <c r="AJ28" s="103">
        <v>2.8929999999999998</v>
      </c>
      <c r="AK28" s="103">
        <v>2.794</v>
      </c>
      <c r="AL28" s="103">
        <v>2.8119999999999998</v>
      </c>
      <c r="AM28" s="103">
        <v>2.871</v>
      </c>
      <c r="AN28" s="103">
        <v>2.88</v>
      </c>
      <c r="AO28" s="103">
        <v>2.782</v>
      </c>
      <c r="AP28" s="103">
        <v>2.8330000000000002</v>
      </c>
      <c r="AQ28" s="103">
        <v>2.8069999999999999</v>
      </c>
      <c r="AR28" s="103">
        <v>2.8340000000000001</v>
      </c>
      <c r="AS28" s="103">
        <v>2.9119999999999999</v>
      </c>
      <c r="AT28" s="103">
        <v>2.903</v>
      </c>
      <c r="AU28" s="103">
        <v>2.7989999999999999</v>
      </c>
      <c r="AV28" s="103">
        <v>2.8029999999999999</v>
      </c>
      <c r="AW28" s="103">
        <v>2.835</v>
      </c>
      <c r="AX28" s="103">
        <v>2.645</v>
      </c>
      <c r="AY28" s="103">
        <v>2.8010000000000002</v>
      </c>
      <c r="AZ28" s="60"/>
      <c r="BA28" s="103">
        <v>2.7269999999999999</v>
      </c>
      <c r="BB28" s="103">
        <v>2.6709999999999998</v>
      </c>
      <c r="BC28" s="103">
        <v>2.6819999999999999</v>
      </c>
      <c r="BD28" s="103">
        <v>2.7629999999999999</v>
      </c>
      <c r="BE28" s="103">
        <v>2.746</v>
      </c>
      <c r="BF28" s="103">
        <v>2.8149999999999999</v>
      </c>
      <c r="BG28" s="103">
        <v>2.7389999999999999</v>
      </c>
      <c r="BH28" s="103">
        <v>2.6589999999999998</v>
      </c>
      <c r="BI28" s="103">
        <v>2.6989999999999998</v>
      </c>
      <c r="BJ28" s="103">
        <v>2.67</v>
      </c>
      <c r="BK28" s="103">
        <v>2.5110000000000001</v>
      </c>
      <c r="BL28" s="103">
        <v>2.4790000000000001</v>
      </c>
      <c r="BM28" s="103">
        <v>2.4180000000000001</v>
      </c>
      <c r="BN28" s="103">
        <v>2.8839999999999999</v>
      </c>
      <c r="BO28" s="103">
        <v>2.8610000000000002</v>
      </c>
      <c r="BP28" s="103">
        <v>2.8620000000000001</v>
      </c>
      <c r="BQ28" s="87">
        <v>2.0783879999999999</v>
      </c>
      <c r="BR28" s="87">
        <v>2.3185150000000001</v>
      </c>
      <c r="BS28" s="87">
        <v>2.684787</v>
      </c>
      <c r="BT28" s="87">
        <v>2.3554719999999998</v>
      </c>
      <c r="BU28" s="87">
        <v>2.391737</v>
      </c>
      <c r="BV28" s="87">
        <v>2.6210059999999999</v>
      </c>
      <c r="BW28" s="105">
        <v>3.0830000000000002</v>
      </c>
      <c r="BX28" s="105">
        <v>3.0910000000000002</v>
      </c>
      <c r="BY28" s="105">
        <v>3.1339999999999999</v>
      </c>
      <c r="BZ28" s="105">
        <v>3.198</v>
      </c>
      <c r="CA28" s="105">
        <v>3.2650000000000001</v>
      </c>
      <c r="CB28" s="105">
        <v>3.153</v>
      </c>
      <c r="CC28" s="105">
        <v>3.173</v>
      </c>
      <c r="CD28" s="105">
        <v>3.274</v>
      </c>
      <c r="CE28" s="105">
        <v>3.2730000000000001</v>
      </c>
      <c r="CF28" s="105">
        <v>3.17</v>
      </c>
      <c r="CG28" s="105">
        <v>2.9129999999999998</v>
      </c>
      <c r="CH28" s="105">
        <v>3.206</v>
      </c>
      <c r="CI28" s="105">
        <v>3.2360000000000002</v>
      </c>
      <c r="CJ28" s="105">
        <v>3.286</v>
      </c>
      <c r="CK28" s="105">
        <v>3.278</v>
      </c>
      <c r="CL28" s="105">
        <v>3.181</v>
      </c>
      <c r="CM28" s="105">
        <v>3.117</v>
      </c>
      <c r="CN28" s="105">
        <v>3.19</v>
      </c>
      <c r="CO28" s="105">
        <v>2.9950000000000001</v>
      </c>
      <c r="CP28" s="105">
        <v>3.1789999999999998</v>
      </c>
      <c r="CQ28" s="105">
        <v>3.073</v>
      </c>
      <c r="CR28" s="105">
        <v>3.09</v>
      </c>
      <c r="CS28" s="105">
        <v>3.0289999999999999</v>
      </c>
      <c r="CT28" s="105">
        <v>3.044</v>
      </c>
      <c r="CU28" s="105">
        <v>3.1389999999999998</v>
      </c>
      <c r="CV28" s="105">
        <v>3.008</v>
      </c>
      <c r="CW28" s="105">
        <v>3.15</v>
      </c>
      <c r="CX28" s="105">
        <v>3.0289999999999999</v>
      </c>
      <c r="CY28" s="105">
        <v>2.9580000000000002</v>
      </c>
      <c r="CZ28" s="105">
        <v>3.0350000000000001</v>
      </c>
      <c r="DA28" s="105">
        <v>2.9670000000000001</v>
      </c>
      <c r="DB28" s="105">
        <v>2.6520000000000001</v>
      </c>
      <c r="DC28" s="105">
        <v>2.7330000000000001</v>
      </c>
      <c r="DD28" s="105">
        <v>2.661</v>
      </c>
      <c r="DE28" s="105">
        <v>3.2490000000000001</v>
      </c>
      <c r="DF28" s="105">
        <v>3.18</v>
      </c>
      <c r="DG28" s="105">
        <v>3.2320000000000002</v>
      </c>
      <c r="DH28" s="115">
        <v>2.5713300000000001</v>
      </c>
      <c r="DI28" s="115">
        <v>2.8334190000000001</v>
      </c>
      <c r="DJ28" s="115">
        <v>3.1507930000000002</v>
      </c>
      <c r="DK28" s="115">
        <v>2.860773</v>
      </c>
      <c r="DL28" s="115">
        <v>2.8944740000000002</v>
      </c>
      <c r="DM28" s="115">
        <v>3.0922610000000001</v>
      </c>
    </row>
    <row r="29" spans="1:117">
      <c r="A29" s="1">
        <f t="shared" si="4"/>
        <v>27</v>
      </c>
      <c r="B29" s="2"/>
      <c r="C29" s="4">
        <v>14</v>
      </c>
      <c r="D29" s="4">
        <f t="shared" si="1"/>
        <v>1016</v>
      </c>
      <c r="E29" s="4" t="s">
        <v>137</v>
      </c>
      <c r="F29" s="4">
        <v>1</v>
      </c>
      <c r="G29" s="4" t="s">
        <v>11</v>
      </c>
      <c r="H29" s="4" t="s">
        <v>17</v>
      </c>
      <c r="I29" s="4" t="s">
        <v>320</v>
      </c>
      <c r="J29" s="5">
        <v>79.900000000000006</v>
      </c>
      <c r="K29" s="63">
        <v>0.20499999999999999</v>
      </c>
      <c r="L29" s="99">
        <v>3.4569999999999999</v>
      </c>
      <c r="M29" s="7" t="s">
        <v>113</v>
      </c>
      <c r="N29" s="3" t="s">
        <v>205</v>
      </c>
      <c r="O29" s="6">
        <v>3.4550000000000001</v>
      </c>
      <c r="P29" s="6">
        <v>3.5590000000000002</v>
      </c>
      <c r="Q29" s="6">
        <v>4.274</v>
      </c>
      <c r="R29" s="9"/>
      <c r="S29" s="6">
        <v>3.823</v>
      </c>
      <c r="T29" s="6">
        <v>3.6179999999999999</v>
      </c>
      <c r="U29" s="6">
        <v>3.605</v>
      </c>
      <c r="V29" s="4">
        <v>3.524</v>
      </c>
      <c r="W29" s="6">
        <v>3.3980000000000001</v>
      </c>
      <c r="X29" s="9"/>
      <c r="Y29" s="6">
        <v>3.7029999999999998</v>
      </c>
      <c r="Z29" s="6">
        <v>3.7589999999999999</v>
      </c>
      <c r="AA29" s="6">
        <v>3.6909999999999998</v>
      </c>
      <c r="AB29" s="6">
        <v>3.4569999999999999</v>
      </c>
      <c r="AC29" s="6">
        <v>3.4929999999999999</v>
      </c>
      <c r="AD29" s="6">
        <v>3.2589999999999999</v>
      </c>
      <c r="AE29" s="6">
        <f t="shared" si="5"/>
        <v>3.3759999999999999</v>
      </c>
      <c r="AF29" s="103">
        <v>3.3029999999999999</v>
      </c>
      <c r="AG29" s="103">
        <v>3.3039999999999998</v>
      </c>
      <c r="AH29" s="103">
        <v>3.35</v>
      </c>
      <c r="AI29" s="103">
        <v>3.43</v>
      </c>
      <c r="AJ29" s="103">
        <v>3.488</v>
      </c>
      <c r="AK29" s="103">
        <v>3.38</v>
      </c>
      <c r="AL29" s="103">
        <v>3.3940000000000001</v>
      </c>
      <c r="AM29" s="103">
        <v>3.6509999999999998</v>
      </c>
      <c r="AN29" s="103">
        <v>3.65</v>
      </c>
      <c r="AO29" s="103">
        <v>3.5529999999999999</v>
      </c>
      <c r="AP29" s="103">
        <v>3.6970000000000001</v>
      </c>
      <c r="AQ29" s="103">
        <v>3.7149999999999999</v>
      </c>
      <c r="AR29" s="103">
        <v>3.7389999999999999</v>
      </c>
      <c r="AS29" s="103">
        <v>3.5590000000000002</v>
      </c>
      <c r="AT29" s="103">
        <v>3.552</v>
      </c>
      <c r="AU29" s="103">
        <v>3.6280000000000001</v>
      </c>
      <c r="AV29" s="103">
        <v>3.3340000000000001</v>
      </c>
      <c r="AW29" s="103">
        <v>3.452</v>
      </c>
      <c r="AX29" s="103">
        <v>3.9860000000000002</v>
      </c>
      <c r="AY29" s="103">
        <v>3.641</v>
      </c>
      <c r="AZ29" s="60"/>
      <c r="BA29" s="103">
        <v>3.8140000000000001</v>
      </c>
      <c r="BB29" s="103">
        <v>3.9239999999999999</v>
      </c>
      <c r="BC29" s="103">
        <v>3.9249999999999998</v>
      </c>
      <c r="BD29" s="103">
        <v>3.8279999999999998</v>
      </c>
      <c r="BE29" s="103">
        <v>3.35</v>
      </c>
      <c r="BF29" s="103">
        <v>3.5680000000000001</v>
      </c>
      <c r="BG29" s="103">
        <v>3.58</v>
      </c>
      <c r="BH29" s="103">
        <v>3.766</v>
      </c>
      <c r="BI29" s="103">
        <v>3.988</v>
      </c>
      <c r="BJ29" s="103">
        <v>3.83</v>
      </c>
      <c r="BK29" s="103">
        <v>2.8969999999999998</v>
      </c>
      <c r="BL29" s="103">
        <v>3.4860000000000002</v>
      </c>
      <c r="BM29" s="103">
        <v>3.42</v>
      </c>
      <c r="BN29" s="103">
        <v>3.5089999999999999</v>
      </c>
      <c r="BO29" s="103">
        <v>3.4060000000000001</v>
      </c>
      <c r="BP29" s="103">
        <v>3.5139999999999998</v>
      </c>
      <c r="BQ29" s="87">
        <v>2.7541679999999999</v>
      </c>
      <c r="BR29" s="87">
        <v>3.1594009999999999</v>
      </c>
      <c r="BS29" s="87">
        <v>3.679379</v>
      </c>
      <c r="BT29" s="87">
        <v>3.2303760000000001</v>
      </c>
      <c r="BU29" s="87">
        <v>3.2837070000000002</v>
      </c>
      <c r="BV29" s="87">
        <v>3.5450240000000002</v>
      </c>
      <c r="BW29" s="105">
        <v>3.8719999999999999</v>
      </c>
      <c r="BX29" s="105">
        <v>3.8330000000000002</v>
      </c>
      <c r="BY29" s="105">
        <v>3.8119999999999998</v>
      </c>
      <c r="BZ29" s="105">
        <v>3.835</v>
      </c>
      <c r="CA29" s="105">
        <v>3.8330000000000002</v>
      </c>
      <c r="CB29" s="105">
        <v>3.74</v>
      </c>
      <c r="CC29" s="105">
        <v>3.7610000000000001</v>
      </c>
      <c r="CD29" s="105">
        <v>3.9119999999999999</v>
      </c>
      <c r="CE29" s="105">
        <v>3.9329999999999998</v>
      </c>
      <c r="CF29" s="105">
        <v>3.8370000000000002</v>
      </c>
      <c r="CG29" s="105">
        <v>3.9489999999999998</v>
      </c>
      <c r="CH29" s="105">
        <v>3.9580000000000002</v>
      </c>
      <c r="CI29" s="105">
        <v>3.9830000000000001</v>
      </c>
      <c r="CJ29" s="105">
        <v>3.9039999999999999</v>
      </c>
      <c r="CK29" s="105">
        <v>3.8969999999999998</v>
      </c>
      <c r="CL29" s="105">
        <v>3.871</v>
      </c>
      <c r="CM29" s="105">
        <v>3.6989999999999998</v>
      </c>
      <c r="CN29" s="105">
        <v>3.7869999999999999</v>
      </c>
      <c r="CO29" s="105">
        <v>4.1879999999999997</v>
      </c>
      <c r="CP29" s="105">
        <v>3.867</v>
      </c>
      <c r="CQ29" s="105">
        <v>3.9750000000000001</v>
      </c>
      <c r="CR29" s="105">
        <v>4.016</v>
      </c>
      <c r="CS29" s="105">
        <v>4.1239999999999997</v>
      </c>
      <c r="CT29" s="105">
        <v>4.13</v>
      </c>
      <c r="CU29" s="105">
        <v>4.0460000000000003</v>
      </c>
      <c r="CV29" s="105">
        <v>3.5619999999999998</v>
      </c>
      <c r="CW29" s="105">
        <v>3.7949999999999999</v>
      </c>
      <c r="CX29" s="105">
        <v>3.734</v>
      </c>
      <c r="CY29" s="105">
        <v>3.9209999999999998</v>
      </c>
      <c r="CZ29" s="105">
        <v>4.1639999999999997</v>
      </c>
      <c r="DA29" s="105">
        <v>3.9769999999999999</v>
      </c>
      <c r="DB29" s="105">
        <v>2.9510000000000001</v>
      </c>
      <c r="DC29" s="105">
        <v>3.6219999999999999</v>
      </c>
      <c r="DD29" s="105">
        <v>3.5489999999999999</v>
      </c>
      <c r="DE29" s="105">
        <v>3.871</v>
      </c>
      <c r="DF29" s="105">
        <v>3.8380000000000001</v>
      </c>
      <c r="DG29" s="105">
        <v>3.8460000000000001</v>
      </c>
      <c r="DH29" s="115">
        <v>3.247452</v>
      </c>
      <c r="DI29" s="115">
        <v>3.4748399999999999</v>
      </c>
      <c r="DJ29" s="115">
        <v>3.904442</v>
      </c>
      <c r="DK29" s="115">
        <v>3.5622829999999999</v>
      </c>
      <c r="DL29" s="115">
        <v>3.574039</v>
      </c>
      <c r="DM29" s="115">
        <v>3.7859440000000002</v>
      </c>
    </row>
    <row r="30" spans="1:117">
      <c r="A30" s="1">
        <f t="shared" si="4"/>
        <v>28</v>
      </c>
      <c r="B30" s="2"/>
      <c r="C30" s="4">
        <v>14</v>
      </c>
      <c r="D30" s="4">
        <f t="shared" si="1"/>
        <v>1016</v>
      </c>
      <c r="E30" s="4" t="s">
        <v>118</v>
      </c>
      <c r="F30" s="4">
        <v>1</v>
      </c>
      <c r="G30" s="4" t="s">
        <v>11</v>
      </c>
      <c r="H30" s="4" t="s">
        <v>17</v>
      </c>
      <c r="I30" s="4" t="s">
        <v>320</v>
      </c>
      <c r="J30" s="5">
        <v>75.400000000000006</v>
      </c>
      <c r="K30" s="63">
        <v>0.04</v>
      </c>
      <c r="L30" s="99">
        <v>3.4630000000000001</v>
      </c>
      <c r="M30" s="7" t="s">
        <v>113</v>
      </c>
      <c r="N30" s="3" t="s">
        <v>205</v>
      </c>
      <c r="O30" s="6">
        <v>3.6070000000000002</v>
      </c>
      <c r="P30" s="6">
        <v>3.62</v>
      </c>
      <c r="Q30" s="6">
        <v>4.3620000000000001</v>
      </c>
      <c r="R30" s="9"/>
      <c r="S30" s="6">
        <v>3.9420000000000002</v>
      </c>
      <c r="T30" s="6">
        <v>3.7</v>
      </c>
      <c r="U30" s="6">
        <v>3.6850000000000001</v>
      </c>
      <c r="V30" s="6">
        <v>3.5710000000000002</v>
      </c>
      <c r="W30" s="6">
        <v>3.407</v>
      </c>
      <c r="X30" s="9"/>
      <c r="Y30" s="6">
        <v>3.7850000000000001</v>
      </c>
      <c r="Z30" s="6">
        <v>3.8410000000000002</v>
      </c>
      <c r="AA30" s="6">
        <v>3.77</v>
      </c>
      <c r="AB30" s="6">
        <v>3.53</v>
      </c>
      <c r="AC30" s="6">
        <v>3.556</v>
      </c>
      <c r="AD30" s="6">
        <v>3.0720000000000001</v>
      </c>
      <c r="AE30" s="6">
        <f t="shared" si="5"/>
        <v>3.3140000000000001</v>
      </c>
      <c r="AF30" s="103">
        <v>3.343</v>
      </c>
      <c r="AG30" s="103">
        <v>3.3730000000000002</v>
      </c>
      <c r="AH30" s="103">
        <v>3.4550000000000001</v>
      </c>
      <c r="AI30" s="103">
        <v>3.5640000000000001</v>
      </c>
      <c r="AJ30" s="103">
        <v>3.67</v>
      </c>
      <c r="AK30" s="103">
        <v>3.5289999999999999</v>
      </c>
      <c r="AL30" s="103">
        <v>3.5430000000000001</v>
      </c>
      <c r="AM30" s="103">
        <v>3.8610000000000002</v>
      </c>
      <c r="AN30" s="103">
        <v>3.851</v>
      </c>
      <c r="AO30" s="103">
        <v>3.754</v>
      </c>
      <c r="AP30" s="103">
        <v>3.911</v>
      </c>
      <c r="AQ30" s="103">
        <v>3.9380000000000002</v>
      </c>
      <c r="AR30" s="103">
        <v>3.96</v>
      </c>
      <c r="AS30" s="103">
        <v>3.7320000000000002</v>
      </c>
      <c r="AT30" s="103">
        <v>3.7250000000000001</v>
      </c>
      <c r="AU30" s="103">
        <v>3.863</v>
      </c>
      <c r="AV30" s="103">
        <v>3.4820000000000002</v>
      </c>
      <c r="AW30" s="103">
        <v>3.6160000000000001</v>
      </c>
      <c r="AX30" s="103">
        <v>4.2699999999999996</v>
      </c>
      <c r="AY30" s="103">
        <v>3.87</v>
      </c>
      <c r="AZ30" s="60"/>
      <c r="BA30" s="103">
        <v>4.077</v>
      </c>
      <c r="BB30" s="103">
        <v>4.1980000000000004</v>
      </c>
      <c r="BC30" s="103">
        <v>4.1879999999999997</v>
      </c>
      <c r="BD30" s="103">
        <v>4.0819999999999999</v>
      </c>
      <c r="BE30" s="103">
        <v>3.4769999999999999</v>
      </c>
      <c r="BF30" s="103">
        <v>3.7440000000000002</v>
      </c>
      <c r="BG30" s="103">
        <v>3.7669999999999999</v>
      </c>
      <c r="BH30" s="103">
        <v>4.0090000000000003</v>
      </c>
      <c r="BI30" s="103">
        <v>4.2629999999999999</v>
      </c>
      <c r="BJ30" s="103">
        <v>4.077</v>
      </c>
      <c r="BK30" s="103">
        <v>2.98</v>
      </c>
      <c r="BL30" s="103">
        <v>3.6749999999999998</v>
      </c>
      <c r="BM30" s="103">
        <v>3.6019999999999999</v>
      </c>
      <c r="BN30" s="103">
        <v>3.6659999999999999</v>
      </c>
      <c r="BO30" s="103">
        <v>3.5310000000000001</v>
      </c>
      <c r="BP30" s="103">
        <v>3.6869999999999998</v>
      </c>
      <c r="BQ30" s="87">
        <v>2.8955700000000002</v>
      </c>
      <c r="BR30" s="87">
        <v>3.37961</v>
      </c>
      <c r="BS30" s="87">
        <v>3.9507430000000001</v>
      </c>
      <c r="BT30" s="87">
        <v>3.437192</v>
      </c>
      <c r="BU30" s="87">
        <v>3.5175920000000001</v>
      </c>
      <c r="BV30" s="87">
        <v>3.8117190000000001</v>
      </c>
      <c r="BW30" s="105">
        <v>3.4569999999999999</v>
      </c>
      <c r="BX30" s="105">
        <v>3.4910000000000001</v>
      </c>
      <c r="BY30" s="105">
        <v>3.5750000000000002</v>
      </c>
      <c r="BZ30" s="105">
        <v>3.6869999999999998</v>
      </c>
      <c r="CA30" s="105">
        <v>3.794</v>
      </c>
      <c r="CB30" s="105">
        <v>3.653</v>
      </c>
      <c r="CC30" s="105">
        <v>3.6669999999999998</v>
      </c>
      <c r="CD30" s="105">
        <v>3.9929999999999999</v>
      </c>
      <c r="CE30" s="105">
        <v>3.9910000000000001</v>
      </c>
      <c r="CF30" s="105">
        <v>3.8929999999999998</v>
      </c>
      <c r="CG30" s="105">
        <v>4.0620000000000003</v>
      </c>
      <c r="CH30" s="105">
        <v>4.0860000000000003</v>
      </c>
      <c r="CI30" s="105">
        <v>4.1100000000000003</v>
      </c>
      <c r="CJ30" s="105">
        <v>3.8580000000000001</v>
      </c>
      <c r="CK30" s="105">
        <v>3.8540000000000001</v>
      </c>
      <c r="CL30" s="105">
        <v>4.01</v>
      </c>
      <c r="CM30" s="105">
        <v>3.6150000000000002</v>
      </c>
      <c r="CN30" s="105">
        <v>3.746</v>
      </c>
      <c r="CO30" s="105">
        <v>4.4560000000000004</v>
      </c>
      <c r="CP30" s="105">
        <v>4.0209999999999999</v>
      </c>
      <c r="CQ30" s="105">
        <v>4.2009999999999996</v>
      </c>
      <c r="CR30" s="105">
        <v>4.2430000000000003</v>
      </c>
      <c r="CS30" s="105">
        <v>4.3719999999999999</v>
      </c>
      <c r="CT30" s="105">
        <v>4.3650000000000002</v>
      </c>
      <c r="CU30" s="105">
        <v>4.26</v>
      </c>
      <c r="CV30" s="105">
        <v>3.5590000000000002</v>
      </c>
      <c r="CW30" s="105">
        <v>3.85</v>
      </c>
      <c r="CX30" s="105">
        <v>3.8530000000000002</v>
      </c>
      <c r="CY30" s="105">
        <v>4.13</v>
      </c>
      <c r="CZ30" s="105">
        <v>4.4139999999999997</v>
      </c>
      <c r="DA30" s="105">
        <v>4.1920000000000002</v>
      </c>
      <c r="DB30" s="105">
        <v>2.9620000000000002</v>
      </c>
      <c r="DC30" s="105">
        <v>3.762</v>
      </c>
      <c r="DD30" s="105">
        <v>3.6819999999999999</v>
      </c>
      <c r="DE30" s="105">
        <v>3.798</v>
      </c>
      <c r="DF30" s="105">
        <v>3.6549999999999998</v>
      </c>
      <c r="DG30" s="105">
        <v>3.8180000000000001</v>
      </c>
      <c r="DH30" s="115">
        <v>3.0444520000000002</v>
      </c>
      <c r="DI30" s="115">
        <v>3.5311849999999998</v>
      </c>
      <c r="DJ30" s="115">
        <v>4.110074</v>
      </c>
      <c r="DK30" s="115">
        <v>3.5811350000000002</v>
      </c>
      <c r="DL30" s="115">
        <v>3.6697679999999999</v>
      </c>
      <c r="DM30" s="115">
        <v>3.9732699999999999</v>
      </c>
    </row>
    <row r="31" spans="1:117">
      <c r="A31" s="1">
        <f t="shared" si="4"/>
        <v>29</v>
      </c>
      <c r="B31" s="2"/>
      <c r="C31" s="4">
        <v>14</v>
      </c>
      <c r="D31" s="4">
        <f t="shared" si="1"/>
        <v>1016</v>
      </c>
      <c r="E31" s="4" t="s">
        <v>128</v>
      </c>
      <c r="F31" s="4">
        <v>1</v>
      </c>
      <c r="G31" s="4" t="s">
        <v>11</v>
      </c>
      <c r="H31" s="4" t="s">
        <v>12</v>
      </c>
      <c r="I31" s="4"/>
      <c r="J31" s="5">
        <v>88.8</v>
      </c>
      <c r="K31" s="63">
        <v>2E-3</v>
      </c>
      <c r="L31" s="99">
        <v>3.8809999999999998</v>
      </c>
      <c r="M31" s="7" t="s">
        <v>113</v>
      </c>
      <c r="N31" s="3" t="s">
        <v>205</v>
      </c>
      <c r="O31" s="6">
        <v>4.1589999999999998</v>
      </c>
      <c r="P31" s="6">
        <v>3.8250000000000002</v>
      </c>
      <c r="Q31" s="6">
        <v>4.4930000000000003</v>
      </c>
      <c r="R31" s="9"/>
      <c r="S31" s="6">
        <v>4.0780000000000003</v>
      </c>
      <c r="T31" s="6">
        <v>3.9849999999999999</v>
      </c>
      <c r="U31" s="6">
        <v>3.9830000000000001</v>
      </c>
      <c r="V31" s="6">
        <v>3.9449999999999998</v>
      </c>
      <c r="W31" s="6">
        <v>3.875</v>
      </c>
      <c r="X31" s="9"/>
      <c r="Y31" s="6">
        <v>4.2439999999999998</v>
      </c>
      <c r="Z31" s="6">
        <v>4.2160000000000002</v>
      </c>
      <c r="AA31" s="6">
        <v>4.0880000000000001</v>
      </c>
      <c r="AB31" s="6">
        <v>4.0039999999999996</v>
      </c>
      <c r="AC31" s="6">
        <v>3.8439999999999999</v>
      </c>
      <c r="AD31" s="6">
        <v>3.8919999999999999</v>
      </c>
      <c r="AE31" s="6">
        <f t="shared" si="5"/>
        <v>3.8679999999999999</v>
      </c>
      <c r="AF31" s="103">
        <v>3.54</v>
      </c>
      <c r="AG31" s="103">
        <v>3.53</v>
      </c>
      <c r="AH31" s="103">
        <v>3.6120000000000001</v>
      </c>
      <c r="AI31" s="103">
        <v>3.665</v>
      </c>
      <c r="AJ31" s="103">
        <v>3.7610000000000001</v>
      </c>
      <c r="AK31" s="103">
        <v>3.548</v>
      </c>
      <c r="AL31" s="103">
        <v>3.5720000000000001</v>
      </c>
      <c r="AM31" s="103">
        <v>3.9649999999999999</v>
      </c>
      <c r="AN31" s="103">
        <v>3.75</v>
      </c>
      <c r="AO31" s="103">
        <v>3.556</v>
      </c>
      <c r="AP31" s="103">
        <v>3.7349999999999999</v>
      </c>
      <c r="AQ31" s="103">
        <v>3.6789999999999998</v>
      </c>
      <c r="AR31" s="103">
        <v>3.8969999999999998</v>
      </c>
      <c r="AS31" s="103">
        <v>3.7330000000000001</v>
      </c>
      <c r="AT31" s="103">
        <v>3.7090000000000001</v>
      </c>
      <c r="AU31" s="103">
        <v>3.835</v>
      </c>
      <c r="AV31" s="103">
        <v>3.4630000000000001</v>
      </c>
      <c r="AW31" s="103">
        <v>3.7069999999999999</v>
      </c>
      <c r="AX31" s="103">
        <v>4.1959999999999997</v>
      </c>
      <c r="AY31" s="103">
        <v>3.7789999999999999</v>
      </c>
      <c r="AZ31" s="60"/>
      <c r="BA31" s="103">
        <v>3.9049999999999998</v>
      </c>
      <c r="BB31" s="103">
        <v>3.9790000000000001</v>
      </c>
      <c r="BC31" s="103">
        <v>3.9169999999999998</v>
      </c>
      <c r="BD31" s="103">
        <v>3.617</v>
      </c>
      <c r="BE31" s="103">
        <v>3.7280000000000002</v>
      </c>
      <c r="BF31" s="103">
        <v>3.8639999999999999</v>
      </c>
      <c r="BG31" s="103">
        <v>3.9489999999999998</v>
      </c>
      <c r="BH31" s="103">
        <v>3.9940000000000002</v>
      </c>
      <c r="BI31" s="103">
        <v>4.1050000000000004</v>
      </c>
      <c r="BJ31" s="103">
        <v>4.0780000000000003</v>
      </c>
      <c r="BK31" s="103">
        <v>3.3889999999999998</v>
      </c>
      <c r="BL31" s="103">
        <v>3.8759999999999999</v>
      </c>
      <c r="BM31" s="103">
        <v>3.8519999999999999</v>
      </c>
      <c r="BN31" s="103">
        <v>3.8050000000000002</v>
      </c>
      <c r="BO31" s="103">
        <v>3.706</v>
      </c>
      <c r="BP31" s="103">
        <v>3.843</v>
      </c>
      <c r="BQ31" s="87">
        <v>3.26023</v>
      </c>
      <c r="BR31" s="87">
        <v>3.6260409999999998</v>
      </c>
      <c r="BS31" s="87">
        <v>4.5017189999999996</v>
      </c>
      <c r="BT31" s="87">
        <v>3.6662680000000001</v>
      </c>
      <c r="BU31" s="87">
        <v>3.739557</v>
      </c>
      <c r="BV31" s="87">
        <v>4.2865489999999999</v>
      </c>
      <c r="BW31" s="105">
        <v>3.5720000000000001</v>
      </c>
      <c r="BX31" s="105">
        <v>3.569</v>
      </c>
      <c r="BY31" s="105">
        <v>3.6549999999999998</v>
      </c>
      <c r="BZ31" s="105">
        <v>3.714</v>
      </c>
      <c r="CA31" s="105">
        <v>3.8220000000000001</v>
      </c>
      <c r="CB31" s="105">
        <v>3.6030000000000002</v>
      </c>
      <c r="CC31" s="105">
        <v>3.6259999999999999</v>
      </c>
      <c r="CD31" s="105">
        <v>4.0270000000000001</v>
      </c>
      <c r="CE31" s="105">
        <v>3.827</v>
      </c>
      <c r="CF31" s="105">
        <v>3.6459999999999999</v>
      </c>
      <c r="CG31" s="105">
        <v>3.8460000000000001</v>
      </c>
      <c r="CH31" s="105">
        <v>3.79</v>
      </c>
      <c r="CI31" s="105">
        <v>3.9649999999999999</v>
      </c>
      <c r="CJ31" s="105">
        <v>3.7890000000000001</v>
      </c>
      <c r="CK31" s="105">
        <v>3.7690000000000001</v>
      </c>
      <c r="CL31" s="105">
        <v>3.8959999999999999</v>
      </c>
      <c r="CM31" s="105">
        <v>3.5070000000000001</v>
      </c>
      <c r="CN31" s="105">
        <v>3.7559999999999998</v>
      </c>
      <c r="CO31" s="105">
        <v>4.2779999999999996</v>
      </c>
      <c r="CP31" s="105">
        <v>3.84</v>
      </c>
      <c r="CQ31" s="105">
        <v>3.9580000000000002</v>
      </c>
      <c r="CR31" s="105">
        <v>3.976</v>
      </c>
      <c r="CS31" s="105">
        <v>4.056</v>
      </c>
      <c r="CT31" s="105">
        <v>3.9969999999999999</v>
      </c>
      <c r="CU31" s="105">
        <v>3.7519999999999998</v>
      </c>
      <c r="CV31" s="105">
        <v>3.7850000000000001</v>
      </c>
      <c r="CW31" s="105">
        <v>3.93</v>
      </c>
      <c r="CX31" s="105">
        <v>4.0339999999999998</v>
      </c>
      <c r="CY31" s="105">
        <v>4.0839999999999996</v>
      </c>
      <c r="CZ31" s="105">
        <v>4.2069999999999999</v>
      </c>
      <c r="DA31" s="105">
        <v>4.1849999999999996</v>
      </c>
      <c r="DB31" s="105">
        <v>3.4359999999999999</v>
      </c>
      <c r="DC31" s="105">
        <v>3.96</v>
      </c>
      <c r="DD31" s="105">
        <v>3.9369999999999998</v>
      </c>
      <c r="DE31" s="105">
        <v>3.8530000000000002</v>
      </c>
      <c r="DF31" s="105">
        <v>3.7480000000000002</v>
      </c>
      <c r="DG31" s="105">
        <v>3.8929999999999998</v>
      </c>
      <c r="DH31" s="115">
        <v>3.3253759999999999</v>
      </c>
      <c r="DI31" s="115">
        <v>3.6909000000000001</v>
      </c>
      <c r="DJ31" s="115">
        <v>4.550916</v>
      </c>
      <c r="DK31" s="115">
        <v>3.7332909999999999</v>
      </c>
      <c r="DL31" s="115">
        <v>3.8052190000000001</v>
      </c>
      <c r="DM31" s="115">
        <v>4.3348550000000001</v>
      </c>
    </row>
    <row r="32" spans="1:117">
      <c r="A32" s="1">
        <f t="shared" si="4"/>
        <v>30</v>
      </c>
      <c r="B32" s="2"/>
      <c r="C32" s="4">
        <v>14</v>
      </c>
      <c r="D32" s="4">
        <f t="shared" si="1"/>
        <v>1016</v>
      </c>
      <c r="E32" s="4" t="s">
        <v>142</v>
      </c>
      <c r="F32" s="4">
        <v>3</v>
      </c>
      <c r="G32" s="4" t="s">
        <v>11</v>
      </c>
      <c r="H32" s="4" t="s">
        <v>17</v>
      </c>
      <c r="I32" s="4"/>
      <c r="J32" s="5">
        <v>97.5</v>
      </c>
      <c r="K32" s="68"/>
      <c r="L32" s="99">
        <v>1.329</v>
      </c>
      <c r="M32" s="7" t="s">
        <v>260</v>
      </c>
      <c r="N32" s="3" t="s">
        <v>205</v>
      </c>
      <c r="O32" s="6">
        <v>1.627</v>
      </c>
      <c r="P32" s="6">
        <v>1.5189999999999999</v>
      </c>
      <c r="Q32" s="6">
        <v>1.8169999999999999</v>
      </c>
      <c r="R32" s="9"/>
      <c r="S32" s="6">
        <v>1.198</v>
      </c>
      <c r="T32" s="9"/>
      <c r="U32" s="9"/>
      <c r="V32" s="9"/>
      <c r="W32" s="9"/>
      <c r="X32" s="9"/>
      <c r="Y32" s="6">
        <v>1.508</v>
      </c>
      <c r="Z32" s="6">
        <v>1.5209999999999999</v>
      </c>
      <c r="AA32" s="6">
        <v>1.52</v>
      </c>
      <c r="AB32" s="6">
        <v>1.327</v>
      </c>
      <c r="AC32" s="6">
        <v>1.486</v>
      </c>
      <c r="AD32" s="6">
        <v>0.86699999999999999</v>
      </c>
      <c r="AE32" s="6">
        <f t="shared" si="5"/>
        <v>1.1764999999999999</v>
      </c>
      <c r="AF32" s="103">
        <v>1.131</v>
      </c>
      <c r="AG32" s="103">
        <v>1.1439999999999999</v>
      </c>
      <c r="AH32" s="103">
        <v>1.0629999999999999</v>
      </c>
      <c r="AI32" s="103">
        <v>0.876</v>
      </c>
      <c r="AJ32" s="60"/>
      <c r="AK32" s="103">
        <v>0.92400000000000004</v>
      </c>
      <c r="AL32" s="103">
        <v>0.92900000000000005</v>
      </c>
      <c r="AM32" s="103">
        <v>0.69499999999999995</v>
      </c>
      <c r="AN32" s="103">
        <v>0.88200000000000001</v>
      </c>
      <c r="AO32" s="103">
        <v>0.84899999999999998</v>
      </c>
      <c r="AP32" s="103">
        <v>0.88300000000000001</v>
      </c>
      <c r="AQ32" s="103">
        <v>0.77400000000000002</v>
      </c>
      <c r="AR32" s="103">
        <v>0.78200000000000003</v>
      </c>
      <c r="AS32" s="103">
        <v>1.032</v>
      </c>
      <c r="AT32" s="103">
        <v>1.028</v>
      </c>
      <c r="AU32" s="60"/>
      <c r="AV32" s="103">
        <v>0.97599999999999998</v>
      </c>
      <c r="AW32" s="103">
        <v>0.81100000000000005</v>
      </c>
      <c r="AX32" s="60"/>
      <c r="AY32" s="60"/>
      <c r="AZ32" s="60"/>
      <c r="BA32" s="60"/>
      <c r="BB32" s="60"/>
      <c r="BC32" s="60"/>
      <c r="BD32" s="60"/>
      <c r="BE32" s="60"/>
      <c r="BF32" s="60"/>
      <c r="BG32" s="60"/>
      <c r="BH32" s="60"/>
      <c r="BI32" s="60"/>
      <c r="BJ32" s="60"/>
      <c r="BK32" s="60"/>
      <c r="BL32" s="60"/>
      <c r="BM32" s="60"/>
      <c r="BN32" s="103">
        <v>1.0880000000000001</v>
      </c>
      <c r="BO32" s="103">
        <v>1.0109999999999999</v>
      </c>
      <c r="BP32" s="103">
        <v>1.0189999999999999</v>
      </c>
      <c r="BQ32" s="87">
        <v>0.29555799999999999</v>
      </c>
      <c r="BR32" s="87">
        <v>0.31548199999999998</v>
      </c>
      <c r="BS32" s="87">
        <v>0.662775</v>
      </c>
      <c r="BT32" s="110"/>
      <c r="BU32" s="87">
        <v>0.17263000000000001</v>
      </c>
      <c r="BV32" s="87">
        <v>0.671987</v>
      </c>
      <c r="BW32" s="105">
        <v>1.327</v>
      </c>
      <c r="BX32" s="105">
        <v>1.323</v>
      </c>
      <c r="BY32" s="105">
        <v>1.284</v>
      </c>
      <c r="BZ32" s="105">
        <v>1.222</v>
      </c>
      <c r="CA32" s="105">
        <v>0.97299999999999998</v>
      </c>
      <c r="CB32" s="105">
        <v>1.2270000000000001</v>
      </c>
      <c r="CC32" s="105">
        <v>1.2390000000000001</v>
      </c>
      <c r="CD32" s="105">
        <v>1.2</v>
      </c>
      <c r="CE32" s="105">
        <v>1.262</v>
      </c>
      <c r="CF32" s="105">
        <v>1.2190000000000001</v>
      </c>
      <c r="CG32" s="105">
        <v>1.262</v>
      </c>
      <c r="CH32" s="105">
        <v>1.2150000000000001</v>
      </c>
      <c r="CI32" s="105">
        <v>1.2370000000000001</v>
      </c>
      <c r="CJ32" s="105">
        <v>1.3120000000000001</v>
      </c>
      <c r="CK32" s="105">
        <v>1.3049999999999999</v>
      </c>
      <c r="CL32" s="105">
        <v>1.0940000000000001</v>
      </c>
      <c r="CM32" s="105">
        <v>1.248</v>
      </c>
      <c r="CN32" s="105">
        <v>1.2</v>
      </c>
      <c r="CO32" s="105">
        <v>0.86699999999999999</v>
      </c>
      <c r="CP32" s="105">
        <v>1.1160000000000001</v>
      </c>
      <c r="CQ32" s="105">
        <v>1.091</v>
      </c>
      <c r="CR32" s="105">
        <v>1.018</v>
      </c>
      <c r="CS32" s="105">
        <v>0.95899999999999996</v>
      </c>
      <c r="CT32" s="105">
        <v>0.9</v>
      </c>
      <c r="CU32" s="105">
        <v>1.0760000000000001</v>
      </c>
      <c r="CV32" s="105">
        <v>1.391</v>
      </c>
      <c r="CW32" s="105">
        <v>1.2110000000000001</v>
      </c>
      <c r="CX32" s="105">
        <v>1.2969999999999999</v>
      </c>
      <c r="CY32" s="105">
        <v>1.1719999999999999</v>
      </c>
      <c r="CZ32" s="105">
        <v>1.0029999999999999</v>
      </c>
      <c r="DA32" s="105">
        <v>1.169</v>
      </c>
      <c r="DB32" s="105">
        <v>1.867</v>
      </c>
      <c r="DC32" s="105">
        <v>1.1910000000000001</v>
      </c>
      <c r="DD32" s="105">
        <v>1.1779999999999999</v>
      </c>
      <c r="DE32" s="105">
        <v>1.3120000000000001</v>
      </c>
      <c r="DF32" s="105">
        <v>1.268</v>
      </c>
      <c r="DG32" s="105">
        <v>1.286</v>
      </c>
      <c r="DH32" s="115">
        <v>0.62246000000000001</v>
      </c>
      <c r="DI32" s="115">
        <v>0.76734400000000003</v>
      </c>
      <c r="DJ32" s="115">
        <v>1.0558810000000001</v>
      </c>
      <c r="DK32" s="115">
        <v>0.72642399999999996</v>
      </c>
      <c r="DL32" s="115">
        <v>0.793458</v>
      </c>
      <c r="DM32" s="115">
        <v>1.042502</v>
      </c>
    </row>
    <row r="33" spans="1:117">
      <c r="A33" s="1">
        <f t="shared" si="4"/>
        <v>31</v>
      </c>
      <c r="B33" s="2"/>
      <c r="C33" s="4">
        <v>14</v>
      </c>
      <c r="D33" s="4">
        <f t="shared" si="1"/>
        <v>1016</v>
      </c>
      <c r="E33" s="4" t="s">
        <v>142</v>
      </c>
      <c r="F33" s="4">
        <v>3</v>
      </c>
      <c r="G33" s="4" t="s">
        <v>11</v>
      </c>
      <c r="H33" s="4" t="s">
        <v>17</v>
      </c>
      <c r="I33" s="4"/>
      <c r="J33" s="5">
        <v>95.5</v>
      </c>
      <c r="K33" s="68"/>
      <c r="L33" s="99">
        <v>2.7240000000000002</v>
      </c>
      <c r="M33" s="7" t="s">
        <v>260</v>
      </c>
      <c r="N33" s="3" t="s">
        <v>205</v>
      </c>
      <c r="O33" s="6">
        <v>3.13</v>
      </c>
      <c r="P33" s="6">
        <v>2.8860000000000001</v>
      </c>
      <c r="Q33" s="6">
        <v>3.3410000000000002</v>
      </c>
      <c r="R33" s="9"/>
      <c r="S33" s="6">
        <v>2.887</v>
      </c>
      <c r="T33" s="9"/>
      <c r="U33" s="9"/>
      <c r="V33" s="9"/>
      <c r="W33" s="9"/>
      <c r="X33" s="9"/>
      <c r="Y33" s="6">
        <v>3.069</v>
      </c>
      <c r="Z33" s="6">
        <v>3.1160000000000001</v>
      </c>
      <c r="AA33" s="6">
        <v>3.0409999999999999</v>
      </c>
      <c r="AB33" s="6">
        <v>2.8559999999999999</v>
      </c>
      <c r="AC33" s="6">
        <v>2.8290000000000002</v>
      </c>
      <c r="AD33" s="6">
        <v>2.5270000000000001</v>
      </c>
      <c r="AE33" s="6">
        <f t="shared" si="5"/>
        <v>2.6779999999999999</v>
      </c>
      <c r="AF33" s="103">
        <v>2.347</v>
      </c>
      <c r="AG33" s="103">
        <v>2.407</v>
      </c>
      <c r="AH33" s="103">
        <v>2.44</v>
      </c>
      <c r="AI33" s="103">
        <v>2.4369999999999998</v>
      </c>
      <c r="AJ33" s="60"/>
      <c r="AK33" s="103">
        <v>2.5099999999999998</v>
      </c>
      <c r="AL33" s="103">
        <v>2.5259999999999998</v>
      </c>
      <c r="AM33" s="103">
        <v>2.6640000000000001</v>
      </c>
      <c r="AN33" s="103">
        <v>2.7189999999999999</v>
      </c>
      <c r="AO33" s="103">
        <v>2.6640000000000001</v>
      </c>
      <c r="AP33" s="103">
        <v>2.8180000000000001</v>
      </c>
      <c r="AQ33" s="103">
        <v>2.8260000000000001</v>
      </c>
      <c r="AR33" s="103">
        <v>2.8490000000000002</v>
      </c>
      <c r="AS33" s="103">
        <v>2.661</v>
      </c>
      <c r="AT33" s="103">
        <v>2.6539999999999999</v>
      </c>
      <c r="AU33" s="60"/>
      <c r="AV33" s="103">
        <v>2.4910000000000001</v>
      </c>
      <c r="AW33" s="103">
        <v>2.4969999999999999</v>
      </c>
      <c r="AX33" s="60"/>
      <c r="AY33" s="60"/>
      <c r="AZ33" s="60"/>
      <c r="BA33" s="60"/>
      <c r="BB33" s="60"/>
      <c r="BC33" s="60"/>
      <c r="BD33" s="60"/>
      <c r="BE33" s="60"/>
      <c r="BF33" s="60"/>
      <c r="BG33" s="60"/>
      <c r="BH33" s="60"/>
      <c r="BI33" s="60"/>
      <c r="BJ33" s="60"/>
      <c r="BK33" s="60"/>
      <c r="BL33" s="60"/>
      <c r="BM33" s="60"/>
      <c r="BN33" s="103">
        <v>2.673</v>
      </c>
      <c r="BO33" s="103">
        <v>2.4790000000000001</v>
      </c>
      <c r="BP33" s="103">
        <v>2.6579999999999999</v>
      </c>
      <c r="BQ33" s="87">
        <v>1.926334</v>
      </c>
      <c r="BR33" s="87">
        <v>2.2485870000000001</v>
      </c>
      <c r="BS33" s="87">
        <v>2.7310539999999999</v>
      </c>
      <c r="BT33" s="87">
        <v>2.2832469999999998</v>
      </c>
      <c r="BU33" s="87">
        <v>2.3365079999999998</v>
      </c>
      <c r="BV33" s="87">
        <v>2.6273270000000002</v>
      </c>
      <c r="BW33" s="105">
        <v>2.464</v>
      </c>
      <c r="BX33" s="105">
        <v>2.5049999999999999</v>
      </c>
      <c r="BY33" s="105">
        <v>2.5449999999999999</v>
      </c>
      <c r="BZ33" s="105">
        <v>2.5790000000000002</v>
      </c>
      <c r="CA33" s="105">
        <v>2.4329999999999998</v>
      </c>
      <c r="CB33" s="105">
        <v>2.629</v>
      </c>
      <c r="CC33" s="105">
        <v>2.6469999999999998</v>
      </c>
      <c r="CD33" s="105">
        <v>2.8140000000000001</v>
      </c>
      <c r="CE33" s="105">
        <v>2.8340000000000001</v>
      </c>
      <c r="CF33" s="105">
        <v>2.7690000000000001</v>
      </c>
      <c r="CG33" s="105">
        <v>2.9129999999999998</v>
      </c>
      <c r="CH33" s="105">
        <v>2.9209999999999998</v>
      </c>
      <c r="CI33" s="105">
        <v>2.95</v>
      </c>
      <c r="CJ33" s="105">
        <v>2.7719999999999998</v>
      </c>
      <c r="CK33" s="105">
        <v>2.7639999999999998</v>
      </c>
      <c r="CL33" s="105">
        <v>2.758</v>
      </c>
      <c r="CM33" s="105">
        <v>2.5710000000000002</v>
      </c>
      <c r="CN33" s="105">
        <v>2.6269999999999998</v>
      </c>
      <c r="CO33" s="105">
        <v>2.9020000000000001</v>
      </c>
      <c r="CP33" s="105">
        <v>2.79</v>
      </c>
      <c r="CQ33" s="105">
        <v>2.9350000000000001</v>
      </c>
      <c r="CR33" s="105">
        <v>2.8959999999999999</v>
      </c>
      <c r="CS33" s="105">
        <v>2.9649999999999999</v>
      </c>
      <c r="CT33" s="105">
        <v>2.8919999999999999</v>
      </c>
      <c r="CU33" s="105">
        <v>2.9220000000000002</v>
      </c>
      <c r="CV33" s="105">
        <v>2.7240000000000002</v>
      </c>
      <c r="CW33" s="105">
        <v>2.7490000000000001</v>
      </c>
      <c r="CX33" s="105">
        <v>2.8769999999999998</v>
      </c>
      <c r="CY33" s="105">
        <v>2.9590000000000001</v>
      </c>
      <c r="CZ33" s="105">
        <v>2.9910000000000001</v>
      </c>
      <c r="DA33" s="105">
        <v>3.0059999999999998</v>
      </c>
      <c r="DB33" s="105">
        <v>2.88</v>
      </c>
      <c r="DC33" s="105">
        <v>2.8490000000000002</v>
      </c>
      <c r="DD33" s="105">
        <v>2.8319999999999999</v>
      </c>
      <c r="DE33" s="105">
        <v>2.7519999999999998</v>
      </c>
      <c r="DF33" s="105">
        <v>2.5910000000000002</v>
      </c>
      <c r="DG33" s="105">
        <v>2.7469999999999999</v>
      </c>
      <c r="DH33" s="115">
        <v>2.008086</v>
      </c>
      <c r="DI33" s="115">
        <v>2.3509850000000001</v>
      </c>
      <c r="DJ33" s="115">
        <v>2.8283670000000001</v>
      </c>
      <c r="DK33" s="115">
        <v>2.398873</v>
      </c>
      <c r="DL33" s="115">
        <v>2.4490050000000001</v>
      </c>
      <c r="DM33" s="115">
        <v>2.7785790000000001</v>
      </c>
    </row>
    <row r="34" spans="1:117">
      <c r="A34" s="1">
        <f t="shared" si="4"/>
        <v>32</v>
      </c>
      <c r="B34" s="2"/>
      <c r="C34" s="4">
        <v>14</v>
      </c>
      <c r="D34" s="4">
        <f t="shared" si="1"/>
        <v>1016</v>
      </c>
      <c r="E34" s="4" t="s">
        <v>143</v>
      </c>
      <c r="F34" s="4">
        <v>3</v>
      </c>
      <c r="G34" s="4" t="s">
        <v>11</v>
      </c>
      <c r="H34" s="4" t="s">
        <v>17</v>
      </c>
      <c r="I34" s="4"/>
      <c r="J34" s="5">
        <v>95.3</v>
      </c>
      <c r="K34" s="68"/>
      <c r="L34" s="99">
        <v>3.0270000000000001</v>
      </c>
      <c r="M34" s="7" t="s">
        <v>260</v>
      </c>
      <c r="N34" s="3" t="s">
        <v>205</v>
      </c>
      <c r="O34" s="6">
        <v>3.4409999999999998</v>
      </c>
      <c r="P34" s="6">
        <v>3.1560000000000001</v>
      </c>
      <c r="Q34" s="6">
        <v>3.5990000000000002</v>
      </c>
      <c r="R34" s="9"/>
      <c r="S34" s="6">
        <v>3.1579999999999999</v>
      </c>
      <c r="T34" s="9"/>
      <c r="U34" s="9"/>
      <c r="V34" s="9"/>
      <c r="W34" s="9"/>
      <c r="X34" s="9"/>
      <c r="Y34" s="6">
        <v>3.3140000000000001</v>
      </c>
      <c r="Z34" s="6">
        <v>3.3570000000000002</v>
      </c>
      <c r="AA34" s="6">
        <v>3.2930000000000001</v>
      </c>
      <c r="AB34" s="6">
        <v>3.1040000000000001</v>
      </c>
      <c r="AC34" s="6">
        <v>3.0979999999999999</v>
      </c>
      <c r="AD34" s="6">
        <v>2.774</v>
      </c>
      <c r="AE34" s="6">
        <f t="shared" si="5"/>
        <v>2.9359999999999999</v>
      </c>
      <c r="AF34" s="103">
        <v>2.5670000000000002</v>
      </c>
      <c r="AG34" s="103">
        <v>2.6320000000000001</v>
      </c>
      <c r="AH34" s="103">
        <v>2.6709999999999998</v>
      </c>
      <c r="AI34" s="103">
        <v>2.6709999999999998</v>
      </c>
      <c r="AJ34" s="60"/>
      <c r="AK34" s="103">
        <v>2.7290000000000001</v>
      </c>
      <c r="AL34" s="103">
        <v>2.742</v>
      </c>
      <c r="AM34" s="103">
        <v>2.9180000000000001</v>
      </c>
      <c r="AN34" s="103">
        <v>2.976</v>
      </c>
      <c r="AO34" s="103">
        <v>2.92</v>
      </c>
      <c r="AP34" s="103">
        <v>3.073</v>
      </c>
      <c r="AQ34" s="103">
        <v>3.0830000000000002</v>
      </c>
      <c r="AR34" s="103">
        <v>3.1059999999999999</v>
      </c>
      <c r="AS34" s="103">
        <v>2.9089999999999998</v>
      </c>
      <c r="AT34" s="103">
        <v>2.903</v>
      </c>
      <c r="AU34" s="60"/>
      <c r="AV34" s="103">
        <v>2.726</v>
      </c>
      <c r="AW34" s="103">
        <v>2.734</v>
      </c>
      <c r="AX34" s="60"/>
      <c r="AY34" s="60"/>
      <c r="AZ34" s="60"/>
      <c r="BA34" s="60"/>
      <c r="BB34" s="60"/>
      <c r="BC34" s="60"/>
      <c r="BD34" s="60"/>
      <c r="BE34" s="60"/>
      <c r="BF34" s="60"/>
      <c r="BG34" s="60"/>
      <c r="BH34" s="60"/>
      <c r="BI34" s="60"/>
      <c r="BJ34" s="60"/>
      <c r="BK34" s="60"/>
      <c r="BL34" s="60"/>
      <c r="BM34" s="60"/>
      <c r="BN34" s="103">
        <v>2.9159999999999999</v>
      </c>
      <c r="BO34" s="103">
        <v>2.7160000000000002</v>
      </c>
      <c r="BP34" s="103">
        <v>2.9049999999999998</v>
      </c>
      <c r="BQ34" s="87">
        <v>2.1253639999999998</v>
      </c>
      <c r="BR34" s="87">
        <v>2.4927779999999999</v>
      </c>
      <c r="BS34" s="87">
        <v>2.9830830000000002</v>
      </c>
      <c r="BT34" s="87">
        <v>2.540988</v>
      </c>
      <c r="BU34" s="87">
        <v>2.5928170000000001</v>
      </c>
      <c r="BV34" s="87">
        <v>2.877786</v>
      </c>
      <c r="BW34" s="105">
        <v>2.6779999999999999</v>
      </c>
      <c r="BX34" s="105">
        <v>2.7240000000000002</v>
      </c>
      <c r="BY34" s="105">
        <v>2.7690000000000001</v>
      </c>
      <c r="BZ34" s="105">
        <v>2.8069999999999999</v>
      </c>
      <c r="CA34" s="105">
        <v>2.65</v>
      </c>
      <c r="CB34" s="105">
        <v>2.8439999999999999</v>
      </c>
      <c r="CC34" s="105">
        <v>2.8620000000000001</v>
      </c>
      <c r="CD34" s="105">
        <v>3.06</v>
      </c>
      <c r="CE34" s="105">
        <v>3.0830000000000002</v>
      </c>
      <c r="CF34" s="105">
        <v>3.0179999999999998</v>
      </c>
      <c r="CG34" s="105">
        <v>3.16</v>
      </c>
      <c r="CH34" s="105">
        <v>3.17</v>
      </c>
      <c r="CI34" s="105">
        <v>3.198</v>
      </c>
      <c r="CJ34" s="105">
        <v>3.0139999999999998</v>
      </c>
      <c r="CK34" s="105">
        <v>3.0059999999999998</v>
      </c>
      <c r="CL34" s="105">
        <v>2.9990000000000001</v>
      </c>
      <c r="CM34" s="105">
        <v>2.8010000000000002</v>
      </c>
      <c r="CN34" s="105">
        <v>2.8580000000000001</v>
      </c>
      <c r="CO34" s="105">
        <v>3.1219999999999999</v>
      </c>
      <c r="CP34" s="105">
        <v>3.028</v>
      </c>
      <c r="CQ34" s="105">
        <v>3.1850000000000001</v>
      </c>
      <c r="CR34" s="105">
        <v>3.137</v>
      </c>
      <c r="CS34" s="105">
        <v>3.2050000000000001</v>
      </c>
      <c r="CT34" s="105">
        <v>3.121</v>
      </c>
      <c r="CU34" s="105">
        <v>3.157</v>
      </c>
      <c r="CV34" s="105">
        <v>2.976</v>
      </c>
      <c r="CW34" s="105">
        <v>2.9929999999999999</v>
      </c>
      <c r="CX34" s="105">
        <v>3.137</v>
      </c>
      <c r="CY34" s="105">
        <v>3.22</v>
      </c>
      <c r="CZ34" s="105">
        <v>3.24</v>
      </c>
      <c r="DA34" s="105">
        <v>3.2669999999999999</v>
      </c>
      <c r="DB34" s="105">
        <v>3.1829999999999998</v>
      </c>
      <c r="DC34" s="105">
        <v>3.1030000000000002</v>
      </c>
      <c r="DD34" s="105">
        <v>3.089</v>
      </c>
      <c r="DE34" s="105">
        <v>2.988</v>
      </c>
      <c r="DF34" s="105">
        <v>2.8210000000000002</v>
      </c>
      <c r="DG34" s="105">
        <v>2.988</v>
      </c>
      <c r="DH34" s="115">
        <v>2.2003089999999998</v>
      </c>
      <c r="DI34" s="115">
        <v>2.5882309999999999</v>
      </c>
      <c r="DJ34" s="115">
        <v>3.0747620000000002</v>
      </c>
      <c r="DK34" s="115">
        <v>2.6466349999999998</v>
      </c>
      <c r="DL34" s="115">
        <v>2.697514</v>
      </c>
      <c r="DM34" s="115">
        <v>3.0299969999999998</v>
      </c>
    </row>
    <row r="35" spans="1:117">
      <c r="A35" s="1">
        <f t="shared" si="4"/>
        <v>33</v>
      </c>
      <c r="B35" s="2"/>
      <c r="C35" s="4">
        <v>14</v>
      </c>
      <c r="D35" s="4">
        <f t="shared" si="1"/>
        <v>1016</v>
      </c>
      <c r="E35" s="4" t="s">
        <v>129</v>
      </c>
      <c r="F35" s="4">
        <v>3</v>
      </c>
      <c r="G35" s="4" t="s">
        <v>11</v>
      </c>
      <c r="H35" s="4" t="s">
        <v>12</v>
      </c>
      <c r="I35" s="4"/>
      <c r="J35" s="5">
        <v>96.8</v>
      </c>
      <c r="K35" s="68"/>
      <c r="L35" s="99">
        <v>3.4350000000000001</v>
      </c>
      <c r="M35" s="7" t="s">
        <v>260</v>
      </c>
      <c r="N35" s="3" t="s">
        <v>205</v>
      </c>
      <c r="O35" s="6">
        <v>3.7120000000000002</v>
      </c>
      <c r="P35" s="6">
        <v>3.3860000000000001</v>
      </c>
      <c r="Q35" s="6">
        <v>3.8679999999999999</v>
      </c>
      <c r="R35" s="9"/>
      <c r="S35" s="6">
        <v>3.496</v>
      </c>
      <c r="T35" s="9"/>
      <c r="U35" s="9"/>
      <c r="V35" s="9"/>
      <c r="W35" s="9"/>
      <c r="X35" s="9"/>
      <c r="Y35" s="6">
        <v>3.7690000000000001</v>
      </c>
      <c r="Z35" s="6">
        <v>3.7749999999999999</v>
      </c>
      <c r="AA35" s="6">
        <v>3.6469999999999998</v>
      </c>
      <c r="AB35" s="6">
        <v>3.556</v>
      </c>
      <c r="AC35" s="6">
        <v>3.3690000000000002</v>
      </c>
      <c r="AD35" s="6">
        <v>3.3260000000000001</v>
      </c>
      <c r="AE35" s="6">
        <f t="shared" si="5"/>
        <v>3.3475000000000001</v>
      </c>
      <c r="AF35" s="103">
        <v>2.931</v>
      </c>
      <c r="AG35" s="103">
        <v>2.988</v>
      </c>
      <c r="AH35" s="103">
        <v>3.0219999999999998</v>
      </c>
      <c r="AI35" s="103">
        <v>3.012</v>
      </c>
      <c r="AJ35" s="60"/>
      <c r="AK35" s="103">
        <v>3.1280000000000001</v>
      </c>
      <c r="AL35" s="103">
        <v>3.1509999999999998</v>
      </c>
      <c r="AM35" s="103">
        <v>3.323</v>
      </c>
      <c r="AN35" s="103">
        <v>3.1629999999999998</v>
      </c>
      <c r="AO35" s="103">
        <v>3.1520000000000001</v>
      </c>
      <c r="AP35" s="103">
        <v>3.2290000000000001</v>
      </c>
      <c r="AQ35" s="103">
        <v>3.1880000000000002</v>
      </c>
      <c r="AR35" s="103">
        <v>3.3889999999999998</v>
      </c>
      <c r="AS35" s="103">
        <v>3.2349999999999999</v>
      </c>
      <c r="AT35" s="103">
        <v>3.2120000000000002</v>
      </c>
      <c r="AU35" s="60"/>
      <c r="AV35" s="103">
        <v>2.8940000000000001</v>
      </c>
      <c r="AW35" s="103">
        <v>3.0760000000000001</v>
      </c>
      <c r="AX35" s="60"/>
      <c r="AY35" s="60"/>
      <c r="AZ35" s="60"/>
      <c r="BA35" s="60"/>
      <c r="BB35" s="60"/>
      <c r="BC35" s="60"/>
      <c r="BD35" s="60"/>
      <c r="BE35" s="60"/>
      <c r="BF35" s="60"/>
      <c r="BG35" s="60"/>
      <c r="BH35" s="60"/>
      <c r="BI35" s="60"/>
      <c r="BJ35" s="60"/>
      <c r="BK35" s="60"/>
      <c r="BL35" s="60"/>
      <c r="BM35" s="60"/>
      <c r="BN35" s="103">
        <v>3.327</v>
      </c>
      <c r="BO35" s="103">
        <v>3.1190000000000002</v>
      </c>
      <c r="BP35" s="103">
        <v>3.3410000000000002</v>
      </c>
      <c r="BQ35" s="87">
        <v>2.6497679999999999</v>
      </c>
      <c r="BR35" s="87">
        <v>2.977776</v>
      </c>
      <c r="BS35" s="87">
        <v>3.9214980000000002</v>
      </c>
      <c r="BT35" s="87">
        <v>2.9999009999999999</v>
      </c>
      <c r="BU35" s="87">
        <v>3.0747460000000002</v>
      </c>
      <c r="BV35" s="87">
        <v>3.7275969999999998</v>
      </c>
      <c r="BW35" s="105">
        <v>3.008</v>
      </c>
      <c r="BX35" s="105">
        <v>3.04</v>
      </c>
      <c r="BY35" s="105">
        <v>3.085</v>
      </c>
      <c r="BZ35" s="105">
        <v>3.089</v>
      </c>
      <c r="CA35" s="105">
        <v>3.0939999999999999</v>
      </c>
      <c r="CB35" s="105">
        <v>3.16</v>
      </c>
      <c r="CC35" s="105">
        <v>3.1829999999999998</v>
      </c>
      <c r="CD35" s="105">
        <v>3.4060000000000001</v>
      </c>
      <c r="CE35" s="105">
        <v>3.22</v>
      </c>
      <c r="CF35" s="105">
        <v>3.19</v>
      </c>
      <c r="CG35" s="105">
        <v>3.2959999999999998</v>
      </c>
      <c r="CH35" s="105">
        <v>3.242</v>
      </c>
      <c r="CI35" s="105">
        <v>3.4430000000000001</v>
      </c>
      <c r="CJ35" s="105">
        <v>3.28</v>
      </c>
      <c r="CK35" s="105">
        <v>3.2559999999999998</v>
      </c>
      <c r="CL35" s="105">
        <v>3.2320000000000002</v>
      </c>
      <c r="CM35" s="105">
        <v>2.9460000000000002</v>
      </c>
      <c r="CN35" s="105">
        <v>3.149</v>
      </c>
      <c r="CO35" s="105">
        <v>3.4740000000000002</v>
      </c>
      <c r="CP35" s="105">
        <v>3.2130000000000001</v>
      </c>
      <c r="CQ35" s="105">
        <v>3.411</v>
      </c>
      <c r="CR35" s="105">
        <v>3.3069999999999999</v>
      </c>
      <c r="CS35" s="105">
        <v>3.38</v>
      </c>
      <c r="CT35" s="105">
        <v>3.2320000000000002</v>
      </c>
      <c r="CU35" s="105">
        <v>3.0870000000000002</v>
      </c>
      <c r="CV35" s="105">
        <v>3.2669999999999999</v>
      </c>
      <c r="CW35" s="105">
        <v>3.2869999999999999</v>
      </c>
      <c r="CX35" s="105">
        <v>3.4260000000000002</v>
      </c>
      <c r="CY35" s="105">
        <v>3.4260000000000002</v>
      </c>
      <c r="CZ35" s="105">
        <v>3.4329999999999998</v>
      </c>
      <c r="DA35" s="105">
        <v>3.4929999999999999</v>
      </c>
      <c r="DB35" s="105">
        <v>3.2370000000000001</v>
      </c>
      <c r="DC35" s="105">
        <v>3.4</v>
      </c>
      <c r="DD35" s="105">
        <v>3.399</v>
      </c>
      <c r="DE35" s="105">
        <v>3.3650000000000002</v>
      </c>
      <c r="DF35" s="105">
        <v>3.18</v>
      </c>
      <c r="DG35" s="105">
        <v>3.39</v>
      </c>
      <c r="DH35" s="115">
        <v>2.6951269999999998</v>
      </c>
      <c r="DI35" s="115">
        <v>3.0305559999999998</v>
      </c>
      <c r="DJ35" s="115">
        <v>3.9694609999999999</v>
      </c>
      <c r="DK35" s="115">
        <v>3.058694</v>
      </c>
      <c r="DL35" s="115">
        <v>3.1316440000000001</v>
      </c>
      <c r="DM35" s="115">
        <v>3.827534</v>
      </c>
    </row>
    <row r="36" spans="1:117">
      <c r="A36" s="1">
        <f t="shared" si="4"/>
        <v>34</v>
      </c>
      <c r="B36" s="2" t="s">
        <v>384</v>
      </c>
      <c r="C36" s="4">
        <v>14</v>
      </c>
      <c r="D36" s="4">
        <f t="shared" si="1"/>
        <v>1016</v>
      </c>
      <c r="E36" s="4" t="s">
        <v>219</v>
      </c>
      <c r="F36" s="4">
        <v>1</v>
      </c>
      <c r="G36" s="4" t="s">
        <v>11</v>
      </c>
      <c r="H36" s="4" t="s">
        <v>12</v>
      </c>
      <c r="I36" s="4"/>
      <c r="J36" s="5">
        <v>90.6</v>
      </c>
      <c r="K36" s="68"/>
      <c r="L36" s="99">
        <v>2.871</v>
      </c>
      <c r="M36" s="7" t="s">
        <v>158</v>
      </c>
      <c r="N36" s="3" t="s">
        <v>205</v>
      </c>
      <c r="O36" s="6">
        <v>3.0830000000000002</v>
      </c>
      <c r="P36" s="6">
        <v>2.8530000000000002</v>
      </c>
      <c r="Q36" s="6">
        <v>3.2170000000000001</v>
      </c>
      <c r="R36" s="9"/>
      <c r="S36" s="6">
        <v>2.9870000000000001</v>
      </c>
      <c r="T36" s="6">
        <v>2.9209999999999998</v>
      </c>
      <c r="U36" s="6">
        <v>2.9220000000000002</v>
      </c>
      <c r="V36" s="6">
        <v>2.907</v>
      </c>
      <c r="W36" s="9"/>
      <c r="X36" s="9"/>
      <c r="Y36" s="6">
        <v>3.1360000000000001</v>
      </c>
      <c r="Z36" s="6">
        <v>3.1190000000000002</v>
      </c>
      <c r="AA36" s="6">
        <v>3.0339999999999998</v>
      </c>
      <c r="AB36" s="6">
        <v>2.9209999999999998</v>
      </c>
      <c r="AC36" s="6">
        <v>2.863</v>
      </c>
      <c r="AD36" s="6">
        <v>2.72</v>
      </c>
      <c r="AE36" s="6">
        <f t="shared" si="5"/>
        <v>2.7915000000000001</v>
      </c>
      <c r="AF36" s="103">
        <v>2.57</v>
      </c>
      <c r="AG36" s="103">
        <v>2.552</v>
      </c>
      <c r="AH36" s="103">
        <v>2.6230000000000002</v>
      </c>
      <c r="AI36" s="103">
        <v>2.6360000000000001</v>
      </c>
      <c r="AJ36" s="103">
        <v>2.6280000000000001</v>
      </c>
      <c r="AK36" s="103">
        <v>2.5059999999999998</v>
      </c>
      <c r="AL36" s="103">
        <v>2.5470000000000002</v>
      </c>
      <c r="AM36" s="103">
        <v>2.847</v>
      </c>
      <c r="AN36" s="103">
        <v>2.66</v>
      </c>
      <c r="AO36" s="103">
        <v>2.4860000000000002</v>
      </c>
      <c r="AP36" s="103">
        <v>2.6150000000000002</v>
      </c>
      <c r="AQ36" s="103">
        <v>2.5209999999999999</v>
      </c>
      <c r="AR36" s="103">
        <v>2.8220000000000001</v>
      </c>
      <c r="AS36" s="103">
        <v>2.66</v>
      </c>
      <c r="AT36" s="103">
        <v>2.6240000000000001</v>
      </c>
      <c r="AU36" s="103">
        <v>2.786</v>
      </c>
      <c r="AV36" s="103">
        <v>2.5569999999999999</v>
      </c>
      <c r="AW36" s="103">
        <v>2.7</v>
      </c>
      <c r="AX36" s="103">
        <v>3.0409999999999999</v>
      </c>
      <c r="AY36" s="103">
        <v>2.7519999999999998</v>
      </c>
      <c r="AZ36" s="103">
        <v>2.82</v>
      </c>
      <c r="BA36" s="103">
        <v>2.8340000000000001</v>
      </c>
      <c r="BB36" s="103">
        <v>2.88</v>
      </c>
      <c r="BC36" s="103">
        <v>2.8079999999999998</v>
      </c>
      <c r="BD36" s="103">
        <v>2.5110000000000001</v>
      </c>
      <c r="BE36" s="103">
        <v>2.742</v>
      </c>
      <c r="BF36" s="103">
        <v>2.782</v>
      </c>
      <c r="BG36" s="103">
        <v>2.8479999999999999</v>
      </c>
      <c r="BH36" s="103">
        <v>2.8860000000000001</v>
      </c>
      <c r="BI36" s="103">
        <v>2.911</v>
      </c>
      <c r="BJ36" s="103">
        <v>2.911</v>
      </c>
      <c r="BK36" s="103">
        <v>2.5910000000000002</v>
      </c>
      <c r="BL36" s="103">
        <v>2.7869999999999999</v>
      </c>
      <c r="BM36" s="103">
        <v>2.7559999999999998</v>
      </c>
      <c r="BN36" s="103">
        <v>2.7730000000000001</v>
      </c>
      <c r="BO36" s="103">
        <v>2.714</v>
      </c>
      <c r="BP36" s="103">
        <v>2.827</v>
      </c>
      <c r="BQ36" s="87">
        <v>2.2382919999999999</v>
      </c>
      <c r="BR36" s="87">
        <v>2.6243050000000001</v>
      </c>
      <c r="BS36" s="87">
        <v>3.7149809999999999</v>
      </c>
      <c r="BT36" s="87">
        <v>2.6379190000000001</v>
      </c>
      <c r="BU36" s="87">
        <v>2.7168770000000002</v>
      </c>
      <c r="BV36" s="87">
        <v>3.5526589999999998</v>
      </c>
      <c r="BW36" s="105">
        <v>2.61</v>
      </c>
      <c r="BX36" s="105">
        <v>2.6030000000000002</v>
      </c>
      <c r="BY36" s="105">
        <v>2.6789999999999998</v>
      </c>
      <c r="BZ36" s="105">
        <v>2.7010000000000001</v>
      </c>
      <c r="CA36" s="105">
        <v>2.7160000000000002</v>
      </c>
      <c r="CB36" s="105">
        <v>2.5880000000000001</v>
      </c>
      <c r="CC36" s="105">
        <v>2.6230000000000002</v>
      </c>
      <c r="CD36" s="105">
        <v>2.9289999999999998</v>
      </c>
      <c r="CE36" s="105">
        <v>2.7669999999999999</v>
      </c>
      <c r="CF36" s="105">
        <v>2.6110000000000002</v>
      </c>
      <c r="CG36" s="105">
        <v>2.7559999999999998</v>
      </c>
      <c r="CH36" s="105">
        <v>2.6779999999999999</v>
      </c>
      <c r="CI36" s="105">
        <v>2.9039999999999999</v>
      </c>
      <c r="CJ36" s="105">
        <v>2.7370000000000001</v>
      </c>
      <c r="CK36" s="105">
        <v>2.7080000000000002</v>
      </c>
      <c r="CL36" s="105">
        <v>2.8620000000000001</v>
      </c>
      <c r="CM36" s="105">
        <v>2.613</v>
      </c>
      <c r="CN36" s="105">
        <v>2.762</v>
      </c>
      <c r="CO36" s="105">
        <v>3.129</v>
      </c>
      <c r="CP36" s="105">
        <v>2.8290000000000002</v>
      </c>
      <c r="CQ36" s="105">
        <v>2.903</v>
      </c>
      <c r="CR36" s="105">
        <v>2.92</v>
      </c>
      <c r="CS36" s="105">
        <v>2.9710000000000001</v>
      </c>
      <c r="CT36" s="105">
        <v>2.903</v>
      </c>
      <c r="CU36" s="105">
        <v>2.681</v>
      </c>
      <c r="CV36" s="105">
        <v>2.8210000000000002</v>
      </c>
      <c r="CW36" s="105">
        <v>2.871</v>
      </c>
      <c r="CX36" s="105">
        <v>2.9620000000000002</v>
      </c>
      <c r="CY36" s="105">
        <v>2.996</v>
      </c>
      <c r="CZ36" s="105">
        <v>3.0339999999999998</v>
      </c>
      <c r="DA36" s="105">
        <v>3.0419999999999998</v>
      </c>
      <c r="DB36" s="105">
        <v>2.66</v>
      </c>
      <c r="DC36" s="105">
        <v>2.891</v>
      </c>
      <c r="DD36" s="105">
        <v>2.8610000000000002</v>
      </c>
      <c r="DE36" s="105">
        <v>2.8380000000000001</v>
      </c>
      <c r="DF36" s="105">
        <v>2.7709999999999999</v>
      </c>
      <c r="DG36" s="105">
        <v>2.891</v>
      </c>
      <c r="DH36" s="115">
        <v>2.3531550000000001</v>
      </c>
      <c r="DI36" s="115">
        <v>2.7286920000000001</v>
      </c>
      <c r="DJ36" s="115">
        <v>3.78444</v>
      </c>
      <c r="DK36" s="115">
        <v>2.7442760000000002</v>
      </c>
      <c r="DL36" s="115">
        <v>2.8206099999999998</v>
      </c>
      <c r="DM36" s="115">
        <v>3.6226859999999999</v>
      </c>
    </row>
    <row r="37" spans="1:117">
      <c r="A37" s="1">
        <f t="shared" si="4"/>
        <v>35</v>
      </c>
      <c r="B37" s="2"/>
      <c r="C37" s="4">
        <v>14</v>
      </c>
      <c r="D37" s="4">
        <f t="shared" si="1"/>
        <v>1016</v>
      </c>
      <c r="E37" s="4" t="s">
        <v>223</v>
      </c>
      <c r="F37" s="4">
        <v>1</v>
      </c>
      <c r="G37" s="4" t="s">
        <v>11</v>
      </c>
      <c r="H37" s="4" t="s">
        <v>17</v>
      </c>
      <c r="I37" s="4"/>
      <c r="J37" s="5">
        <v>88.7</v>
      </c>
      <c r="K37" s="63">
        <v>0.72699999999999998</v>
      </c>
      <c r="L37" s="99">
        <v>4.2309999999999999</v>
      </c>
      <c r="M37" s="7" t="s">
        <v>158</v>
      </c>
      <c r="N37" s="3" t="s">
        <v>205</v>
      </c>
      <c r="O37" s="6">
        <v>4.4779999999999998</v>
      </c>
      <c r="P37" s="6">
        <v>4.1449999999999996</v>
      </c>
      <c r="Q37" s="6">
        <v>4.7859999999999996</v>
      </c>
      <c r="R37" s="9"/>
      <c r="S37" s="6">
        <v>4.46</v>
      </c>
      <c r="T37" s="6">
        <v>4.32</v>
      </c>
      <c r="U37" s="6">
        <v>4.3150000000000004</v>
      </c>
      <c r="V37" s="6">
        <v>4.3</v>
      </c>
      <c r="W37" s="9"/>
      <c r="X37" s="9"/>
      <c r="Y37" s="6">
        <v>4.3659999999999997</v>
      </c>
      <c r="Z37" s="6">
        <v>4.3739999999999997</v>
      </c>
      <c r="AA37" s="6">
        <v>4.306</v>
      </c>
      <c r="AB37" s="6">
        <v>4.1449999999999996</v>
      </c>
      <c r="AC37" s="6">
        <v>4.141</v>
      </c>
      <c r="AD37" s="6">
        <v>4.109</v>
      </c>
      <c r="AE37" s="6">
        <f t="shared" si="5"/>
        <v>4.125</v>
      </c>
      <c r="AF37" s="103">
        <v>3.661</v>
      </c>
      <c r="AG37" s="103">
        <v>3.65</v>
      </c>
      <c r="AH37" s="103">
        <v>3.698</v>
      </c>
      <c r="AI37" s="103">
        <v>3.8050000000000002</v>
      </c>
      <c r="AJ37" s="103">
        <v>3.8170000000000002</v>
      </c>
      <c r="AK37" s="103">
        <v>3.6880000000000002</v>
      </c>
      <c r="AL37" s="103">
        <v>3.7109999999999999</v>
      </c>
      <c r="AM37" s="103">
        <v>3.9889999999999999</v>
      </c>
      <c r="AN37" s="103">
        <v>4.0170000000000003</v>
      </c>
      <c r="AO37" s="103">
        <v>3.919</v>
      </c>
      <c r="AP37" s="103">
        <v>4.0979999999999999</v>
      </c>
      <c r="AQ37" s="103">
        <v>4.085</v>
      </c>
      <c r="AR37" s="103">
        <v>4.1210000000000004</v>
      </c>
      <c r="AS37" s="103">
        <v>3.93</v>
      </c>
      <c r="AT37" s="103">
        <v>3.919</v>
      </c>
      <c r="AU37" s="103">
        <v>4.008</v>
      </c>
      <c r="AV37" s="103">
        <v>3.7480000000000002</v>
      </c>
      <c r="AW37" s="103">
        <v>3.8239999999999998</v>
      </c>
      <c r="AX37" s="103">
        <v>4.2519999999999998</v>
      </c>
      <c r="AY37" s="103">
        <v>4.0439999999999996</v>
      </c>
      <c r="AZ37" s="103">
        <v>4.1369999999999996</v>
      </c>
      <c r="BA37" s="103">
        <v>4.1879999999999997</v>
      </c>
      <c r="BB37" s="103">
        <v>4.2830000000000004</v>
      </c>
      <c r="BC37" s="103">
        <v>4.3159999999999998</v>
      </c>
      <c r="BD37" s="103">
        <v>4.22</v>
      </c>
      <c r="BE37" s="103">
        <v>3.8980000000000001</v>
      </c>
      <c r="BF37" s="103">
        <v>4</v>
      </c>
      <c r="BG37" s="103">
        <v>4.1360000000000001</v>
      </c>
      <c r="BH37" s="103">
        <v>4.234</v>
      </c>
      <c r="BI37" s="103">
        <v>4.3440000000000003</v>
      </c>
      <c r="BJ37" s="103">
        <v>4.3209999999999997</v>
      </c>
      <c r="BK37" s="103">
        <v>4.1319999999999997</v>
      </c>
      <c r="BL37" s="103">
        <v>4.1239999999999997</v>
      </c>
      <c r="BM37" s="103">
        <v>4.0960000000000001</v>
      </c>
      <c r="BN37" s="103">
        <v>3.8889999999999998</v>
      </c>
      <c r="BO37" s="103">
        <v>3.774</v>
      </c>
      <c r="BP37" s="103">
        <v>3.8879999999999999</v>
      </c>
      <c r="BQ37" s="87">
        <v>3.518872</v>
      </c>
      <c r="BR37" s="87">
        <v>3.832068</v>
      </c>
      <c r="BS37" s="87">
        <v>4.3901159999999999</v>
      </c>
      <c r="BT37" s="87">
        <v>3.8631009999999999</v>
      </c>
      <c r="BU37" s="87">
        <v>3.9144290000000002</v>
      </c>
      <c r="BV37" s="87">
        <v>4.3202290000000003</v>
      </c>
      <c r="BW37" s="105">
        <v>3.8639999999999999</v>
      </c>
      <c r="BX37" s="105">
        <v>3.8559999999999999</v>
      </c>
      <c r="BY37" s="105">
        <v>3.9</v>
      </c>
      <c r="BZ37" s="105">
        <v>4.0060000000000002</v>
      </c>
      <c r="CA37" s="105">
        <v>4.0170000000000003</v>
      </c>
      <c r="CB37" s="105">
        <v>3.8839999999999999</v>
      </c>
      <c r="CC37" s="105">
        <v>3.9089999999999998</v>
      </c>
      <c r="CD37" s="105">
        <v>4.1790000000000003</v>
      </c>
      <c r="CE37" s="105">
        <v>4.2210000000000001</v>
      </c>
      <c r="CF37" s="105">
        <v>4.1219999999999999</v>
      </c>
      <c r="CG37" s="105">
        <v>4.2990000000000004</v>
      </c>
      <c r="CH37" s="105">
        <v>4.2839999999999998</v>
      </c>
      <c r="CI37" s="105">
        <v>4.3170000000000002</v>
      </c>
      <c r="CJ37" s="105">
        <v>4.133</v>
      </c>
      <c r="CK37" s="105">
        <v>4.1230000000000002</v>
      </c>
      <c r="CL37" s="105">
        <v>4.1950000000000003</v>
      </c>
      <c r="CM37" s="105">
        <v>3.9289999999999998</v>
      </c>
      <c r="CN37" s="105">
        <v>4.0190000000000001</v>
      </c>
      <c r="CO37" s="105">
        <v>4.4530000000000003</v>
      </c>
      <c r="CP37" s="105">
        <v>4.2290000000000001</v>
      </c>
      <c r="CQ37" s="105">
        <v>4.319</v>
      </c>
      <c r="CR37" s="105">
        <v>4.3739999999999997</v>
      </c>
      <c r="CS37" s="105">
        <v>4.4740000000000002</v>
      </c>
      <c r="CT37" s="105">
        <v>4.5119999999999996</v>
      </c>
      <c r="CU37" s="105">
        <v>4.4249999999999998</v>
      </c>
      <c r="CV37" s="105">
        <v>4.016</v>
      </c>
      <c r="CW37" s="105">
        <v>4.1559999999999997</v>
      </c>
      <c r="CX37" s="105">
        <v>4.2569999999999997</v>
      </c>
      <c r="CY37" s="105">
        <v>4.3780000000000001</v>
      </c>
      <c r="CZ37" s="105">
        <v>4.5179999999999998</v>
      </c>
      <c r="DA37" s="105">
        <v>4.4610000000000003</v>
      </c>
      <c r="DB37" s="105">
        <v>4.1310000000000002</v>
      </c>
      <c r="DC37" s="105">
        <v>4.2439999999999998</v>
      </c>
      <c r="DD37" s="105">
        <v>4.2089999999999996</v>
      </c>
      <c r="DE37" s="105">
        <v>4.09</v>
      </c>
      <c r="DF37" s="105">
        <v>3.9780000000000002</v>
      </c>
      <c r="DG37" s="105">
        <v>4.085</v>
      </c>
      <c r="DH37" s="115">
        <v>3.7622080000000002</v>
      </c>
      <c r="DI37" s="115">
        <v>4.0528909999999998</v>
      </c>
      <c r="DJ37" s="115">
        <v>4.5609440000000001</v>
      </c>
      <c r="DK37" s="115">
        <v>4.0913430000000002</v>
      </c>
      <c r="DL37" s="115">
        <v>4.131977</v>
      </c>
      <c r="DM37" s="115">
        <v>4.4932379999999998</v>
      </c>
    </row>
    <row r="38" spans="1:117">
      <c r="A38" s="1">
        <f t="shared" si="4"/>
        <v>36</v>
      </c>
      <c r="B38" s="2"/>
      <c r="C38" s="4">
        <v>14</v>
      </c>
      <c r="D38" s="4">
        <f t="shared" si="1"/>
        <v>1016</v>
      </c>
      <c r="E38" s="4" t="s">
        <v>120</v>
      </c>
      <c r="F38" s="4">
        <v>1</v>
      </c>
      <c r="G38" s="4" t="s">
        <v>11</v>
      </c>
      <c r="H38" s="4" t="s">
        <v>17</v>
      </c>
      <c r="I38" s="4"/>
      <c r="J38" s="5">
        <v>84.4</v>
      </c>
      <c r="K38" s="68"/>
      <c r="L38" s="99">
        <v>4.4459999999999997</v>
      </c>
      <c r="M38" s="7" t="s">
        <v>158</v>
      </c>
      <c r="N38" s="3" t="s">
        <v>205</v>
      </c>
      <c r="O38" s="6">
        <v>4.6769999999999996</v>
      </c>
      <c r="P38" s="6">
        <v>4.5149999999999997</v>
      </c>
      <c r="Q38" s="6">
        <v>5.0369999999999999</v>
      </c>
      <c r="R38" s="9"/>
      <c r="S38" s="6">
        <v>4.7220000000000004</v>
      </c>
      <c r="T38" s="6">
        <v>4.5759999999999996</v>
      </c>
      <c r="U38" s="6">
        <v>4.5720000000000001</v>
      </c>
      <c r="V38" s="6">
        <v>4.5270000000000001</v>
      </c>
      <c r="W38" s="9"/>
      <c r="X38" s="9"/>
      <c r="Y38" s="6">
        <v>4.5720000000000001</v>
      </c>
      <c r="Z38" s="6">
        <v>4.5640000000000001</v>
      </c>
      <c r="AA38" s="6">
        <v>4.5640000000000001</v>
      </c>
      <c r="AB38" s="6">
        <v>4.3390000000000004</v>
      </c>
      <c r="AC38" s="6">
        <v>4.5350000000000001</v>
      </c>
      <c r="AD38" s="6">
        <v>4.4020000000000001</v>
      </c>
      <c r="AE38" s="6">
        <f t="shared" si="5"/>
        <v>4.4685000000000006</v>
      </c>
      <c r="AF38" s="103">
        <v>3.919</v>
      </c>
      <c r="AG38" s="103">
        <v>3.956</v>
      </c>
      <c r="AH38" s="103">
        <v>4.0709999999999997</v>
      </c>
      <c r="AI38" s="103">
        <v>4.2359999999999998</v>
      </c>
      <c r="AJ38" s="103">
        <v>4.3529999999999998</v>
      </c>
      <c r="AK38" s="103">
        <v>4.13</v>
      </c>
      <c r="AL38" s="103">
        <v>4.1349999999999998</v>
      </c>
      <c r="AM38" s="103">
        <v>4.6109999999999998</v>
      </c>
      <c r="AN38" s="103">
        <v>4.6269999999999998</v>
      </c>
      <c r="AO38" s="103">
        <v>4.5279999999999996</v>
      </c>
      <c r="AP38" s="103">
        <v>4.7519999999999998</v>
      </c>
      <c r="AQ38" s="103">
        <v>4.7549999999999999</v>
      </c>
      <c r="AR38" s="103">
        <v>4.7610000000000001</v>
      </c>
      <c r="AS38" s="103">
        <v>4.4509999999999996</v>
      </c>
      <c r="AT38" s="103">
        <v>4.4480000000000004</v>
      </c>
      <c r="AU38" s="103">
        <v>4.67</v>
      </c>
      <c r="AV38" s="103">
        <v>4.2069999999999999</v>
      </c>
      <c r="AW38" s="103">
        <v>4.3310000000000004</v>
      </c>
      <c r="AX38" s="103">
        <v>5.0339999999999998</v>
      </c>
      <c r="AY38" s="103">
        <v>4.7</v>
      </c>
      <c r="AZ38" s="103">
        <v>4.8780000000000001</v>
      </c>
      <c r="BA38" s="103">
        <v>4.92</v>
      </c>
      <c r="BB38" s="103">
        <v>5.0270000000000001</v>
      </c>
      <c r="BC38" s="103">
        <v>5.0270000000000001</v>
      </c>
      <c r="BD38" s="103">
        <v>4.9880000000000004</v>
      </c>
      <c r="BE38" s="103">
        <v>4.2549999999999999</v>
      </c>
      <c r="BF38" s="103">
        <v>4.5279999999999996</v>
      </c>
      <c r="BG38" s="103">
        <v>4.5819999999999999</v>
      </c>
      <c r="BH38" s="103">
        <v>4.7990000000000004</v>
      </c>
      <c r="BI38" s="103">
        <v>5.0540000000000003</v>
      </c>
      <c r="BJ38" s="103">
        <v>4.8620000000000001</v>
      </c>
      <c r="BK38" s="103">
        <v>3.8690000000000002</v>
      </c>
      <c r="BL38" s="103">
        <v>4.3710000000000004</v>
      </c>
      <c r="BM38" s="103">
        <v>4.2809999999999997</v>
      </c>
      <c r="BN38" s="103">
        <v>4.3730000000000002</v>
      </c>
      <c r="BO38" s="103">
        <v>4.17</v>
      </c>
      <c r="BP38" s="103">
        <v>4.3899999999999997</v>
      </c>
      <c r="BQ38" s="87">
        <v>3.9545979999999998</v>
      </c>
      <c r="BR38" s="87">
        <v>4.3715260000000002</v>
      </c>
      <c r="BS38" s="87">
        <v>5.136101</v>
      </c>
      <c r="BT38" s="87">
        <v>4.4021929999999996</v>
      </c>
      <c r="BU38" s="87">
        <v>4.4751789999999998</v>
      </c>
      <c r="BV38" s="87">
        <v>5.0519239999999996</v>
      </c>
      <c r="BW38" s="105">
        <v>3.9660000000000002</v>
      </c>
      <c r="BX38" s="105">
        <v>4.0039999999999996</v>
      </c>
      <c r="BY38" s="105">
        <v>4.12</v>
      </c>
      <c r="BZ38" s="105">
        <v>4.2869999999999999</v>
      </c>
      <c r="CA38" s="105">
        <v>4.4080000000000004</v>
      </c>
      <c r="CB38" s="105">
        <v>4.1849999999999996</v>
      </c>
      <c r="CC38" s="105">
        <v>4.1900000000000004</v>
      </c>
      <c r="CD38" s="105">
        <v>4.6710000000000003</v>
      </c>
      <c r="CE38" s="105">
        <v>4.6890000000000001</v>
      </c>
      <c r="CF38" s="105">
        <v>4.5880000000000001</v>
      </c>
      <c r="CG38" s="105">
        <v>4.8159999999999998</v>
      </c>
      <c r="CH38" s="105">
        <v>4.8209999999999997</v>
      </c>
      <c r="CI38" s="105">
        <v>4.8259999999999996</v>
      </c>
      <c r="CJ38" s="105">
        <v>4.5039999999999996</v>
      </c>
      <c r="CK38" s="105">
        <v>4.5030000000000001</v>
      </c>
      <c r="CL38" s="105">
        <v>4.734</v>
      </c>
      <c r="CM38" s="105">
        <v>4.2610000000000001</v>
      </c>
      <c r="CN38" s="105">
        <v>4.3840000000000003</v>
      </c>
      <c r="CO38" s="105">
        <v>5.1509999999999998</v>
      </c>
      <c r="CP38" s="105">
        <v>4.7649999999999997</v>
      </c>
      <c r="CQ38" s="105">
        <v>4.9530000000000003</v>
      </c>
      <c r="CR38" s="105">
        <v>5.0019999999999998</v>
      </c>
      <c r="CS38" s="105">
        <v>5.1310000000000002</v>
      </c>
      <c r="CT38" s="105">
        <v>5.1310000000000002</v>
      </c>
      <c r="CU38" s="105">
        <v>5.07</v>
      </c>
      <c r="CV38" s="105">
        <v>4.3319999999999999</v>
      </c>
      <c r="CW38" s="105">
        <v>4.5979999999999999</v>
      </c>
      <c r="CX38" s="105">
        <v>4.7009999999999996</v>
      </c>
      <c r="CY38" s="105">
        <v>4.9409999999999998</v>
      </c>
      <c r="CZ38" s="105">
        <v>5.1859999999999999</v>
      </c>
      <c r="DA38" s="105">
        <v>5.0250000000000004</v>
      </c>
      <c r="DB38" s="105">
        <v>4.0919999999999996</v>
      </c>
      <c r="DC38" s="105">
        <v>4.5540000000000003</v>
      </c>
      <c r="DD38" s="105">
        <v>4.484</v>
      </c>
      <c r="DE38" s="105">
        <v>4.4269999999999996</v>
      </c>
      <c r="DF38" s="105">
        <v>4.2220000000000004</v>
      </c>
      <c r="DG38" s="105">
        <v>4.4459999999999997</v>
      </c>
      <c r="DH38" s="115">
        <v>4.011495</v>
      </c>
      <c r="DI38" s="115">
        <v>4.4279450000000002</v>
      </c>
      <c r="DJ38" s="115">
        <v>5.2221739999999999</v>
      </c>
      <c r="DK38" s="115">
        <v>4.4588749999999999</v>
      </c>
      <c r="DL38" s="115">
        <v>4.5318709999999998</v>
      </c>
      <c r="DM38" s="115">
        <v>5.1385930000000002</v>
      </c>
    </row>
    <row r="39" spans="1:117">
      <c r="A39" s="1">
        <f t="shared" si="4"/>
        <v>37</v>
      </c>
      <c r="B39" s="2"/>
      <c r="C39" s="4">
        <v>14</v>
      </c>
      <c r="D39" s="4">
        <f t="shared" si="1"/>
        <v>1016</v>
      </c>
      <c r="E39" s="4" t="s">
        <v>223</v>
      </c>
      <c r="F39" s="4">
        <v>1</v>
      </c>
      <c r="G39" s="4" t="s">
        <v>11</v>
      </c>
      <c r="H39" s="4" t="s">
        <v>17</v>
      </c>
      <c r="I39" s="4"/>
      <c r="J39" s="5">
        <v>85.1</v>
      </c>
      <c r="K39" s="63">
        <v>6.6000000000000003E-2</v>
      </c>
      <c r="L39" s="99">
        <v>4.4450000000000003</v>
      </c>
      <c r="M39" s="7" t="s">
        <v>158</v>
      </c>
      <c r="N39" s="3" t="s">
        <v>205</v>
      </c>
      <c r="O39" s="6">
        <v>4.6840000000000002</v>
      </c>
      <c r="P39" s="6">
        <v>4.5069999999999997</v>
      </c>
      <c r="Q39" s="6">
        <v>5.05</v>
      </c>
      <c r="R39" s="9"/>
      <c r="S39" s="6">
        <v>4.734</v>
      </c>
      <c r="T39" s="6">
        <v>4.5780000000000003</v>
      </c>
      <c r="U39" s="6">
        <v>4.5759999999999996</v>
      </c>
      <c r="V39" s="6">
        <v>4.5359999999999996</v>
      </c>
      <c r="W39" s="9"/>
      <c r="X39" s="9"/>
      <c r="Y39" s="6">
        <v>4.6020000000000003</v>
      </c>
      <c r="Z39" s="6">
        <v>4.5990000000000002</v>
      </c>
      <c r="AA39" s="6">
        <v>4.577</v>
      </c>
      <c r="AB39" s="6">
        <v>4.3710000000000004</v>
      </c>
      <c r="AC39" s="6">
        <v>4.5270000000000001</v>
      </c>
      <c r="AD39" s="6">
        <v>4.4050000000000002</v>
      </c>
      <c r="AE39" s="6">
        <f t="shared" si="5"/>
        <v>4.4660000000000002</v>
      </c>
      <c r="AF39" s="103">
        <v>3.9220000000000002</v>
      </c>
      <c r="AG39" s="103">
        <v>3.9569999999999999</v>
      </c>
      <c r="AH39" s="103">
        <v>4.0679999999999996</v>
      </c>
      <c r="AI39" s="103">
        <v>4.2309999999999999</v>
      </c>
      <c r="AJ39" s="103">
        <v>4.3499999999999996</v>
      </c>
      <c r="AK39" s="103">
        <v>4.1239999999999997</v>
      </c>
      <c r="AL39" s="103">
        <v>4.13</v>
      </c>
      <c r="AM39" s="103">
        <v>4.5999999999999996</v>
      </c>
      <c r="AN39" s="103">
        <v>4.6159999999999997</v>
      </c>
      <c r="AO39" s="103">
        <v>4.5170000000000003</v>
      </c>
      <c r="AP39" s="103">
        <v>4.7370000000000001</v>
      </c>
      <c r="AQ39" s="103">
        <v>4.742</v>
      </c>
      <c r="AR39" s="103">
        <v>4.7469999999999999</v>
      </c>
      <c r="AS39" s="103">
        <v>4.4459999999999997</v>
      </c>
      <c r="AT39" s="103">
        <v>4.444</v>
      </c>
      <c r="AU39" s="103">
        <v>4.6559999999999997</v>
      </c>
      <c r="AV39" s="103">
        <v>4.1929999999999996</v>
      </c>
      <c r="AW39" s="103">
        <v>4.3220000000000001</v>
      </c>
      <c r="AX39" s="103">
        <v>5.0190000000000001</v>
      </c>
      <c r="AY39" s="103">
        <v>4.6859999999999999</v>
      </c>
      <c r="AZ39" s="103">
        <v>4.8620000000000001</v>
      </c>
      <c r="BA39" s="103">
        <v>4.9059999999999997</v>
      </c>
      <c r="BB39" s="103">
        <v>5.0140000000000002</v>
      </c>
      <c r="BC39" s="103">
        <v>5.0149999999999997</v>
      </c>
      <c r="BD39" s="103">
        <v>4.9740000000000002</v>
      </c>
      <c r="BE39" s="103">
        <v>4.2409999999999997</v>
      </c>
      <c r="BF39" s="103">
        <v>4.516</v>
      </c>
      <c r="BG39" s="103">
        <v>4.569</v>
      </c>
      <c r="BH39" s="103">
        <v>4.7859999999999996</v>
      </c>
      <c r="BI39" s="103">
        <v>5.04</v>
      </c>
      <c r="BJ39" s="103">
        <v>4.851</v>
      </c>
      <c r="BK39" s="103">
        <v>3.8730000000000002</v>
      </c>
      <c r="BL39" s="103">
        <v>4.3600000000000003</v>
      </c>
      <c r="BM39" s="103">
        <v>4.2709999999999999</v>
      </c>
      <c r="BN39" s="103">
        <v>4.367</v>
      </c>
      <c r="BO39" s="103">
        <v>4.1669999999999998</v>
      </c>
      <c r="BP39" s="103">
        <v>4.383</v>
      </c>
      <c r="BQ39" s="87">
        <v>3.9545979999999998</v>
      </c>
      <c r="BR39" s="87">
        <v>4.3597400000000004</v>
      </c>
      <c r="BS39" s="87">
        <v>5.1315759999999999</v>
      </c>
      <c r="BT39" s="87">
        <v>4.386946</v>
      </c>
      <c r="BU39" s="87">
        <v>4.4626409999999996</v>
      </c>
      <c r="BV39" s="87">
        <v>5.0475820000000002</v>
      </c>
      <c r="BW39" s="105">
        <v>3.98</v>
      </c>
      <c r="BX39" s="105">
        <v>4.01</v>
      </c>
      <c r="BY39" s="105">
        <v>4.1180000000000003</v>
      </c>
      <c r="BZ39" s="105">
        <v>4.2809999999999997</v>
      </c>
      <c r="CA39" s="105">
        <v>4.4029999999999996</v>
      </c>
      <c r="CB39" s="105">
        <v>4.1779999999999999</v>
      </c>
      <c r="CC39" s="105">
        <v>4.1840000000000002</v>
      </c>
      <c r="CD39" s="105">
        <v>4.6580000000000004</v>
      </c>
      <c r="CE39" s="105">
        <v>4.6769999999999996</v>
      </c>
      <c r="CF39" s="105">
        <v>4.5750000000000002</v>
      </c>
      <c r="CG39" s="105">
        <v>4.8</v>
      </c>
      <c r="CH39" s="105">
        <v>4.806</v>
      </c>
      <c r="CI39" s="105">
        <v>4.8109999999999999</v>
      </c>
      <c r="CJ39" s="105">
        <v>4.4989999999999997</v>
      </c>
      <c r="CK39" s="105">
        <v>4.4969999999999999</v>
      </c>
      <c r="CL39" s="105">
        <v>4.7190000000000003</v>
      </c>
      <c r="CM39" s="105">
        <v>4.2439999999999998</v>
      </c>
      <c r="CN39" s="105">
        <v>4.3739999999999997</v>
      </c>
      <c r="CO39" s="105">
        <v>5.1379999999999999</v>
      </c>
      <c r="CP39" s="105">
        <v>4.7489999999999997</v>
      </c>
      <c r="CQ39" s="105">
        <v>4.9370000000000003</v>
      </c>
      <c r="CR39" s="105">
        <v>4.9880000000000004</v>
      </c>
      <c r="CS39" s="105">
        <v>5.1180000000000003</v>
      </c>
      <c r="CT39" s="105">
        <v>5.12</v>
      </c>
      <c r="CU39" s="105">
        <v>5.0549999999999997</v>
      </c>
      <c r="CV39" s="105">
        <v>4.32</v>
      </c>
      <c r="CW39" s="105">
        <v>4.5860000000000003</v>
      </c>
      <c r="CX39" s="105">
        <v>4.6900000000000004</v>
      </c>
      <c r="CY39" s="105">
        <v>4.9290000000000003</v>
      </c>
      <c r="CZ39" s="105">
        <v>5.173</v>
      </c>
      <c r="DA39" s="105">
        <v>5.0149999999999997</v>
      </c>
      <c r="DB39" s="105">
        <v>4.0990000000000002</v>
      </c>
      <c r="DC39" s="105">
        <v>4.5469999999999997</v>
      </c>
      <c r="DD39" s="105">
        <v>4.4790000000000001</v>
      </c>
      <c r="DE39" s="105">
        <v>4.42</v>
      </c>
      <c r="DF39" s="105">
        <v>4.218</v>
      </c>
      <c r="DG39" s="105">
        <v>4.4379999999999997</v>
      </c>
      <c r="DH39" s="115">
        <v>3.9992700000000001</v>
      </c>
      <c r="DI39" s="115">
        <v>4.4168050000000001</v>
      </c>
      <c r="DJ39" s="115">
        <v>5.2190500000000002</v>
      </c>
      <c r="DK39" s="115">
        <v>4.4427240000000001</v>
      </c>
      <c r="DL39" s="115">
        <v>4.5200079999999998</v>
      </c>
      <c r="DM39" s="115">
        <v>5.1357039999999996</v>
      </c>
    </row>
    <row r="40" spans="1:117">
      <c r="A40" s="1">
        <f t="shared" si="4"/>
        <v>38</v>
      </c>
      <c r="B40" s="2"/>
      <c r="C40" s="4">
        <v>14</v>
      </c>
      <c r="D40" s="4">
        <f t="shared" si="1"/>
        <v>1016</v>
      </c>
      <c r="E40" s="4" t="s">
        <v>120</v>
      </c>
      <c r="F40" s="4">
        <v>1</v>
      </c>
      <c r="G40" s="4" t="s">
        <v>11</v>
      </c>
      <c r="H40" s="4" t="s">
        <v>17</v>
      </c>
      <c r="I40" s="4"/>
      <c r="J40" s="5">
        <v>82.8</v>
      </c>
      <c r="K40" s="68"/>
      <c r="L40" s="99">
        <v>5.1849999999999996</v>
      </c>
      <c r="M40" s="7" t="s">
        <v>158</v>
      </c>
      <c r="N40" s="3" t="s">
        <v>205</v>
      </c>
      <c r="O40" s="6">
        <v>5.9930000000000003</v>
      </c>
      <c r="P40" s="6">
        <v>5.2270000000000003</v>
      </c>
      <c r="Q40" s="6">
        <v>5.9569999999999999</v>
      </c>
      <c r="R40" s="9"/>
      <c r="S40" s="6">
        <v>5.6390000000000002</v>
      </c>
      <c r="T40" s="6">
        <v>5.4269999999999996</v>
      </c>
      <c r="U40" s="6">
        <v>5.4</v>
      </c>
      <c r="V40" s="6">
        <v>5.3360000000000003</v>
      </c>
      <c r="W40" s="9"/>
      <c r="X40" s="9"/>
      <c r="Y40" s="6">
        <v>5.5229999999999997</v>
      </c>
      <c r="Z40" s="6">
        <v>5.5179999999999998</v>
      </c>
      <c r="AA40" s="6">
        <v>5.4269999999999996</v>
      </c>
      <c r="AB40" s="6">
        <v>5.2949999999999999</v>
      </c>
      <c r="AC40" s="6">
        <v>5.2539999999999996</v>
      </c>
      <c r="AD40" s="6">
        <v>4.7309999999999999</v>
      </c>
      <c r="AE40" s="6">
        <f t="shared" si="5"/>
        <v>4.9924999999999997</v>
      </c>
      <c r="AF40" s="103">
        <v>4.6139999999999999</v>
      </c>
      <c r="AG40" s="103">
        <v>4.6559999999999997</v>
      </c>
      <c r="AH40" s="103">
        <v>4.758</v>
      </c>
      <c r="AI40" s="103">
        <v>4.9249999999999998</v>
      </c>
      <c r="AJ40" s="103">
        <v>5.016</v>
      </c>
      <c r="AK40" s="103">
        <v>4.7729999999999997</v>
      </c>
      <c r="AL40" s="103">
        <v>4.7869999999999999</v>
      </c>
      <c r="AM40" s="103">
        <v>5.266</v>
      </c>
      <c r="AN40" s="103">
        <v>5.2969999999999997</v>
      </c>
      <c r="AO40" s="103">
        <v>5.1909999999999998</v>
      </c>
      <c r="AP40" s="103">
        <v>5.407</v>
      </c>
      <c r="AQ40" s="103">
        <v>5.415</v>
      </c>
      <c r="AR40" s="103">
        <v>5.4340000000000002</v>
      </c>
      <c r="AS40" s="103">
        <v>5.1100000000000003</v>
      </c>
      <c r="AT40" s="103">
        <v>5.1059999999999999</v>
      </c>
      <c r="AU40" s="103">
        <v>5.3380000000000001</v>
      </c>
      <c r="AV40" s="103">
        <v>4.9829999999999997</v>
      </c>
      <c r="AW40" s="103">
        <v>5.0170000000000003</v>
      </c>
      <c r="AX40" s="103">
        <v>5.5940000000000003</v>
      </c>
      <c r="AY40" s="103">
        <v>5.407</v>
      </c>
      <c r="AZ40" s="103">
        <v>5.5190000000000001</v>
      </c>
      <c r="BA40" s="103">
        <v>5.58</v>
      </c>
      <c r="BB40" s="103">
        <v>5.6660000000000004</v>
      </c>
      <c r="BC40" s="103">
        <v>5.7009999999999996</v>
      </c>
      <c r="BD40" s="103">
        <v>5.62</v>
      </c>
      <c r="BE40" s="103">
        <v>5.0259999999999998</v>
      </c>
      <c r="BF40" s="103">
        <v>5.2190000000000003</v>
      </c>
      <c r="BG40" s="103">
        <v>5.4349999999999996</v>
      </c>
      <c r="BH40" s="103">
        <v>5.6029999999999998</v>
      </c>
      <c r="BI40" s="103">
        <v>5.7370000000000001</v>
      </c>
      <c r="BJ40" s="103">
        <v>5.7060000000000004</v>
      </c>
      <c r="BK40" s="103">
        <v>5.4649999999999999</v>
      </c>
      <c r="BL40" s="103">
        <v>5.4119999999999999</v>
      </c>
      <c r="BM40" s="103">
        <v>5.3819999999999997</v>
      </c>
      <c r="BN40" s="103">
        <v>5.0679999999999996</v>
      </c>
      <c r="BO40" s="103">
        <v>4.8719999999999999</v>
      </c>
      <c r="BP40" s="103">
        <v>5.0750000000000002</v>
      </c>
      <c r="BQ40" s="87">
        <v>4.6111769999999996</v>
      </c>
      <c r="BR40" s="87">
        <v>5.0730469999999999</v>
      </c>
      <c r="BS40" s="87">
        <v>5.7794879999999997</v>
      </c>
      <c r="BT40" s="87">
        <v>5.090662</v>
      </c>
      <c r="BU40" s="87">
        <v>5.1793290000000001</v>
      </c>
      <c r="BV40" s="87">
        <v>5.6951080000000003</v>
      </c>
      <c r="BW40" s="105">
        <v>4.6980000000000004</v>
      </c>
      <c r="BX40" s="105">
        <v>4.7460000000000004</v>
      </c>
      <c r="BY40" s="105">
        <v>4.851</v>
      </c>
      <c r="BZ40" s="105">
        <v>5.0259999999999998</v>
      </c>
      <c r="CA40" s="105">
        <v>5.133</v>
      </c>
      <c r="CB40" s="105">
        <v>4.8639999999999999</v>
      </c>
      <c r="CC40" s="105">
        <v>4.883</v>
      </c>
      <c r="CD40" s="105">
        <v>5.3979999999999997</v>
      </c>
      <c r="CE40" s="105">
        <v>5.4370000000000003</v>
      </c>
      <c r="CF40" s="105">
        <v>5.3289999999999997</v>
      </c>
      <c r="CG40" s="105">
        <v>5.5570000000000004</v>
      </c>
      <c r="CH40" s="105">
        <v>5.5720000000000001</v>
      </c>
      <c r="CI40" s="105">
        <v>5.5890000000000004</v>
      </c>
      <c r="CJ40" s="105">
        <v>5.2190000000000003</v>
      </c>
      <c r="CK40" s="105">
        <v>5.2160000000000002</v>
      </c>
      <c r="CL40" s="105">
        <v>5.4950000000000001</v>
      </c>
      <c r="CM40" s="105">
        <v>5.0990000000000002</v>
      </c>
      <c r="CN40" s="105">
        <v>5.133</v>
      </c>
      <c r="CO40" s="105">
        <v>5.83</v>
      </c>
      <c r="CP40" s="105">
        <v>5.5780000000000003</v>
      </c>
      <c r="CQ40" s="105">
        <v>5.7080000000000002</v>
      </c>
      <c r="CR40" s="105">
        <v>5.7779999999999996</v>
      </c>
      <c r="CS40" s="105">
        <v>5.88</v>
      </c>
      <c r="CT40" s="105">
        <v>5.92</v>
      </c>
      <c r="CU40" s="105">
        <v>5.8280000000000003</v>
      </c>
      <c r="CV40" s="105">
        <v>5.1059999999999999</v>
      </c>
      <c r="CW40" s="105">
        <v>5.3369999999999997</v>
      </c>
      <c r="CX40" s="105">
        <v>5.569</v>
      </c>
      <c r="CY40" s="105">
        <v>5.7839999999999998</v>
      </c>
      <c r="CZ40" s="105">
        <v>5.9480000000000004</v>
      </c>
      <c r="DA40" s="105">
        <v>5.8940000000000001</v>
      </c>
      <c r="DB40" s="105">
        <v>5.5350000000000001</v>
      </c>
      <c r="DC40" s="105">
        <v>5.577</v>
      </c>
      <c r="DD40" s="105">
        <v>5.5490000000000004</v>
      </c>
      <c r="DE40" s="105">
        <v>5.1840000000000002</v>
      </c>
      <c r="DF40" s="105">
        <v>4.9740000000000002</v>
      </c>
      <c r="DG40" s="105">
        <v>5.1920000000000002</v>
      </c>
      <c r="DH40" s="115">
        <v>4.7761670000000001</v>
      </c>
      <c r="DI40" s="115">
        <v>5.2508080000000001</v>
      </c>
      <c r="DJ40" s="115">
        <v>5.963266</v>
      </c>
      <c r="DK40" s="115">
        <v>5.2629900000000003</v>
      </c>
      <c r="DL40" s="115">
        <v>5.3590460000000002</v>
      </c>
      <c r="DM40" s="115">
        <v>5.8789009999999999</v>
      </c>
    </row>
    <row r="41" spans="1:117">
      <c r="A41" s="1">
        <f t="shared" si="4"/>
        <v>39</v>
      </c>
      <c r="B41" s="2"/>
      <c r="C41" s="4">
        <v>14</v>
      </c>
      <c r="D41" s="4">
        <f t="shared" si="1"/>
        <v>1016</v>
      </c>
      <c r="E41" s="4" t="s">
        <v>221</v>
      </c>
      <c r="F41" s="4">
        <v>3</v>
      </c>
      <c r="G41" s="4" t="s">
        <v>11</v>
      </c>
      <c r="H41" s="4" t="s">
        <v>12</v>
      </c>
      <c r="I41" s="4"/>
      <c r="J41" s="5">
        <v>97.7</v>
      </c>
      <c r="K41" s="68"/>
      <c r="L41" s="99">
        <v>2.286</v>
      </c>
      <c r="M41" s="7" t="s">
        <v>260</v>
      </c>
      <c r="N41" s="3" t="s">
        <v>205</v>
      </c>
      <c r="O41" s="6">
        <v>2.4649999999999999</v>
      </c>
      <c r="P41" s="6">
        <v>2.2650000000000001</v>
      </c>
      <c r="Q41" s="6">
        <v>2.5169999999999999</v>
      </c>
      <c r="R41" s="9"/>
      <c r="S41" s="6">
        <v>2.3170000000000002</v>
      </c>
      <c r="T41" s="9"/>
      <c r="U41" s="9"/>
      <c r="V41" s="9"/>
      <c r="W41" s="9"/>
      <c r="X41" s="9"/>
      <c r="Y41" s="6">
        <v>2.5640000000000001</v>
      </c>
      <c r="Z41" s="6">
        <v>2.5649999999999999</v>
      </c>
      <c r="AA41" s="6">
        <v>2.4649999999999999</v>
      </c>
      <c r="AB41" s="6">
        <v>2.379</v>
      </c>
      <c r="AC41" s="6">
        <v>2.2480000000000002</v>
      </c>
      <c r="AD41" s="6">
        <v>2.0630000000000002</v>
      </c>
      <c r="AE41" s="6">
        <f t="shared" si="5"/>
        <v>2.1555</v>
      </c>
      <c r="AF41" s="103">
        <v>1.7549999999999999</v>
      </c>
      <c r="AG41" s="103">
        <v>1.869</v>
      </c>
      <c r="AH41" s="103">
        <v>1.8620000000000001</v>
      </c>
      <c r="AI41" s="103">
        <v>1.786</v>
      </c>
      <c r="AJ41" s="60"/>
      <c r="AK41" s="103">
        <v>2.0009999999999999</v>
      </c>
      <c r="AL41" s="103">
        <v>2.0350000000000001</v>
      </c>
      <c r="AM41" s="103">
        <v>2.0409999999999999</v>
      </c>
      <c r="AN41" s="103">
        <v>1.9430000000000001</v>
      </c>
      <c r="AO41" s="103">
        <v>2.0129999999999999</v>
      </c>
      <c r="AP41" s="103">
        <v>2.04</v>
      </c>
      <c r="AQ41" s="103">
        <v>1.9430000000000001</v>
      </c>
      <c r="AR41" s="103">
        <v>2.1880000000000002</v>
      </c>
      <c r="AS41" s="103">
        <v>2.0510000000000002</v>
      </c>
      <c r="AT41" s="103">
        <v>2.02</v>
      </c>
      <c r="AU41" s="103">
        <v>1.927</v>
      </c>
      <c r="AV41" s="103">
        <v>1.837</v>
      </c>
      <c r="AW41" s="103">
        <v>1.891</v>
      </c>
      <c r="AX41" s="103">
        <v>1.946</v>
      </c>
      <c r="AY41" s="103">
        <v>1.9770000000000001</v>
      </c>
      <c r="AZ41" s="103">
        <v>2.1920000000000002</v>
      </c>
      <c r="BA41" s="103">
        <v>2.0310000000000001</v>
      </c>
      <c r="BB41" s="103">
        <v>2.0840000000000001</v>
      </c>
      <c r="BC41" s="103">
        <v>1.8440000000000001</v>
      </c>
      <c r="BD41" s="103">
        <v>1.845</v>
      </c>
      <c r="BE41" s="60"/>
      <c r="BF41" s="60"/>
      <c r="BG41" s="60"/>
      <c r="BH41" s="60"/>
      <c r="BI41" s="60"/>
      <c r="BJ41" s="60"/>
      <c r="BK41" s="60"/>
      <c r="BL41" s="60"/>
      <c r="BM41" s="60"/>
      <c r="BN41" s="103">
        <v>2.1459999999999999</v>
      </c>
      <c r="BO41" s="103">
        <v>1.9419999999999999</v>
      </c>
      <c r="BP41" s="103">
        <v>2.1669999999999998</v>
      </c>
      <c r="BQ41" s="87">
        <v>1.421589</v>
      </c>
      <c r="BR41" s="87">
        <v>1.7639339999999999</v>
      </c>
      <c r="BS41" s="87">
        <v>2.9355739999999999</v>
      </c>
      <c r="BT41" s="87">
        <v>1.760095</v>
      </c>
      <c r="BU41" s="87">
        <v>1.8366260000000001</v>
      </c>
      <c r="BV41" s="87">
        <v>2.8962759999999999</v>
      </c>
      <c r="BW41" s="105">
        <v>1.9019999999999999</v>
      </c>
      <c r="BX41" s="105">
        <v>1.9530000000000001</v>
      </c>
      <c r="BY41" s="105">
        <v>1.964</v>
      </c>
      <c r="BZ41" s="105">
        <v>1.9119999999999999</v>
      </c>
      <c r="CA41" s="105">
        <v>1.7949999999999999</v>
      </c>
      <c r="CB41" s="105">
        <v>2.0339999999999998</v>
      </c>
      <c r="CC41" s="105">
        <v>2.0699999999999998</v>
      </c>
      <c r="CD41" s="105">
        <v>2.1560000000000001</v>
      </c>
      <c r="CE41" s="105">
        <v>2.016</v>
      </c>
      <c r="CF41" s="105">
        <v>2.052</v>
      </c>
      <c r="CG41" s="105">
        <v>2.113</v>
      </c>
      <c r="CH41" s="105">
        <v>1.9970000000000001</v>
      </c>
      <c r="CI41" s="105">
        <v>2.2519999999999998</v>
      </c>
      <c r="CJ41" s="105">
        <v>2.1059999999999999</v>
      </c>
      <c r="CK41" s="105">
        <v>2.0720000000000001</v>
      </c>
      <c r="CL41" s="105">
        <v>2.0470000000000002</v>
      </c>
      <c r="CM41" s="105">
        <v>1.919</v>
      </c>
      <c r="CN41" s="105">
        <v>2.004</v>
      </c>
      <c r="CO41" s="105">
        <v>2.1829999999999998</v>
      </c>
      <c r="CP41" s="105">
        <v>2.069</v>
      </c>
      <c r="CQ41" s="105">
        <v>2.2490000000000001</v>
      </c>
      <c r="CR41" s="105">
        <v>2.129</v>
      </c>
      <c r="CS41" s="105">
        <v>2.1829999999999998</v>
      </c>
      <c r="CT41" s="105">
        <v>1.9850000000000001</v>
      </c>
      <c r="CU41" s="105">
        <v>1.911</v>
      </c>
      <c r="CV41" s="105">
        <v>2.1280000000000001</v>
      </c>
      <c r="CW41" s="105">
        <v>2.0470000000000002</v>
      </c>
      <c r="CX41" s="105">
        <v>2.169</v>
      </c>
      <c r="CY41" s="105">
        <v>2.1920000000000002</v>
      </c>
      <c r="CZ41" s="105">
        <v>2.1059999999999999</v>
      </c>
      <c r="DA41" s="105">
        <v>2.19</v>
      </c>
      <c r="DB41" s="105">
        <v>2.3069999999999999</v>
      </c>
      <c r="DC41" s="105">
        <v>2.1890000000000001</v>
      </c>
      <c r="DD41" s="105">
        <v>2.181</v>
      </c>
      <c r="DE41" s="105">
        <v>2.2040000000000002</v>
      </c>
      <c r="DF41" s="105">
        <v>2.044</v>
      </c>
      <c r="DG41" s="105">
        <v>2.2410000000000001</v>
      </c>
      <c r="DH41" s="115">
        <v>1.4991220000000001</v>
      </c>
      <c r="DI41" s="115">
        <v>1.847135</v>
      </c>
      <c r="DJ41" s="115">
        <v>3.002084</v>
      </c>
      <c r="DK41" s="115">
        <v>1.8506339999999999</v>
      </c>
      <c r="DL41" s="115">
        <v>1.9244319999999999</v>
      </c>
      <c r="DM41" s="115">
        <v>2.8565930000000002</v>
      </c>
    </row>
    <row r="42" spans="1:117">
      <c r="A42" s="1">
        <f t="shared" si="4"/>
        <v>40</v>
      </c>
      <c r="B42" s="2"/>
      <c r="C42" s="4">
        <v>14</v>
      </c>
      <c r="D42" s="4">
        <f t="shared" si="1"/>
        <v>1016</v>
      </c>
      <c r="E42" s="4" t="s">
        <v>177</v>
      </c>
      <c r="F42" s="4">
        <v>3</v>
      </c>
      <c r="G42" s="4" t="s">
        <v>11</v>
      </c>
      <c r="H42" s="4" t="s">
        <v>17</v>
      </c>
      <c r="I42" s="4"/>
      <c r="J42" s="5">
        <v>97.3</v>
      </c>
      <c r="K42" s="68"/>
      <c r="L42" s="99">
        <v>2.8000000000000003</v>
      </c>
      <c r="M42" s="7" t="s">
        <v>260</v>
      </c>
      <c r="N42" s="3" t="s">
        <v>205</v>
      </c>
      <c r="O42" s="6">
        <v>3.306</v>
      </c>
      <c r="P42" s="6">
        <v>2.9529999999999998</v>
      </c>
      <c r="Q42" s="6">
        <v>3.24</v>
      </c>
      <c r="R42" s="9"/>
      <c r="S42" s="6">
        <v>2.7709999999999999</v>
      </c>
      <c r="T42" s="9"/>
      <c r="U42" s="9"/>
      <c r="V42" s="9"/>
      <c r="W42" s="9"/>
      <c r="X42" s="9"/>
      <c r="Y42" s="6">
        <v>3.097</v>
      </c>
      <c r="Z42" s="6">
        <v>3.097</v>
      </c>
      <c r="AA42" s="6">
        <v>3.052</v>
      </c>
      <c r="AB42" s="6">
        <v>2.93</v>
      </c>
      <c r="AC42" s="6">
        <v>2.964</v>
      </c>
      <c r="AD42" s="6">
        <v>2.4969999999999999</v>
      </c>
      <c r="AE42" s="6">
        <f t="shared" si="5"/>
        <v>2.7305000000000001</v>
      </c>
      <c r="AF42" s="103">
        <v>2.2090000000000001</v>
      </c>
      <c r="AG42" s="103">
        <v>2.2679999999999998</v>
      </c>
      <c r="AH42" s="103">
        <v>2.2509999999999999</v>
      </c>
      <c r="AI42" s="103">
        <v>2.1509999999999998</v>
      </c>
      <c r="AJ42" s="60"/>
      <c r="AK42" s="103">
        <v>2.19</v>
      </c>
      <c r="AL42" s="103">
        <v>2.202</v>
      </c>
      <c r="AM42" s="103">
        <v>2.2850000000000001</v>
      </c>
      <c r="AN42" s="103">
        <v>2.4649999999999999</v>
      </c>
      <c r="AO42" s="103">
        <v>2.3769999999999998</v>
      </c>
      <c r="AP42" s="103">
        <v>2.6970000000000001</v>
      </c>
      <c r="AQ42" s="103">
        <v>2.6720000000000002</v>
      </c>
      <c r="AR42" s="103">
        <v>2.6989999999999998</v>
      </c>
      <c r="AS42" s="103">
        <v>2.4169999999999998</v>
      </c>
      <c r="AT42" s="103">
        <v>2.41</v>
      </c>
      <c r="AU42" s="103">
        <v>2.15</v>
      </c>
      <c r="AV42" s="103">
        <v>2.367</v>
      </c>
      <c r="AW42" s="103">
        <v>2.2109999999999999</v>
      </c>
      <c r="AX42" s="103">
        <v>0.93400000000000005</v>
      </c>
      <c r="AY42" s="103">
        <v>2.2829999999999999</v>
      </c>
      <c r="AZ42" s="103">
        <v>2.496</v>
      </c>
      <c r="BA42" s="103">
        <v>2.1859999999999999</v>
      </c>
      <c r="BB42" s="103">
        <v>2.121</v>
      </c>
      <c r="BC42" s="103">
        <v>1.8819999999999999</v>
      </c>
      <c r="BD42" s="103">
        <v>2.375</v>
      </c>
      <c r="BE42" s="60"/>
      <c r="BF42" s="60"/>
      <c r="BG42" s="60"/>
      <c r="BH42" s="60"/>
      <c r="BI42" s="60"/>
      <c r="BJ42" s="60"/>
      <c r="BK42" s="60"/>
      <c r="BL42" s="60"/>
      <c r="BM42" s="60"/>
      <c r="BN42" s="103">
        <v>2.5369999999999999</v>
      </c>
      <c r="BO42" s="103">
        <v>2.2839999999999998</v>
      </c>
      <c r="BP42" s="103">
        <v>2.4780000000000002</v>
      </c>
      <c r="BQ42" s="87">
        <v>1.9730430000000001</v>
      </c>
      <c r="BR42" s="87">
        <v>2.2007500000000002</v>
      </c>
      <c r="BS42" s="87">
        <v>2.941039</v>
      </c>
      <c r="BT42" s="87">
        <v>2.1188690000000001</v>
      </c>
      <c r="BU42" s="87">
        <v>2.2210679999999998</v>
      </c>
      <c r="BV42" s="87">
        <v>2.977859</v>
      </c>
      <c r="BW42" s="105">
        <v>2.4740000000000002</v>
      </c>
      <c r="BX42" s="105">
        <v>2.4929999999999999</v>
      </c>
      <c r="BY42" s="105">
        <v>2.508</v>
      </c>
      <c r="BZ42" s="105">
        <v>2.5219999999999998</v>
      </c>
      <c r="CA42" s="105">
        <v>2.1080000000000001</v>
      </c>
      <c r="CB42" s="105">
        <v>2.516</v>
      </c>
      <c r="CC42" s="105">
        <v>2.536</v>
      </c>
      <c r="CD42" s="105">
        <v>2.6989999999999998</v>
      </c>
      <c r="CE42" s="105">
        <v>2.7629999999999999</v>
      </c>
      <c r="CF42" s="105">
        <v>2.6739999999999999</v>
      </c>
      <c r="CG42" s="105">
        <v>2.915</v>
      </c>
      <c r="CH42" s="105">
        <v>2.8919999999999999</v>
      </c>
      <c r="CI42" s="105">
        <v>2.931</v>
      </c>
      <c r="CJ42" s="105">
        <v>2.7109999999999999</v>
      </c>
      <c r="CK42" s="105">
        <v>2.7</v>
      </c>
      <c r="CL42" s="105">
        <v>2.641</v>
      </c>
      <c r="CM42" s="105">
        <v>2.5750000000000002</v>
      </c>
      <c r="CN42" s="105">
        <v>2.56</v>
      </c>
      <c r="CO42" s="105">
        <v>2.5779999999999998</v>
      </c>
      <c r="CP42" s="105">
        <v>2.7069999999999999</v>
      </c>
      <c r="CQ42" s="105">
        <v>2.855</v>
      </c>
      <c r="CR42" s="105">
        <v>2.7669999999999999</v>
      </c>
      <c r="CS42" s="105">
        <v>2.8140000000000001</v>
      </c>
      <c r="CT42" s="105">
        <v>2.734</v>
      </c>
      <c r="CU42" s="105">
        <v>2.82</v>
      </c>
      <c r="CV42" s="105">
        <v>2.74</v>
      </c>
      <c r="CW42" s="105">
        <v>2.6389999999999998</v>
      </c>
      <c r="CX42" s="105">
        <v>2.7970000000000002</v>
      </c>
      <c r="CY42" s="105">
        <v>2.8330000000000002</v>
      </c>
      <c r="CZ42" s="105">
        <v>2.7330000000000001</v>
      </c>
      <c r="DA42" s="105">
        <v>2.8330000000000002</v>
      </c>
      <c r="DB42" s="105">
        <v>3.4590000000000001</v>
      </c>
      <c r="DC42" s="105">
        <v>2.8180000000000001</v>
      </c>
      <c r="DD42" s="105">
        <v>2.8210000000000002</v>
      </c>
      <c r="DE42" s="105">
        <v>2.7290000000000001</v>
      </c>
      <c r="DF42" s="105">
        <v>2.556</v>
      </c>
      <c r="DG42" s="105">
        <v>2.7069999999999999</v>
      </c>
      <c r="DH42" s="115">
        <v>2.2095929999999999</v>
      </c>
      <c r="DI42" s="115">
        <v>2.4831859999999999</v>
      </c>
      <c r="DJ42" s="115">
        <v>3.1611150000000001</v>
      </c>
      <c r="DK42" s="115">
        <v>2.4481329999999999</v>
      </c>
      <c r="DL42" s="115">
        <v>2.5348609999999998</v>
      </c>
      <c r="DM42" s="115">
        <v>3.1182449999999999</v>
      </c>
    </row>
    <row r="43" spans="1:117">
      <c r="A43" s="1">
        <f t="shared" si="4"/>
        <v>41</v>
      </c>
      <c r="B43" s="2"/>
      <c r="C43" s="4">
        <v>14</v>
      </c>
      <c r="D43" s="4">
        <f t="shared" si="1"/>
        <v>1016</v>
      </c>
      <c r="E43" s="4" t="s">
        <v>169</v>
      </c>
      <c r="F43" s="4">
        <v>3</v>
      </c>
      <c r="G43" s="4" t="s">
        <v>11</v>
      </c>
      <c r="H43" s="4" t="s">
        <v>17</v>
      </c>
      <c r="I43" s="4"/>
      <c r="J43" s="5">
        <v>97.7</v>
      </c>
      <c r="K43" s="68"/>
      <c r="L43" s="99">
        <v>3.9209999999999998</v>
      </c>
      <c r="M43" s="7" t="s">
        <v>260</v>
      </c>
      <c r="N43" s="3" t="s">
        <v>205</v>
      </c>
      <c r="O43" s="6">
        <v>4.3159999999999998</v>
      </c>
      <c r="P43" s="6">
        <v>4.077</v>
      </c>
      <c r="Q43" s="6">
        <v>4.226</v>
      </c>
      <c r="R43" s="9"/>
      <c r="S43" s="6">
        <v>3.8330000000000002</v>
      </c>
      <c r="T43" s="9"/>
      <c r="U43" s="9"/>
      <c r="V43" s="9"/>
      <c r="W43" s="9"/>
      <c r="X43" s="9"/>
      <c r="Y43" s="6">
        <v>4.1029999999999998</v>
      </c>
      <c r="Z43" s="6">
        <v>4.0999999999999996</v>
      </c>
      <c r="AA43" s="6">
        <v>4.0970000000000004</v>
      </c>
      <c r="AB43" s="6">
        <v>3.9580000000000002</v>
      </c>
      <c r="AC43" s="6">
        <v>4.077</v>
      </c>
      <c r="AD43" s="6">
        <v>3.6640000000000001</v>
      </c>
      <c r="AE43" s="6">
        <f t="shared" si="5"/>
        <v>3.8704999999999998</v>
      </c>
      <c r="AF43" s="103">
        <v>3.38</v>
      </c>
      <c r="AG43" s="103">
        <v>3.4489999999999998</v>
      </c>
      <c r="AH43" s="103">
        <v>3.4830000000000001</v>
      </c>
      <c r="AI43" s="103">
        <v>3.4079999999999999</v>
      </c>
      <c r="AJ43" s="60"/>
      <c r="AK43" s="103">
        <v>3.41</v>
      </c>
      <c r="AL43" s="103">
        <v>3.4239999999999999</v>
      </c>
      <c r="AM43" s="103">
        <v>3.641</v>
      </c>
      <c r="AN43" s="103">
        <v>3.7970000000000002</v>
      </c>
      <c r="AO43" s="103">
        <v>3.6179999999999999</v>
      </c>
      <c r="AP43" s="103">
        <v>3.98</v>
      </c>
      <c r="AQ43" s="103">
        <v>3.9729999999999999</v>
      </c>
      <c r="AR43" s="103">
        <v>3.9990000000000001</v>
      </c>
      <c r="AS43" s="103">
        <v>3.7240000000000002</v>
      </c>
      <c r="AT43" s="103">
        <v>3.7170000000000001</v>
      </c>
      <c r="AU43" s="103">
        <v>3.431</v>
      </c>
      <c r="AV43" s="103">
        <v>3.6190000000000002</v>
      </c>
      <c r="AW43" s="103">
        <v>3.4820000000000002</v>
      </c>
      <c r="AX43" s="103">
        <v>2.4430000000000001</v>
      </c>
      <c r="AY43" s="103">
        <v>3.5779999999999998</v>
      </c>
      <c r="AZ43" s="103">
        <v>3.774</v>
      </c>
      <c r="BA43" s="103">
        <v>3.4279999999999999</v>
      </c>
      <c r="BB43" s="103">
        <v>3.2970000000000002</v>
      </c>
      <c r="BC43" s="103">
        <v>3.0249999999999999</v>
      </c>
      <c r="BD43" s="103">
        <v>3.597</v>
      </c>
      <c r="BE43" s="60"/>
      <c r="BF43" s="60"/>
      <c r="BG43" s="60"/>
      <c r="BH43" s="60"/>
      <c r="BI43" s="60"/>
      <c r="BJ43" s="60"/>
      <c r="BK43" s="60"/>
      <c r="BL43" s="60"/>
      <c r="BM43" s="60"/>
      <c r="BN43" s="103">
        <v>3.8149999999999999</v>
      </c>
      <c r="BO43" s="103">
        <v>3.5249999999999999</v>
      </c>
      <c r="BP43" s="103">
        <v>3.77</v>
      </c>
      <c r="BQ43" s="87">
        <v>3.032181</v>
      </c>
      <c r="BR43" s="87">
        <v>3.3146</v>
      </c>
      <c r="BS43" s="87">
        <v>4.1717820000000003</v>
      </c>
      <c r="BT43" s="87">
        <v>3.2682570000000002</v>
      </c>
      <c r="BU43" s="87">
        <v>3.34137</v>
      </c>
      <c r="BV43" s="87">
        <v>4.2557929999999997</v>
      </c>
      <c r="BW43" s="105">
        <v>3.4870000000000001</v>
      </c>
      <c r="BX43" s="105">
        <v>3.53</v>
      </c>
      <c r="BY43" s="105">
        <v>3.6030000000000002</v>
      </c>
      <c r="BZ43" s="105">
        <v>3.669</v>
      </c>
      <c r="CA43" s="105">
        <v>3.113</v>
      </c>
      <c r="CB43" s="105">
        <v>3.629</v>
      </c>
      <c r="CC43" s="105">
        <v>3.6480000000000001</v>
      </c>
      <c r="CD43" s="105">
        <v>3.9380000000000002</v>
      </c>
      <c r="CE43" s="105">
        <v>4.0129999999999999</v>
      </c>
      <c r="CF43" s="105">
        <v>3.871</v>
      </c>
      <c r="CG43" s="105">
        <v>4.1440000000000001</v>
      </c>
      <c r="CH43" s="105">
        <v>4.13</v>
      </c>
      <c r="CI43" s="105">
        <v>4.165</v>
      </c>
      <c r="CJ43" s="105">
        <v>3.9180000000000001</v>
      </c>
      <c r="CK43" s="105">
        <v>3.9089999999999998</v>
      </c>
      <c r="CL43" s="105">
        <v>3.8359999999999999</v>
      </c>
      <c r="CM43" s="105">
        <v>3.7709999999999999</v>
      </c>
      <c r="CN43" s="105">
        <v>3.7370000000000001</v>
      </c>
      <c r="CO43" s="105">
        <v>3.61</v>
      </c>
      <c r="CP43" s="105">
        <v>3.9180000000000001</v>
      </c>
      <c r="CQ43" s="105">
        <v>4.0579999999999998</v>
      </c>
      <c r="CR43" s="105">
        <v>3.9319999999999999</v>
      </c>
      <c r="CS43" s="105">
        <v>3.931</v>
      </c>
      <c r="CT43" s="105">
        <v>3.7930000000000001</v>
      </c>
      <c r="CU43" s="105">
        <v>3.992</v>
      </c>
      <c r="CV43" s="105">
        <v>3.9319999999999999</v>
      </c>
      <c r="CW43" s="105">
        <v>3.823</v>
      </c>
      <c r="CX43" s="105">
        <v>3.9460000000000002</v>
      </c>
      <c r="CY43" s="105">
        <v>3.9689999999999999</v>
      </c>
      <c r="CZ43" s="105">
        <v>3.839</v>
      </c>
      <c r="DA43" s="105">
        <v>3.9380000000000002</v>
      </c>
      <c r="DB43" s="105">
        <v>4.5860000000000003</v>
      </c>
      <c r="DC43" s="105">
        <v>3.923</v>
      </c>
      <c r="DD43" s="105">
        <v>3.9319999999999999</v>
      </c>
      <c r="DE43" s="105">
        <v>3.8959999999999999</v>
      </c>
      <c r="DF43" s="105">
        <v>3.677</v>
      </c>
      <c r="DG43" s="105">
        <v>3.8879999999999999</v>
      </c>
      <c r="DH43" s="115">
        <v>3.2221389999999999</v>
      </c>
      <c r="DI43" s="115">
        <v>3.5604659999999999</v>
      </c>
      <c r="DJ43" s="115">
        <v>4.327801</v>
      </c>
      <c r="DK43" s="115">
        <v>3.547885</v>
      </c>
      <c r="DL43" s="115">
        <v>3.6202580000000002</v>
      </c>
      <c r="DM43" s="115">
        <v>4.2718959999999999</v>
      </c>
    </row>
    <row r="44" spans="1:117">
      <c r="A44" s="1">
        <f t="shared" si="4"/>
        <v>42</v>
      </c>
      <c r="B44" s="2"/>
      <c r="C44" s="4">
        <v>14</v>
      </c>
      <c r="D44" s="4">
        <f t="shared" si="1"/>
        <v>1016</v>
      </c>
      <c r="E44" s="4" t="s">
        <v>177</v>
      </c>
      <c r="F44" s="4">
        <v>3</v>
      </c>
      <c r="G44" s="4" t="s">
        <v>11</v>
      </c>
      <c r="H44" s="4" t="s">
        <v>17</v>
      </c>
      <c r="I44" s="4"/>
      <c r="J44" s="5">
        <v>96.3</v>
      </c>
      <c r="K44" s="68"/>
      <c r="L44" s="99">
        <v>4.2179999999999991</v>
      </c>
      <c r="M44" s="7" t="s">
        <v>260</v>
      </c>
      <c r="N44" s="3" t="s">
        <v>205</v>
      </c>
      <c r="O44" s="6">
        <v>4.6150000000000002</v>
      </c>
      <c r="P44" s="6">
        <v>4.3019999999999996</v>
      </c>
      <c r="Q44" s="6">
        <v>4.6580000000000004</v>
      </c>
      <c r="R44" s="9"/>
      <c r="S44" s="6">
        <v>4.359</v>
      </c>
      <c r="T44" s="9"/>
      <c r="U44" s="9"/>
      <c r="V44" s="9"/>
      <c r="W44" s="9"/>
      <c r="X44" s="9"/>
      <c r="Y44" s="6">
        <v>4.4509999999999996</v>
      </c>
      <c r="Z44" s="6">
        <v>4.4550000000000001</v>
      </c>
      <c r="AA44" s="6">
        <v>4.4160000000000004</v>
      </c>
      <c r="AB44" s="6">
        <v>4.2679999999999998</v>
      </c>
      <c r="AC44" s="6">
        <v>4.3109999999999999</v>
      </c>
      <c r="AD44" s="6">
        <v>4.0129999999999999</v>
      </c>
      <c r="AE44" s="6">
        <f t="shared" si="5"/>
        <v>4.1619999999999999</v>
      </c>
      <c r="AF44" s="103">
        <v>3.4569999999999999</v>
      </c>
      <c r="AG44" s="103">
        <v>3.5059999999999998</v>
      </c>
      <c r="AH44" s="103">
        <v>3.5889000000000002</v>
      </c>
      <c r="AI44" s="103">
        <v>3.6720000000000002</v>
      </c>
      <c r="AJ44" s="60"/>
      <c r="AK44" s="103">
        <v>3.621</v>
      </c>
      <c r="AL44" s="103">
        <v>3.6349999999999998</v>
      </c>
      <c r="AM44" s="103">
        <v>3.9990000000000001</v>
      </c>
      <c r="AN44" s="103">
        <v>4.0629999999999997</v>
      </c>
      <c r="AO44" s="103">
        <v>3.9670000000000001</v>
      </c>
      <c r="AP44" s="103">
        <v>4.2050000000000001</v>
      </c>
      <c r="AQ44" s="103">
        <v>4.1920000000000002</v>
      </c>
      <c r="AR44" s="103">
        <v>4.2169999999999996</v>
      </c>
      <c r="AS44" s="103">
        <v>3.9319999999999999</v>
      </c>
      <c r="AT44" s="103">
        <v>3.9249999999999998</v>
      </c>
      <c r="AU44" s="103">
        <v>3.9769999999999999</v>
      </c>
      <c r="AV44" s="103">
        <v>3.7029999999999998</v>
      </c>
      <c r="AW44" s="103">
        <v>3.766</v>
      </c>
      <c r="AX44" s="103">
        <v>3.49</v>
      </c>
      <c r="AY44" s="103">
        <v>4.0469999999999997</v>
      </c>
      <c r="AZ44" s="103">
        <v>4.2430000000000003</v>
      </c>
      <c r="BA44" s="103">
        <v>4.1289999999999996</v>
      </c>
      <c r="BB44" s="103">
        <v>4.3869999999999996</v>
      </c>
      <c r="BC44" s="103">
        <v>4.3010000000000002</v>
      </c>
      <c r="BD44" s="103">
        <v>4.2320000000000002</v>
      </c>
      <c r="BE44" s="60"/>
      <c r="BF44" s="60"/>
      <c r="BG44" s="60"/>
      <c r="BH44" s="60"/>
      <c r="BI44" s="60"/>
      <c r="BJ44" s="60"/>
      <c r="BK44" s="60"/>
      <c r="BL44" s="60"/>
      <c r="BM44" s="60"/>
      <c r="BN44" s="103">
        <v>3.8929999999999998</v>
      </c>
      <c r="BO44" s="103">
        <v>3.6659999999999999</v>
      </c>
      <c r="BP44" s="103">
        <v>3.891</v>
      </c>
      <c r="BQ44" s="87">
        <v>3.315042</v>
      </c>
      <c r="BR44" s="87">
        <v>3.680304</v>
      </c>
      <c r="BS44" s="87">
        <v>4.3682689999999997</v>
      </c>
      <c r="BT44" s="87">
        <v>3.6897419999999999</v>
      </c>
      <c r="BU44" s="87">
        <v>3.7601680000000002</v>
      </c>
      <c r="BV44" s="87">
        <v>4.3818890000000001</v>
      </c>
      <c r="BW44" s="105">
        <v>3.5</v>
      </c>
      <c r="BX44" s="105">
        <v>3.5430000000000001</v>
      </c>
      <c r="BY44" s="105">
        <v>3.6269999999999998</v>
      </c>
      <c r="BZ44" s="105">
        <v>3.7280000000000002</v>
      </c>
      <c r="CA44" s="105">
        <v>3.621</v>
      </c>
      <c r="CB44" s="105">
        <v>3.6749999999999998</v>
      </c>
      <c r="CC44" s="105">
        <v>3.6920000000000002</v>
      </c>
      <c r="CD44" s="105">
        <v>4.0640000000000001</v>
      </c>
      <c r="CE44" s="105">
        <v>4.1100000000000003</v>
      </c>
      <c r="CF44" s="105">
        <v>4.0140000000000002</v>
      </c>
      <c r="CG44" s="105">
        <v>4.2439999999999998</v>
      </c>
      <c r="CH44" s="105">
        <v>4.234</v>
      </c>
      <c r="CI44" s="105">
        <v>4.2629999999999999</v>
      </c>
      <c r="CJ44" s="105">
        <v>3.9750000000000001</v>
      </c>
      <c r="CK44" s="105">
        <v>3.9670000000000001</v>
      </c>
      <c r="CL44" s="105">
        <v>4.07</v>
      </c>
      <c r="CM44" s="105">
        <v>3.734</v>
      </c>
      <c r="CN44" s="105">
        <v>3.819</v>
      </c>
      <c r="CO44" s="105">
        <v>4.2140000000000004</v>
      </c>
      <c r="CP44" s="105">
        <v>4.12</v>
      </c>
      <c r="CQ44" s="105">
        <v>4.3099999999999996</v>
      </c>
      <c r="CR44" s="105">
        <v>4.2949999999999999</v>
      </c>
      <c r="CS44" s="105">
        <v>4.3860000000000001</v>
      </c>
      <c r="CT44" s="105">
        <v>4.3099999999999996</v>
      </c>
      <c r="CU44" s="105">
        <v>4.3310000000000004</v>
      </c>
      <c r="CV44" s="105">
        <v>4.032</v>
      </c>
      <c r="CW44" s="105">
        <v>4.0469999999999997</v>
      </c>
      <c r="CX44" s="105">
        <v>4.4809999999999999</v>
      </c>
      <c r="CY44" s="105">
        <v>4.5590000000000002</v>
      </c>
      <c r="CZ44" s="105">
        <v>4.5549999999999997</v>
      </c>
      <c r="DA44" s="105">
        <v>4.5469999999999997</v>
      </c>
      <c r="DB44" s="105">
        <v>4.5609999999999999</v>
      </c>
      <c r="DC44" s="105">
        <v>4.399</v>
      </c>
      <c r="DD44" s="105">
        <v>4.4119999999999999</v>
      </c>
      <c r="DE44" s="105">
        <v>3.9220000000000002</v>
      </c>
      <c r="DF44" s="105">
        <v>3.7069999999999999</v>
      </c>
      <c r="DG44" s="105">
        <v>3.9260000000000002</v>
      </c>
      <c r="DH44" s="115">
        <v>3.3630209999999998</v>
      </c>
      <c r="DI44" s="115">
        <v>3.7393689999999999</v>
      </c>
      <c r="DJ44" s="115">
        <v>4.4205959999999997</v>
      </c>
      <c r="DK44" s="115">
        <v>3.7603309999999999</v>
      </c>
      <c r="DL44" s="115">
        <v>3.8281360000000002</v>
      </c>
      <c r="DM44" s="115">
        <v>4.349151</v>
      </c>
    </row>
    <row r="45" spans="1:117">
      <c r="A45" s="1">
        <f t="shared" si="4"/>
        <v>43</v>
      </c>
      <c r="B45" s="2"/>
      <c r="C45" s="4">
        <v>14</v>
      </c>
      <c r="D45" s="4">
        <f t="shared" si="1"/>
        <v>1016</v>
      </c>
      <c r="E45" s="4" t="s">
        <v>169</v>
      </c>
      <c r="F45" s="4">
        <v>3</v>
      </c>
      <c r="G45" s="4" t="s">
        <v>11</v>
      </c>
      <c r="H45" s="4" t="s">
        <v>17</v>
      </c>
      <c r="I45" s="4"/>
      <c r="J45" s="5">
        <v>96.2</v>
      </c>
      <c r="K45" s="68"/>
      <c r="L45" s="99">
        <v>4.278999999999999</v>
      </c>
      <c r="M45" s="7" t="s">
        <v>260</v>
      </c>
      <c r="N45" s="3" t="s">
        <v>205</v>
      </c>
      <c r="O45" s="6">
        <v>4.5949999999999998</v>
      </c>
      <c r="P45" s="6">
        <v>4.3769999999999998</v>
      </c>
      <c r="Q45" s="6">
        <v>4.7460000000000004</v>
      </c>
      <c r="R45" s="9"/>
      <c r="S45" s="6">
        <v>4.444</v>
      </c>
      <c r="T45" s="9"/>
      <c r="U45" s="9"/>
      <c r="V45" s="9"/>
      <c r="W45" s="9"/>
      <c r="X45" s="9"/>
      <c r="Y45" s="6">
        <v>4.5179999999999998</v>
      </c>
      <c r="Z45" s="6">
        <v>4.5229999999999997</v>
      </c>
      <c r="AA45" s="6">
        <v>4.4829999999999997</v>
      </c>
      <c r="AB45" s="6">
        <v>4.33</v>
      </c>
      <c r="AC45" s="6">
        <v>4.3819999999999997</v>
      </c>
      <c r="AD45" s="6">
        <v>4.0640000000000001</v>
      </c>
      <c r="AE45" s="6">
        <f t="shared" si="5"/>
        <v>4.2229999999999999</v>
      </c>
      <c r="AF45" s="103">
        <v>3.5590000000000002</v>
      </c>
      <c r="AG45" s="103">
        <v>3.621</v>
      </c>
      <c r="AH45" s="103">
        <v>3.673</v>
      </c>
      <c r="AI45" s="103">
        <v>3.7330000000000001</v>
      </c>
      <c r="AJ45" s="60"/>
      <c r="AK45" s="103">
        <v>3.677</v>
      </c>
      <c r="AL45" s="103">
        <v>3.6909999999999998</v>
      </c>
      <c r="AM45" s="103">
        <v>4.0620000000000003</v>
      </c>
      <c r="AN45" s="103">
        <v>4.1219999999999999</v>
      </c>
      <c r="AO45" s="103">
        <v>4.0259999999999998</v>
      </c>
      <c r="AP45" s="103">
        <v>4.258</v>
      </c>
      <c r="AQ45" s="103">
        <v>4.2439999999999998</v>
      </c>
      <c r="AR45" s="103">
        <v>4.2690000000000001</v>
      </c>
      <c r="AS45" s="103">
        <v>3.9929999999999999</v>
      </c>
      <c r="AT45" s="103">
        <v>3.9860000000000002</v>
      </c>
      <c r="AU45" s="103">
        <v>4.0579999999999998</v>
      </c>
      <c r="AV45" s="103">
        <v>3.7949999999999999</v>
      </c>
      <c r="AW45" s="103">
        <v>3.8260000000000001</v>
      </c>
      <c r="AX45" s="103">
        <v>4.2709999999999999</v>
      </c>
      <c r="AY45" s="103">
        <v>4.1109999999999998</v>
      </c>
      <c r="AZ45" s="103">
        <v>4.3070000000000004</v>
      </c>
      <c r="BA45" s="103">
        <v>4.2679999999999998</v>
      </c>
      <c r="BB45" s="103">
        <v>4.351</v>
      </c>
      <c r="BC45" s="103">
        <v>4.2789999999999999</v>
      </c>
      <c r="BD45" s="103">
        <v>4.3159999999999998</v>
      </c>
      <c r="BE45" s="60"/>
      <c r="BF45" s="60"/>
      <c r="BG45" s="60"/>
      <c r="BH45" s="60"/>
      <c r="BI45" s="60"/>
      <c r="BJ45" s="60"/>
      <c r="BK45" s="60"/>
      <c r="BL45" s="60"/>
      <c r="BM45" s="60"/>
      <c r="BN45" s="103">
        <v>3.9790000000000001</v>
      </c>
      <c r="BO45" s="103">
        <v>3.738</v>
      </c>
      <c r="BP45" s="103">
        <v>3.9609999999999999</v>
      </c>
      <c r="BQ45" s="87">
        <v>3.3648739999999999</v>
      </c>
      <c r="BR45" s="87">
        <v>3.737241</v>
      </c>
      <c r="BS45" s="87">
        <v>4.4321400000000004</v>
      </c>
      <c r="BT45" s="87">
        <v>3.7583410000000002</v>
      </c>
      <c r="BU45" s="87">
        <v>3.8233220000000001</v>
      </c>
      <c r="BV45" s="87">
        <v>4.4441069999999998</v>
      </c>
      <c r="BW45" s="105">
        <v>3.7090000000000001</v>
      </c>
      <c r="BX45" s="105">
        <v>3.746</v>
      </c>
      <c r="BY45" s="105">
        <v>3.7839999999999998</v>
      </c>
      <c r="BZ45" s="105">
        <v>3.83</v>
      </c>
      <c r="CA45" s="105">
        <v>3.698</v>
      </c>
      <c r="CB45" s="105">
        <v>3.7749999999999999</v>
      </c>
      <c r="CC45" s="105">
        <v>3.7949999999999999</v>
      </c>
      <c r="CD45" s="105">
        <v>4.1340000000000003</v>
      </c>
      <c r="CE45" s="105">
        <v>4.1829999999999998</v>
      </c>
      <c r="CF45" s="105">
        <v>4.077</v>
      </c>
      <c r="CG45" s="105">
        <v>4.3070000000000004</v>
      </c>
      <c r="CH45" s="105">
        <v>4.2930000000000001</v>
      </c>
      <c r="CI45" s="105">
        <v>4.3239999999999998</v>
      </c>
      <c r="CJ45" s="105">
        <v>4.0739999999999998</v>
      </c>
      <c r="CK45" s="105">
        <v>4.0650000000000004</v>
      </c>
      <c r="CL45" s="105">
        <v>4.125</v>
      </c>
      <c r="CM45" s="105">
        <v>3.883</v>
      </c>
      <c r="CN45" s="105">
        <v>3.9020000000000001</v>
      </c>
      <c r="CO45" s="105">
        <v>4.3920000000000003</v>
      </c>
      <c r="CP45" s="105">
        <v>4.173</v>
      </c>
      <c r="CQ45" s="105">
        <v>4.3579999999999997</v>
      </c>
      <c r="CR45" s="105">
        <v>4.3449999999999998</v>
      </c>
      <c r="CS45" s="105">
        <v>4.4450000000000003</v>
      </c>
      <c r="CT45" s="105">
        <v>4.3789999999999996</v>
      </c>
      <c r="CU45" s="105">
        <v>4.3730000000000002</v>
      </c>
      <c r="CV45" s="105">
        <v>4.0540000000000003</v>
      </c>
      <c r="CW45" s="105">
        <v>4.0960000000000001</v>
      </c>
      <c r="CX45" s="105">
        <v>4.2910000000000004</v>
      </c>
      <c r="CY45" s="105">
        <v>4.4279999999999999</v>
      </c>
      <c r="CZ45" s="105">
        <v>4.476</v>
      </c>
      <c r="DA45" s="105">
        <v>4.4820000000000002</v>
      </c>
      <c r="DB45" s="105">
        <v>4.367</v>
      </c>
      <c r="DC45" s="105">
        <v>4.2679999999999998</v>
      </c>
      <c r="DD45" s="105">
        <v>4.25</v>
      </c>
      <c r="DE45" s="105">
        <v>4.0590000000000002</v>
      </c>
      <c r="DF45" s="105">
        <v>3.8460000000000001</v>
      </c>
      <c r="DG45" s="105">
        <v>4.0389999999999997</v>
      </c>
      <c r="DH45" s="115">
        <v>3.4091089999999999</v>
      </c>
      <c r="DI45" s="115">
        <v>3.7869640000000002</v>
      </c>
      <c r="DJ45" s="115">
        <v>4.4925100000000002</v>
      </c>
      <c r="DK45" s="115">
        <v>3.8115399999999999</v>
      </c>
      <c r="DL45" s="115">
        <v>3.8757039999999998</v>
      </c>
      <c r="DM45" s="115">
        <v>4.425211</v>
      </c>
    </row>
    <row r="46" spans="1:117">
      <c r="A46" s="1">
        <f t="shared" si="4"/>
        <v>44</v>
      </c>
      <c r="B46" s="2" t="s">
        <v>412</v>
      </c>
      <c r="C46" s="4">
        <v>10</v>
      </c>
      <c r="D46" s="4">
        <f t="shared" si="1"/>
        <v>1016</v>
      </c>
      <c r="E46" s="4" t="s">
        <v>291</v>
      </c>
      <c r="F46" s="4">
        <v>1</v>
      </c>
      <c r="G46" s="4" t="s">
        <v>11</v>
      </c>
      <c r="H46" s="4" t="s">
        <v>17</v>
      </c>
      <c r="I46" s="4"/>
      <c r="J46" s="5">
        <v>86.1</v>
      </c>
      <c r="K46" s="63">
        <v>0.36699999999999999</v>
      </c>
      <c r="L46" s="99">
        <v>3.931</v>
      </c>
      <c r="M46" s="7" t="s">
        <v>113</v>
      </c>
      <c r="N46" s="3" t="s">
        <v>205</v>
      </c>
      <c r="O46" s="6">
        <v>3.6779999999999999</v>
      </c>
      <c r="P46" s="6">
        <v>3.8439999999999999</v>
      </c>
      <c r="Q46" s="6">
        <v>4.3579999999999997</v>
      </c>
      <c r="R46" s="60"/>
      <c r="S46" s="6">
        <v>4.1689999999999996</v>
      </c>
      <c r="T46" s="6">
        <v>4.0039999999999996</v>
      </c>
      <c r="U46" s="6">
        <v>3.9980000000000002</v>
      </c>
      <c r="V46" s="6">
        <v>4.0140000000000002</v>
      </c>
      <c r="W46" s="6">
        <v>3.9369999999999998</v>
      </c>
      <c r="X46" s="60"/>
      <c r="Y46" s="6">
        <v>4.0069999999999997</v>
      </c>
      <c r="Z46" s="6">
        <v>4.1459999999999999</v>
      </c>
      <c r="AA46" s="6">
        <v>4.0449999999999999</v>
      </c>
      <c r="AB46" s="6">
        <v>3.746</v>
      </c>
      <c r="AC46" s="6">
        <v>3.637</v>
      </c>
      <c r="AD46" s="6">
        <v>4.0010000000000003</v>
      </c>
      <c r="AE46" s="74">
        <f>0.5*(AC46+AD46)</f>
        <v>3.819</v>
      </c>
      <c r="AF46" s="60"/>
      <c r="AG46" s="60"/>
      <c r="AH46" s="60"/>
      <c r="AI46" s="60"/>
      <c r="AJ46" s="60"/>
      <c r="AK46" s="60"/>
      <c r="AL46" s="60"/>
      <c r="AM46" s="60"/>
      <c r="AN46" s="60"/>
      <c r="AO46" s="60"/>
      <c r="AP46" s="60"/>
      <c r="AQ46" s="60"/>
      <c r="AR46" s="60"/>
      <c r="AS46" s="60"/>
      <c r="AT46" s="60"/>
      <c r="AU46" s="60"/>
      <c r="AV46" s="60"/>
      <c r="AW46" s="60"/>
      <c r="AX46" s="60"/>
      <c r="AY46" s="60"/>
      <c r="AZ46" s="60"/>
      <c r="BA46" s="60"/>
      <c r="BB46" s="60"/>
      <c r="BC46" s="60"/>
      <c r="BD46" s="60"/>
      <c r="BE46" s="60"/>
      <c r="BF46" s="60"/>
      <c r="BG46" s="60"/>
      <c r="BH46" s="60"/>
      <c r="BI46" s="60"/>
      <c r="BJ46" s="60"/>
      <c r="BK46" s="60"/>
      <c r="BL46" s="60"/>
      <c r="BM46" s="60"/>
      <c r="BN46" s="60"/>
      <c r="BO46" s="60"/>
      <c r="BP46" s="60"/>
      <c r="BQ46" s="60"/>
      <c r="BR46" s="60"/>
      <c r="BS46" s="60"/>
      <c r="BT46" s="60"/>
      <c r="BU46" s="60"/>
      <c r="BV46" s="60"/>
      <c r="BW46" s="60"/>
      <c r="BX46" s="60"/>
      <c r="BY46" s="60"/>
      <c r="BZ46" s="60"/>
      <c r="CA46" s="60"/>
      <c r="CB46" s="60"/>
      <c r="CC46" s="60"/>
      <c r="CD46" s="60"/>
      <c r="CE46" s="60"/>
      <c r="CF46" s="60"/>
      <c r="CG46" s="60"/>
      <c r="CH46" s="60"/>
      <c r="CI46" s="60"/>
      <c r="CJ46" s="60"/>
      <c r="CK46" s="60"/>
      <c r="CL46" s="60"/>
      <c r="CM46" s="60"/>
      <c r="CN46" s="60"/>
      <c r="CO46" s="60"/>
      <c r="CP46" s="60"/>
      <c r="CQ46" s="60"/>
      <c r="CR46" s="60"/>
      <c r="CS46" s="60"/>
      <c r="CT46" s="60"/>
      <c r="CU46" s="60"/>
      <c r="CV46" s="60"/>
      <c r="CW46" s="60"/>
      <c r="CX46" s="60"/>
      <c r="CY46" s="60"/>
      <c r="CZ46" s="60"/>
      <c r="DA46" s="60"/>
      <c r="DB46" s="60"/>
      <c r="DC46" s="60"/>
      <c r="DD46" s="60"/>
      <c r="DE46" s="60"/>
      <c r="DF46" s="60"/>
      <c r="DG46" s="60"/>
      <c r="DH46" s="60"/>
      <c r="DI46" s="60"/>
      <c r="DJ46" s="60"/>
      <c r="DK46" s="60"/>
      <c r="DL46" s="60"/>
      <c r="DM46" s="60"/>
    </row>
    <row r="47" spans="1:117">
      <c r="A47" s="1">
        <f t="shared" si="4"/>
        <v>45</v>
      </c>
      <c r="B47" s="2"/>
      <c r="C47" s="4">
        <v>10</v>
      </c>
      <c r="D47" s="4">
        <f t="shared" si="1"/>
        <v>1016</v>
      </c>
      <c r="E47" s="4" t="s">
        <v>290</v>
      </c>
      <c r="F47" s="4">
        <v>1</v>
      </c>
      <c r="G47" s="4" t="s">
        <v>11</v>
      </c>
      <c r="H47" s="4"/>
      <c r="I47" s="4"/>
      <c r="J47" s="5">
        <v>86.7</v>
      </c>
      <c r="K47" s="63">
        <v>0</v>
      </c>
      <c r="L47" s="99">
        <v>4.3860000000000001</v>
      </c>
      <c r="M47" s="7" t="s">
        <v>113</v>
      </c>
      <c r="N47" s="3" t="s">
        <v>205</v>
      </c>
      <c r="O47" s="6">
        <v>4.6310000000000002</v>
      </c>
      <c r="P47" s="6">
        <v>4.32</v>
      </c>
      <c r="Q47" s="6">
        <v>4.8879999999999999</v>
      </c>
      <c r="R47" s="60"/>
      <c r="S47" s="6">
        <v>4.7030000000000003</v>
      </c>
      <c r="T47" s="6">
        <v>4.5140000000000002</v>
      </c>
      <c r="U47" s="6">
        <v>4.4980000000000002</v>
      </c>
      <c r="V47" s="6">
        <v>4.4640000000000004</v>
      </c>
      <c r="W47" s="6">
        <v>4.3449999999999998</v>
      </c>
      <c r="X47" s="60"/>
      <c r="Y47" s="6">
        <v>4.67</v>
      </c>
      <c r="Z47" s="6">
        <v>4.7839999999999998</v>
      </c>
      <c r="AA47" s="6">
        <v>4.6479999999999997</v>
      </c>
      <c r="AB47" s="6">
        <v>4.4119999999999999</v>
      </c>
      <c r="AC47" s="6">
        <v>4.1619999999999999</v>
      </c>
      <c r="AD47" s="6">
        <v>4.375</v>
      </c>
      <c r="AE47" s="74">
        <f t="shared" ref="AE47:AE62" si="6">0.5*(AC47+AD47)</f>
        <v>4.2684999999999995</v>
      </c>
      <c r="AF47" s="60"/>
      <c r="AG47" s="60"/>
      <c r="AH47" s="60"/>
      <c r="AI47" s="60"/>
      <c r="AJ47" s="60"/>
      <c r="AK47" s="60"/>
      <c r="AL47" s="60"/>
      <c r="AM47" s="60"/>
      <c r="AN47" s="60"/>
      <c r="AO47" s="60"/>
      <c r="AP47" s="60"/>
      <c r="AQ47" s="60"/>
      <c r="AR47" s="60"/>
      <c r="AS47" s="60"/>
      <c r="AT47" s="60"/>
      <c r="AU47" s="60"/>
      <c r="AV47" s="60"/>
      <c r="AW47" s="60"/>
      <c r="AX47" s="60"/>
      <c r="AY47" s="60"/>
      <c r="AZ47" s="60"/>
      <c r="BA47" s="60"/>
      <c r="BB47" s="60"/>
      <c r="BC47" s="60"/>
      <c r="BD47" s="60"/>
      <c r="BE47" s="60"/>
      <c r="BF47" s="60"/>
      <c r="BG47" s="60"/>
      <c r="BH47" s="60"/>
      <c r="BI47" s="60"/>
      <c r="BJ47" s="60"/>
      <c r="BK47" s="60"/>
      <c r="BL47" s="60"/>
      <c r="BM47" s="60"/>
      <c r="BN47" s="60"/>
      <c r="BO47" s="60"/>
      <c r="BP47" s="60"/>
      <c r="BQ47" s="60"/>
      <c r="BR47" s="60"/>
      <c r="BS47" s="60"/>
      <c r="BT47" s="60"/>
      <c r="BU47" s="60"/>
      <c r="BV47" s="60"/>
      <c r="BW47" s="60"/>
      <c r="BX47" s="60"/>
      <c r="BY47" s="60"/>
      <c r="BZ47" s="60"/>
      <c r="CA47" s="60"/>
      <c r="CB47" s="60"/>
      <c r="CC47" s="60"/>
      <c r="CD47" s="60"/>
      <c r="CE47" s="60"/>
      <c r="CF47" s="60"/>
      <c r="CG47" s="60"/>
      <c r="CH47" s="60"/>
      <c r="CI47" s="60"/>
      <c r="CJ47" s="60"/>
      <c r="CK47" s="60"/>
      <c r="CL47" s="60"/>
      <c r="CM47" s="60"/>
      <c r="CN47" s="60"/>
      <c r="CO47" s="60"/>
      <c r="CP47" s="60"/>
      <c r="CQ47" s="60"/>
      <c r="CR47" s="60"/>
      <c r="CS47" s="60"/>
      <c r="CT47" s="60"/>
      <c r="CU47" s="60"/>
      <c r="CV47" s="60"/>
      <c r="CW47" s="60"/>
      <c r="CX47" s="60"/>
      <c r="CY47" s="60"/>
      <c r="CZ47" s="60"/>
      <c r="DA47" s="60"/>
      <c r="DB47" s="60"/>
      <c r="DC47" s="60"/>
      <c r="DD47" s="60"/>
      <c r="DE47" s="60"/>
      <c r="DF47" s="60"/>
      <c r="DG47" s="60"/>
      <c r="DH47" s="60"/>
      <c r="DI47" s="60"/>
      <c r="DJ47" s="60"/>
      <c r="DK47" s="60"/>
      <c r="DL47" s="60"/>
      <c r="DM47" s="60"/>
    </row>
    <row r="48" spans="1:117">
      <c r="A48" s="1">
        <f t="shared" si="4"/>
        <v>46</v>
      </c>
      <c r="B48" s="2"/>
      <c r="C48" s="4">
        <v>10</v>
      </c>
      <c r="D48" s="4">
        <f t="shared" si="1"/>
        <v>1016</v>
      </c>
      <c r="E48" s="4" t="s">
        <v>290</v>
      </c>
      <c r="F48" s="4">
        <v>1</v>
      </c>
      <c r="G48" s="4" t="s">
        <v>11</v>
      </c>
      <c r="H48" s="4"/>
      <c r="I48" s="4"/>
      <c r="J48" s="5">
        <v>87</v>
      </c>
      <c r="K48" s="63">
        <v>0</v>
      </c>
      <c r="L48" s="99">
        <v>4.5650000000000013</v>
      </c>
      <c r="M48" s="7" t="s">
        <v>113</v>
      </c>
      <c r="N48" s="3" t="s">
        <v>205</v>
      </c>
      <c r="O48" s="6">
        <v>4.6740000000000004</v>
      </c>
      <c r="P48" s="6">
        <v>4.5830000000000002</v>
      </c>
      <c r="Q48" s="6">
        <v>5.07</v>
      </c>
      <c r="R48" s="60"/>
      <c r="S48" s="6">
        <v>4.8849999999999998</v>
      </c>
      <c r="T48" s="6">
        <v>4.6740000000000004</v>
      </c>
      <c r="U48" s="6">
        <v>4.67</v>
      </c>
      <c r="V48" s="6">
        <v>4.6360000000000001</v>
      </c>
      <c r="W48" s="6">
        <v>4.5190000000000001</v>
      </c>
      <c r="X48" s="60"/>
      <c r="Y48" s="6">
        <v>4.8730000000000002</v>
      </c>
      <c r="Z48" s="6">
        <v>4.9530000000000003</v>
      </c>
      <c r="AA48" s="6">
        <v>4.8250000000000002</v>
      </c>
      <c r="AB48" s="6">
        <v>4.6429999999999998</v>
      </c>
      <c r="AC48" s="6">
        <v>4.5620000000000003</v>
      </c>
      <c r="AD48" s="6">
        <v>4.8650000000000002</v>
      </c>
      <c r="AE48" s="74">
        <f t="shared" si="6"/>
        <v>4.7134999999999998</v>
      </c>
      <c r="AF48" s="60"/>
      <c r="AG48" s="60"/>
      <c r="AH48" s="60"/>
      <c r="AI48" s="60"/>
      <c r="AJ48" s="60"/>
      <c r="AK48" s="60"/>
      <c r="AL48" s="60"/>
      <c r="AM48" s="60"/>
      <c r="AN48" s="60"/>
      <c r="AO48" s="60"/>
      <c r="AP48" s="60"/>
      <c r="AQ48" s="60"/>
      <c r="AR48" s="60"/>
      <c r="AS48" s="60"/>
      <c r="AT48" s="60"/>
      <c r="AU48" s="60"/>
      <c r="AV48" s="60"/>
      <c r="AW48" s="60"/>
      <c r="AX48" s="60"/>
      <c r="AY48" s="60"/>
      <c r="AZ48" s="60"/>
      <c r="BA48" s="60"/>
      <c r="BB48" s="60"/>
      <c r="BC48" s="60"/>
      <c r="BD48" s="60"/>
      <c r="BE48" s="60"/>
      <c r="BF48" s="60"/>
      <c r="BG48" s="60"/>
      <c r="BH48" s="60"/>
      <c r="BI48" s="60"/>
      <c r="BJ48" s="60"/>
      <c r="BK48" s="60"/>
      <c r="BL48" s="60"/>
      <c r="BM48" s="60"/>
      <c r="BN48" s="60"/>
      <c r="BO48" s="60"/>
      <c r="BP48" s="60"/>
      <c r="BQ48" s="60"/>
      <c r="BR48" s="60"/>
      <c r="BS48" s="60"/>
      <c r="BT48" s="60"/>
      <c r="BU48" s="60"/>
      <c r="BV48" s="60"/>
      <c r="BW48" s="60"/>
      <c r="BX48" s="60"/>
      <c r="BY48" s="60"/>
      <c r="BZ48" s="60"/>
      <c r="CA48" s="60"/>
      <c r="CB48" s="60"/>
      <c r="CC48" s="60"/>
      <c r="CD48" s="60"/>
      <c r="CE48" s="60"/>
      <c r="CF48" s="60"/>
      <c r="CG48" s="60"/>
      <c r="CH48" s="60"/>
      <c r="CI48" s="60"/>
      <c r="CJ48" s="60"/>
      <c r="CK48" s="60"/>
      <c r="CL48" s="60"/>
      <c r="CM48" s="60"/>
      <c r="CN48" s="60"/>
      <c r="CO48" s="60"/>
      <c r="CP48" s="60"/>
      <c r="CQ48" s="60"/>
      <c r="CR48" s="60"/>
      <c r="CS48" s="60"/>
      <c r="CT48" s="60"/>
      <c r="CU48" s="60"/>
      <c r="CV48" s="60"/>
      <c r="CW48" s="60"/>
      <c r="CX48" s="60"/>
      <c r="CY48" s="60"/>
      <c r="CZ48" s="60"/>
      <c r="DA48" s="60"/>
      <c r="DB48" s="60"/>
      <c r="DC48" s="60"/>
      <c r="DD48" s="60"/>
      <c r="DE48" s="60"/>
      <c r="DF48" s="60"/>
      <c r="DG48" s="60"/>
      <c r="DH48" s="60"/>
      <c r="DI48" s="60"/>
      <c r="DJ48" s="60"/>
      <c r="DK48" s="60"/>
      <c r="DL48" s="60"/>
      <c r="DM48" s="60"/>
    </row>
    <row r="49" spans="1:117">
      <c r="A49" s="1">
        <f t="shared" si="4"/>
        <v>47</v>
      </c>
      <c r="B49" s="2"/>
      <c r="C49" s="4">
        <v>10</v>
      </c>
      <c r="D49" s="4">
        <f t="shared" si="1"/>
        <v>1016</v>
      </c>
      <c r="E49" s="4" t="s">
        <v>291</v>
      </c>
      <c r="F49" s="4">
        <v>1</v>
      </c>
      <c r="G49" s="4" t="s">
        <v>11</v>
      </c>
      <c r="H49" s="4" t="s">
        <v>12</v>
      </c>
      <c r="I49" s="4"/>
      <c r="J49" s="5">
        <v>84.4</v>
      </c>
      <c r="K49" s="63">
        <v>0.02</v>
      </c>
      <c r="L49" s="99">
        <v>4.7030000000000003</v>
      </c>
      <c r="M49" s="7" t="s">
        <v>113</v>
      </c>
      <c r="N49" s="3" t="s">
        <v>205</v>
      </c>
      <c r="O49" s="6">
        <v>4.8970000000000002</v>
      </c>
      <c r="P49" s="6">
        <v>4.6550000000000002</v>
      </c>
      <c r="Q49" s="6">
        <v>5.2039999999999997</v>
      </c>
      <c r="R49" s="60"/>
      <c r="S49" s="6">
        <v>5.0759999999999996</v>
      </c>
      <c r="T49" s="6">
        <v>4.8650000000000002</v>
      </c>
      <c r="U49" s="6">
        <v>4.8540000000000001</v>
      </c>
      <c r="V49" s="6">
        <v>4.8049999999999997</v>
      </c>
      <c r="W49" s="6">
        <v>4.6660000000000004</v>
      </c>
      <c r="X49" s="60"/>
      <c r="Y49" s="6">
        <v>4.9640000000000004</v>
      </c>
      <c r="Z49" s="6">
        <v>5.14</v>
      </c>
      <c r="AA49" s="6">
        <v>4.99</v>
      </c>
      <c r="AB49" s="6">
        <v>4.6989999999999998</v>
      </c>
      <c r="AC49" s="6">
        <v>4.4720000000000004</v>
      </c>
      <c r="AD49" s="6">
        <v>5.0869999999999997</v>
      </c>
      <c r="AE49" s="74">
        <f t="shared" si="6"/>
        <v>4.7795000000000005</v>
      </c>
      <c r="AF49" s="60"/>
      <c r="AG49" s="60"/>
      <c r="AH49" s="60"/>
      <c r="AI49" s="60"/>
      <c r="AJ49" s="60"/>
      <c r="AK49" s="60"/>
      <c r="AL49" s="60"/>
      <c r="AM49" s="60"/>
      <c r="AN49" s="60"/>
      <c r="AO49" s="60"/>
      <c r="AP49" s="60"/>
      <c r="AQ49" s="60"/>
      <c r="AR49" s="60"/>
      <c r="AS49" s="60"/>
      <c r="AT49" s="60"/>
      <c r="AU49" s="60"/>
      <c r="AV49" s="60"/>
      <c r="AW49" s="60"/>
      <c r="AX49" s="60"/>
      <c r="AY49" s="60"/>
      <c r="AZ49" s="60"/>
      <c r="BA49" s="60"/>
      <c r="BB49" s="60"/>
      <c r="BC49" s="60"/>
      <c r="BD49" s="60"/>
      <c r="BE49" s="60"/>
      <c r="BF49" s="60"/>
      <c r="BG49" s="60"/>
      <c r="BH49" s="60"/>
      <c r="BI49" s="60"/>
      <c r="BJ49" s="60"/>
      <c r="BK49" s="60"/>
      <c r="BL49" s="60"/>
      <c r="BM49" s="60"/>
      <c r="BN49" s="60"/>
      <c r="BO49" s="60"/>
      <c r="BP49" s="60"/>
      <c r="BQ49" s="60"/>
      <c r="BR49" s="60"/>
      <c r="BS49" s="60"/>
      <c r="BT49" s="60"/>
      <c r="BU49" s="60"/>
      <c r="BV49" s="60"/>
      <c r="BW49" s="60"/>
      <c r="BX49" s="60"/>
      <c r="BY49" s="60"/>
      <c r="BZ49" s="60"/>
      <c r="CA49" s="60"/>
      <c r="CB49" s="60"/>
      <c r="CC49" s="60"/>
      <c r="CD49" s="60"/>
      <c r="CE49" s="60"/>
      <c r="CF49" s="60"/>
      <c r="CG49" s="60"/>
      <c r="CH49" s="60"/>
      <c r="CI49" s="60"/>
      <c r="CJ49" s="60"/>
      <c r="CK49" s="60"/>
      <c r="CL49" s="60"/>
      <c r="CM49" s="60"/>
      <c r="CN49" s="60"/>
      <c r="CO49" s="60"/>
      <c r="CP49" s="60"/>
      <c r="CQ49" s="60"/>
      <c r="CR49" s="60"/>
      <c r="CS49" s="60"/>
      <c r="CT49" s="60"/>
      <c r="CU49" s="60"/>
      <c r="CV49" s="60"/>
      <c r="CW49" s="60"/>
      <c r="CX49" s="60"/>
      <c r="CY49" s="60"/>
      <c r="CZ49" s="60"/>
      <c r="DA49" s="60"/>
      <c r="DB49" s="60"/>
      <c r="DC49" s="60"/>
      <c r="DD49" s="60"/>
      <c r="DE49" s="60"/>
      <c r="DF49" s="60"/>
      <c r="DG49" s="60"/>
      <c r="DH49" s="60"/>
      <c r="DI49" s="60"/>
      <c r="DJ49" s="60"/>
      <c r="DK49" s="60"/>
      <c r="DL49" s="60"/>
      <c r="DM49" s="60"/>
    </row>
    <row r="50" spans="1:117">
      <c r="A50" s="1">
        <f t="shared" si="4"/>
        <v>48</v>
      </c>
      <c r="B50" s="2"/>
      <c r="C50" s="4">
        <v>10</v>
      </c>
      <c r="D50" s="4">
        <f t="shared" si="1"/>
        <v>1016</v>
      </c>
      <c r="E50" s="4" t="s">
        <v>293</v>
      </c>
      <c r="F50" s="4">
        <v>3</v>
      </c>
      <c r="G50" s="4" t="s">
        <v>11</v>
      </c>
      <c r="H50" s="4" t="s">
        <v>17</v>
      </c>
      <c r="I50" s="4"/>
      <c r="J50" s="5">
        <v>97</v>
      </c>
      <c r="K50" s="68"/>
      <c r="L50" s="99">
        <v>3.052</v>
      </c>
      <c r="M50" s="7" t="s">
        <v>260</v>
      </c>
      <c r="N50" s="3" t="s">
        <v>205</v>
      </c>
      <c r="O50" s="6">
        <v>3.5030000000000001</v>
      </c>
      <c r="P50" s="6">
        <v>3.0409999999999999</v>
      </c>
      <c r="Q50" s="6">
        <v>3.379</v>
      </c>
      <c r="R50" s="60"/>
      <c r="S50" s="6">
        <v>3.0750000000000002</v>
      </c>
      <c r="T50" s="60"/>
      <c r="U50" s="60"/>
      <c r="V50" s="60"/>
      <c r="W50" s="60"/>
      <c r="X50" s="60"/>
      <c r="Y50" s="6">
        <v>3.294</v>
      </c>
      <c r="Z50" s="6">
        <v>3.3420000000000001</v>
      </c>
      <c r="AA50" s="6">
        <v>3.2440000000000002</v>
      </c>
      <c r="AB50" s="6">
        <v>3.0859999999999999</v>
      </c>
      <c r="AC50" s="6">
        <v>2.95</v>
      </c>
      <c r="AD50" s="6">
        <v>2.8879999999999999</v>
      </c>
      <c r="AE50" s="74">
        <f t="shared" si="6"/>
        <v>2.919</v>
      </c>
      <c r="AF50" s="60"/>
      <c r="AG50" s="60"/>
      <c r="AH50" s="60"/>
      <c r="AI50" s="60"/>
      <c r="AJ50" s="60"/>
      <c r="AK50" s="60"/>
      <c r="AL50" s="60"/>
      <c r="AM50" s="60"/>
      <c r="AN50" s="60"/>
      <c r="AO50" s="60"/>
      <c r="AP50" s="60"/>
      <c r="AQ50" s="60"/>
      <c r="AR50" s="60"/>
      <c r="AS50" s="60"/>
      <c r="AT50" s="60"/>
      <c r="AU50" s="60"/>
      <c r="AV50" s="60"/>
      <c r="AW50" s="60"/>
      <c r="AX50" s="60"/>
      <c r="AY50" s="60"/>
      <c r="AZ50" s="60"/>
      <c r="BA50" s="60"/>
      <c r="BB50" s="60"/>
      <c r="BC50" s="60"/>
      <c r="BD50" s="60"/>
      <c r="BE50" s="60"/>
      <c r="BF50" s="60"/>
      <c r="BG50" s="60"/>
      <c r="BH50" s="60"/>
      <c r="BI50" s="60"/>
      <c r="BJ50" s="60"/>
      <c r="BK50" s="60"/>
      <c r="BL50" s="60"/>
      <c r="BM50" s="60"/>
      <c r="BN50" s="60"/>
      <c r="BO50" s="60"/>
      <c r="BP50" s="60"/>
      <c r="BQ50" s="60"/>
      <c r="BR50" s="60"/>
      <c r="BS50" s="60"/>
      <c r="BT50" s="60"/>
      <c r="BU50" s="60"/>
      <c r="BV50" s="60"/>
      <c r="BW50" s="60"/>
      <c r="BX50" s="60"/>
      <c r="BY50" s="60"/>
      <c r="BZ50" s="60"/>
      <c r="CA50" s="60"/>
      <c r="CB50" s="60"/>
      <c r="CC50" s="60"/>
      <c r="CD50" s="60"/>
      <c r="CE50" s="60"/>
      <c r="CF50" s="60"/>
      <c r="CG50" s="60"/>
      <c r="CH50" s="60"/>
      <c r="CI50" s="60"/>
      <c r="CJ50" s="60"/>
      <c r="CK50" s="60"/>
      <c r="CL50" s="60"/>
      <c r="CM50" s="60"/>
      <c r="CN50" s="60"/>
      <c r="CO50" s="60"/>
      <c r="CP50" s="60"/>
      <c r="CQ50" s="60"/>
      <c r="CR50" s="60"/>
      <c r="CS50" s="60"/>
      <c r="CT50" s="60"/>
      <c r="CU50" s="60"/>
      <c r="CV50" s="60"/>
      <c r="CW50" s="60"/>
      <c r="CX50" s="60"/>
      <c r="CY50" s="60"/>
      <c r="CZ50" s="60"/>
      <c r="DA50" s="60"/>
      <c r="DB50" s="60"/>
      <c r="DC50" s="60"/>
      <c r="DD50" s="60"/>
      <c r="DE50" s="60"/>
      <c r="DF50" s="60"/>
      <c r="DG50" s="60"/>
      <c r="DH50" s="60"/>
      <c r="DI50" s="60"/>
      <c r="DJ50" s="60"/>
      <c r="DK50" s="60"/>
      <c r="DL50" s="60"/>
      <c r="DM50" s="60"/>
    </row>
    <row r="51" spans="1:117">
      <c r="A51" s="1">
        <f t="shared" si="4"/>
        <v>49</v>
      </c>
      <c r="B51" s="2"/>
      <c r="C51" s="4">
        <v>10</v>
      </c>
      <c r="D51" s="4">
        <f t="shared" si="1"/>
        <v>1016</v>
      </c>
      <c r="E51" s="4" t="s">
        <v>292</v>
      </c>
      <c r="F51" s="4">
        <v>3</v>
      </c>
      <c r="G51" s="4" t="s">
        <v>11</v>
      </c>
      <c r="H51" s="4" t="s">
        <v>17</v>
      </c>
      <c r="I51" s="4"/>
      <c r="J51" s="5">
        <v>97.7</v>
      </c>
      <c r="K51" s="68"/>
      <c r="L51" s="99">
        <v>3.5790000000000006</v>
      </c>
      <c r="M51" s="7" t="s">
        <v>260</v>
      </c>
      <c r="N51" s="3" t="s">
        <v>205</v>
      </c>
      <c r="O51" s="6">
        <v>3.9089999999999998</v>
      </c>
      <c r="P51" s="6">
        <v>3.681</v>
      </c>
      <c r="Q51" s="6">
        <v>3.843</v>
      </c>
      <c r="R51" s="60"/>
      <c r="S51" s="6">
        <v>3.6150000000000002</v>
      </c>
      <c r="T51" s="60"/>
      <c r="U51" s="60"/>
      <c r="V51" s="60"/>
      <c r="W51" s="60"/>
      <c r="X51" s="60"/>
      <c r="Y51" s="6">
        <v>3.8439999999999999</v>
      </c>
      <c r="Z51" s="6">
        <v>3.8660000000000001</v>
      </c>
      <c r="AA51" s="6">
        <v>3.8109999999999999</v>
      </c>
      <c r="AB51" s="6">
        <v>3.6890000000000001</v>
      </c>
      <c r="AC51" s="6">
        <v>3.6480000000000001</v>
      </c>
      <c r="AD51" s="6">
        <v>3.3559999999999999</v>
      </c>
      <c r="AE51" s="74">
        <f t="shared" si="6"/>
        <v>3.5019999999999998</v>
      </c>
      <c r="AF51" s="60"/>
      <c r="AG51" s="60"/>
      <c r="AH51" s="60"/>
      <c r="AI51" s="60"/>
      <c r="AJ51" s="60"/>
      <c r="AK51" s="60"/>
      <c r="AL51" s="60"/>
      <c r="AM51" s="60"/>
      <c r="AN51" s="60"/>
      <c r="AO51" s="60"/>
      <c r="AP51" s="60"/>
      <c r="AQ51" s="60"/>
      <c r="AR51" s="60"/>
      <c r="AS51" s="60"/>
      <c r="AT51" s="60"/>
      <c r="AU51" s="60"/>
      <c r="AV51" s="60"/>
      <c r="AW51" s="60"/>
      <c r="AX51" s="60"/>
      <c r="AY51" s="60"/>
      <c r="AZ51" s="60"/>
      <c r="BA51" s="60"/>
      <c r="BB51" s="60"/>
      <c r="BC51" s="60"/>
      <c r="BD51" s="60"/>
      <c r="BE51" s="60"/>
      <c r="BF51" s="60"/>
      <c r="BG51" s="60"/>
      <c r="BH51" s="60"/>
      <c r="BI51" s="60"/>
      <c r="BJ51" s="60"/>
      <c r="BK51" s="60"/>
      <c r="BL51" s="60"/>
      <c r="BM51" s="60"/>
      <c r="BN51" s="60"/>
      <c r="BO51" s="60"/>
      <c r="BP51" s="60"/>
      <c r="BQ51" s="60"/>
      <c r="BR51" s="60"/>
      <c r="BS51" s="60"/>
      <c r="BT51" s="60"/>
      <c r="BU51" s="60"/>
      <c r="BV51" s="60"/>
      <c r="BW51" s="60"/>
      <c r="BX51" s="60"/>
      <c r="BY51" s="60"/>
      <c r="BZ51" s="60"/>
      <c r="CA51" s="60"/>
      <c r="CB51" s="60"/>
      <c r="CC51" s="60"/>
      <c r="CD51" s="60"/>
      <c r="CE51" s="60"/>
      <c r="CF51" s="60"/>
      <c r="CG51" s="60"/>
      <c r="CH51" s="60"/>
      <c r="CI51" s="60"/>
      <c r="CJ51" s="60"/>
      <c r="CK51" s="60"/>
      <c r="CL51" s="60"/>
      <c r="CM51" s="60"/>
      <c r="CN51" s="60"/>
      <c r="CO51" s="60"/>
      <c r="CP51" s="60"/>
      <c r="CQ51" s="60"/>
      <c r="CR51" s="60"/>
      <c r="CS51" s="60"/>
      <c r="CT51" s="60"/>
      <c r="CU51" s="60"/>
      <c r="CV51" s="60"/>
      <c r="CW51" s="60"/>
      <c r="CX51" s="60"/>
      <c r="CY51" s="60"/>
      <c r="CZ51" s="60"/>
      <c r="DA51" s="60"/>
      <c r="DB51" s="60"/>
      <c r="DC51" s="60"/>
      <c r="DD51" s="60"/>
      <c r="DE51" s="60"/>
      <c r="DF51" s="60"/>
      <c r="DG51" s="60"/>
      <c r="DH51" s="60"/>
      <c r="DI51" s="60"/>
      <c r="DJ51" s="60"/>
      <c r="DK51" s="60"/>
      <c r="DL51" s="60"/>
      <c r="DM51" s="60"/>
    </row>
    <row r="52" spans="1:117">
      <c r="A52" s="1">
        <f t="shared" si="4"/>
        <v>50</v>
      </c>
      <c r="B52" s="2"/>
      <c r="C52" s="4">
        <v>10</v>
      </c>
      <c r="D52" s="4">
        <f t="shared" si="1"/>
        <v>1016</v>
      </c>
      <c r="E52" s="4" t="s">
        <v>292</v>
      </c>
      <c r="F52" s="4">
        <v>3</v>
      </c>
      <c r="G52" s="4" t="s">
        <v>11</v>
      </c>
      <c r="H52" s="4" t="s">
        <v>12</v>
      </c>
      <c r="I52" s="4"/>
      <c r="J52" s="5">
        <v>95.4</v>
      </c>
      <c r="K52" s="68"/>
      <c r="L52" s="99">
        <v>4.3839999999999995</v>
      </c>
      <c r="M52" s="7" t="s">
        <v>260</v>
      </c>
      <c r="N52" s="3" t="s">
        <v>205</v>
      </c>
      <c r="O52" s="6">
        <v>4.5330000000000004</v>
      </c>
      <c r="P52" s="6">
        <v>4.2300000000000004</v>
      </c>
      <c r="Q52" s="6">
        <v>4.7679999999999998</v>
      </c>
      <c r="R52" s="60"/>
      <c r="S52" s="6">
        <v>4.6189999999999998</v>
      </c>
      <c r="T52" s="60"/>
      <c r="U52" s="60"/>
      <c r="V52" s="60"/>
      <c r="W52" s="60"/>
      <c r="X52" s="60"/>
      <c r="Y52" s="6">
        <v>4.617</v>
      </c>
      <c r="Z52" s="6">
        <v>4.7729999999999997</v>
      </c>
      <c r="AA52" s="6">
        <v>4.5990000000000002</v>
      </c>
      <c r="AB52" s="6">
        <v>4.3659999999999997</v>
      </c>
      <c r="AC52" s="6">
        <v>4.07</v>
      </c>
      <c r="AD52" s="6">
        <v>4.6619999999999999</v>
      </c>
      <c r="AE52" s="74">
        <f t="shared" si="6"/>
        <v>4.3659999999999997</v>
      </c>
      <c r="AF52" s="60"/>
      <c r="AG52" s="60"/>
      <c r="AH52" s="60"/>
      <c r="AI52" s="60"/>
      <c r="AJ52" s="60"/>
      <c r="AK52" s="60"/>
      <c r="AL52" s="60"/>
      <c r="AM52" s="60"/>
      <c r="AN52" s="60"/>
      <c r="AO52" s="60"/>
      <c r="AP52" s="60"/>
      <c r="AQ52" s="60"/>
      <c r="AR52" s="60"/>
      <c r="AS52" s="60"/>
      <c r="AT52" s="60"/>
      <c r="AU52" s="60"/>
      <c r="AV52" s="60"/>
      <c r="AW52" s="60"/>
      <c r="AX52" s="60"/>
      <c r="AY52" s="60"/>
      <c r="AZ52" s="60"/>
      <c r="BA52" s="60"/>
      <c r="BB52" s="60"/>
      <c r="BC52" s="60"/>
      <c r="BD52" s="60"/>
      <c r="BE52" s="60"/>
      <c r="BF52" s="60"/>
      <c r="BG52" s="60"/>
      <c r="BH52" s="60"/>
      <c r="BI52" s="60"/>
      <c r="BJ52" s="60"/>
      <c r="BK52" s="60"/>
      <c r="BL52" s="60"/>
      <c r="BM52" s="60"/>
      <c r="BN52" s="60"/>
      <c r="BO52" s="60"/>
      <c r="BP52" s="60"/>
      <c r="BQ52" s="60"/>
      <c r="BR52" s="60"/>
      <c r="BS52" s="60"/>
      <c r="BT52" s="60"/>
      <c r="BU52" s="60"/>
      <c r="BV52" s="60"/>
      <c r="BW52" s="60"/>
      <c r="BX52" s="60"/>
      <c r="BY52" s="60"/>
      <c r="BZ52" s="60"/>
      <c r="CA52" s="60"/>
      <c r="CB52" s="60"/>
      <c r="CC52" s="60"/>
      <c r="CD52" s="60"/>
      <c r="CE52" s="60"/>
      <c r="CF52" s="60"/>
      <c r="CG52" s="60"/>
      <c r="CH52" s="60"/>
      <c r="CI52" s="60"/>
      <c r="CJ52" s="60"/>
      <c r="CK52" s="60"/>
      <c r="CL52" s="60"/>
      <c r="CM52" s="60"/>
      <c r="CN52" s="60"/>
      <c r="CO52" s="60"/>
      <c r="CP52" s="60"/>
      <c r="CQ52" s="60"/>
      <c r="CR52" s="60"/>
      <c r="CS52" s="60"/>
      <c r="CT52" s="60"/>
      <c r="CU52" s="60"/>
      <c r="CV52" s="60"/>
      <c r="CW52" s="60"/>
      <c r="CX52" s="60"/>
      <c r="CY52" s="60"/>
      <c r="CZ52" s="60"/>
      <c r="DA52" s="60"/>
      <c r="DB52" s="60"/>
      <c r="DC52" s="60"/>
      <c r="DD52" s="60"/>
      <c r="DE52" s="60"/>
      <c r="DF52" s="60"/>
      <c r="DG52" s="60"/>
      <c r="DH52" s="60"/>
      <c r="DI52" s="60"/>
      <c r="DJ52" s="60"/>
      <c r="DK52" s="60"/>
      <c r="DL52" s="60"/>
      <c r="DM52" s="60"/>
    </row>
    <row r="53" spans="1:117">
      <c r="A53" s="1">
        <f t="shared" si="4"/>
        <v>51</v>
      </c>
      <c r="B53" s="2"/>
      <c r="C53" s="4">
        <v>10</v>
      </c>
      <c r="D53" s="4">
        <f t="shared" si="1"/>
        <v>1016</v>
      </c>
      <c r="E53" s="4" t="s">
        <v>293</v>
      </c>
      <c r="F53" s="4">
        <v>3</v>
      </c>
      <c r="G53" s="4" t="s">
        <v>11</v>
      </c>
      <c r="H53" s="4" t="s">
        <v>12</v>
      </c>
      <c r="I53" s="4"/>
      <c r="J53" s="5">
        <v>95.4</v>
      </c>
      <c r="K53" s="68"/>
      <c r="L53" s="99">
        <v>4.5879999999999992</v>
      </c>
      <c r="M53" s="7" t="s">
        <v>260</v>
      </c>
      <c r="N53" s="3" t="s">
        <v>205</v>
      </c>
      <c r="O53" s="6">
        <v>5.0229999999999997</v>
      </c>
      <c r="P53" s="6">
        <v>4.4710000000000001</v>
      </c>
      <c r="Q53" s="6">
        <v>4.9640000000000004</v>
      </c>
      <c r="R53" s="60"/>
      <c r="S53" s="6">
        <v>4.8209999999999997</v>
      </c>
      <c r="T53" s="60"/>
      <c r="U53" s="60"/>
      <c r="V53" s="60"/>
      <c r="W53" s="60"/>
      <c r="X53" s="60"/>
      <c r="Y53" s="6">
        <v>4.819</v>
      </c>
      <c r="Z53" s="6">
        <v>4.9809999999999999</v>
      </c>
      <c r="AA53" s="6">
        <v>4.8209999999999997</v>
      </c>
      <c r="AB53" s="6">
        <v>4.5720000000000001</v>
      </c>
      <c r="AC53" s="6">
        <v>4.2990000000000004</v>
      </c>
      <c r="AD53" s="6">
        <v>4.84</v>
      </c>
      <c r="AE53" s="74">
        <f t="shared" si="6"/>
        <v>4.5694999999999997</v>
      </c>
      <c r="AF53" s="60"/>
      <c r="AG53" s="60"/>
      <c r="AH53" s="60"/>
      <c r="AI53" s="60"/>
      <c r="AJ53" s="60"/>
      <c r="AK53" s="60"/>
      <c r="AL53" s="60"/>
      <c r="AM53" s="60"/>
      <c r="AN53" s="60"/>
      <c r="AO53" s="60"/>
      <c r="AP53" s="60"/>
      <c r="AQ53" s="60"/>
      <c r="AR53" s="60"/>
      <c r="AS53" s="60"/>
      <c r="AT53" s="60"/>
      <c r="AU53" s="60"/>
      <c r="AV53" s="60"/>
      <c r="AW53" s="60"/>
      <c r="AX53" s="60"/>
      <c r="AY53" s="60"/>
      <c r="AZ53" s="60"/>
      <c r="BA53" s="60"/>
      <c r="BB53" s="60"/>
      <c r="BC53" s="60"/>
      <c r="BD53" s="60"/>
      <c r="BE53" s="60"/>
      <c r="BF53" s="60"/>
      <c r="BG53" s="60"/>
      <c r="BH53" s="60"/>
      <c r="BI53" s="60"/>
      <c r="BJ53" s="60"/>
      <c r="BK53" s="60"/>
      <c r="BL53" s="60"/>
      <c r="BM53" s="60"/>
      <c r="BN53" s="60"/>
      <c r="BO53" s="60"/>
      <c r="BP53" s="60"/>
      <c r="BQ53" s="60"/>
      <c r="BR53" s="60"/>
      <c r="BS53" s="60"/>
      <c r="BT53" s="60"/>
      <c r="BU53" s="60"/>
      <c r="BV53" s="60"/>
      <c r="BW53" s="60"/>
      <c r="BX53" s="60"/>
      <c r="BY53" s="60"/>
      <c r="BZ53" s="60"/>
      <c r="CA53" s="60"/>
      <c r="CB53" s="60"/>
      <c r="CC53" s="60"/>
      <c r="CD53" s="60"/>
      <c r="CE53" s="60"/>
      <c r="CF53" s="60"/>
      <c r="CG53" s="60"/>
      <c r="CH53" s="60"/>
      <c r="CI53" s="60"/>
      <c r="CJ53" s="60"/>
      <c r="CK53" s="60"/>
      <c r="CL53" s="60"/>
      <c r="CM53" s="60"/>
      <c r="CN53" s="60"/>
      <c r="CO53" s="60"/>
      <c r="CP53" s="60"/>
      <c r="CQ53" s="60"/>
      <c r="CR53" s="60"/>
      <c r="CS53" s="60"/>
      <c r="CT53" s="60"/>
      <c r="CU53" s="60"/>
      <c r="CV53" s="60"/>
      <c r="CW53" s="60"/>
      <c r="CX53" s="60"/>
      <c r="CY53" s="60"/>
      <c r="CZ53" s="60"/>
      <c r="DA53" s="60"/>
      <c r="DB53" s="60"/>
      <c r="DC53" s="60"/>
      <c r="DD53" s="60"/>
      <c r="DE53" s="60"/>
      <c r="DF53" s="60"/>
      <c r="DG53" s="60"/>
      <c r="DH53" s="60"/>
      <c r="DI53" s="60"/>
      <c r="DJ53" s="60"/>
      <c r="DK53" s="60"/>
      <c r="DL53" s="60"/>
      <c r="DM53" s="60"/>
    </row>
    <row r="54" spans="1:117">
      <c r="A54" s="1">
        <f t="shared" si="4"/>
        <v>52</v>
      </c>
      <c r="B54" s="2" t="s">
        <v>411</v>
      </c>
      <c r="C54" s="4">
        <v>10</v>
      </c>
      <c r="D54" s="4">
        <f t="shared" si="1"/>
        <v>1016</v>
      </c>
      <c r="E54" s="4" t="s">
        <v>147</v>
      </c>
      <c r="F54" s="4">
        <v>1</v>
      </c>
      <c r="G54" s="4" t="s">
        <v>11</v>
      </c>
      <c r="H54" s="4" t="s">
        <v>17</v>
      </c>
      <c r="I54" s="4"/>
      <c r="J54" s="5">
        <v>87</v>
      </c>
      <c r="K54" s="63">
        <v>0.254</v>
      </c>
      <c r="L54" s="99">
        <v>3.9640000000000004</v>
      </c>
      <c r="M54" s="7" t="s">
        <v>113</v>
      </c>
      <c r="N54" s="3" t="s">
        <v>205</v>
      </c>
      <c r="O54" s="22">
        <v>3.9860000000000002</v>
      </c>
      <c r="P54" s="22">
        <v>3.9180000000000001</v>
      </c>
      <c r="Q54" s="22">
        <v>4.399</v>
      </c>
      <c r="R54" s="60"/>
      <c r="S54" s="6">
        <v>4.181</v>
      </c>
      <c r="T54" s="22">
        <v>4.0330000000000004</v>
      </c>
      <c r="U54" s="22">
        <v>4.0259999999999998</v>
      </c>
      <c r="V54" s="22">
        <v>4.0289999999999999</v>
      </c>
      <c r="W54" s="6">
        <v>3.956</v>
      </c>
      <c r="X54" s="60"/>
      <c r="Y54" s="22">
        <v>4.0730000000000004</v>
      </c>
      <c r="Z54" s="22">
        <v>4.1769999999999996</v>
      </c>
      <c r="AA54" s="22">
        <v>4.09</v>
      </c>
      <c r="AB54" s="22">
        <v>3.8210000000000002</v>
      </c>
      <c r="AC54" s="6">
        <v>3.7490000000000001</v>
      </c>
      <c r="AD54" s="22">
        <v>3.948</v>
      </c>
      <c r="AE54" s="74">
        <f t="shared" si="6"/>
        <v>3.8485</v>
      </c>
      <c r="AF54" s="60"/>
      <c r="AG54" s="60"/>
      <c r="AH54" s="60"/>
      <c r="AI54" s="60"/>
      <c r="AJ54" s="60"/>
      <c r="AK54" s="60"/>
      <c r="AL54" s="60"/>
      <c r="AM54" s="60"/>
      <c r="AN54" s="60"/>
      <c r="AO54" s="60"/>
      <c r="AP54" s="60"/>
      <c r="AQ54" s="60"/>
      <c r="AR54" s="60"/>
      <c r="AS54" s="60"/>
      <c r="AT54" s="60"/>
      <c r="AU54" s="60"/>
      <c r="AV54" s="60"/>
      <c r="AW54" s="60"/>
      <c r="AX54" s="60"/>
      <c r="AY54" s="60"/>
      <c r="AZ54" s="60"/>
      <c r="BA54" s="60"/>
      <c r="BB54" s="60"/>
      <c r="BC54" s="60"/>
      <c r="BD54" s="60"/>
      <c r="BE54" s="60"/>
      <c r="BF54" s="60"/>
      <c r="BG54" s="60"/>
      <c r="BH54" s="60"/>
      <c r="BI54" s="60"/>
      <c r="BJ54" s="60"/>
      <c r="BK54" s="60"/>
      <c r="BL54" s="60"/>
      <c r="BM54" s="60"/>
      <c r="BN54" s="60"/>
      <c r="BO54" s="60"/>
      <c r="BP54" s="60"/>
      <c r="BQ54" s="60"/>
      <c r="BR54" s="60"/>
      <c r="BS54" s="60"/>
      <c r="BT54" s="60"/>
      <c r="BU54" s="60"/>
      <c r="BV54" s="60"/>
      <c r="BW54" s="60"/>
      <c r="BX54" s="60"/>
      <c r="BY54" s="60"/>
      <c r="BZ54" s="60"/>
      <c r="CA54" s="60"/>
      <c r="CB54" s="60"/>
      <c r="CC54" s="60"/>
      <c r="CD54" s="60"/>
      <c r="CE54" s="60"/>
      <c r="CF54" s="60"/>
      <c r="CG54" s="60"/>
      <c r="CH54" s="60"/>
      <c r="CI54" s="60"/>
      <c r="CJ54" s="60"/>
      <c r="CK54" s="60"/>
      <c r="CL54" s="60"/>
      <c r="CM54" s="60"/>
      <c r="CN54" s="60"/>
      <c r="CO54" s="60"/>
      <c r="CP54" s="60"/>
      <c r="CQ54" s="60"/>
      <c r="CR54" s="60"/>
      <c r="CS54" s="60"/>
      <c r="CT54" s="60"/>
      <c r="CU54" s="60"/>
      <c r="CV54" s="60"/>
      <c r="CW54" s="60"/>
      <c r="CX54" s="60"/>
      <c r="CY54" s="60"/>
      <c r="CZ54" s="60"/>
      <c r="DA54" s="60"/>
      <c r="DB54" s="60"/>
      <c r="DC54" s="60"/>
      <c r="DD54" s="60"/>
      <c r="DE54" s="60"/>
      <c r="DF54" s="60"/>
      <c r="DG54" s="60"/>
      <c r="DH54" s="60"/>
      <c r="DI54" s="60"/>
      <c r="DJ54" s="60"/>
      <c r="DK54" s="60"/>
      <c r="DL54" s="60"/>
      <c r="DM54" s="60"/>
    </row>
    <row r="55" spans="1:117">
      <c r="A55" s="1">
        <f t="shared" si="4"/>
        <v>53</v>
      </c>
      <c r="B55" s="2"/>
      <c r="C55" s="4">
        <v>10</v>
      </c>
      <c r="D55" s="4">
        <f t="shared" si="1"/>
        <v>1016</v>
      </c>
      <c r="E55" s="4" t="s">
        <v>229</v>
      </c>
      <c r="F55" s="4">
        <v>1</v>
      </c>
      <c r="G55" s="4" t="s">
        <v>11</v>
      </c>
      <c r="H55" s="4"/>
      <c r="I55" s="4"/>
      <c r="J55" s="5">
        <v>86.2</v>
      </c>
      <c r="K55" s="63">
        <v>0</v>
      </c>
      <c r="L55" s="99">
        <v>4.1430000000000007</v>
      </c>
      <c r="M55" s="7" t="s">
        <v>113</v>
      </c>
      <c r="N55" s="3" t="s">
        <v>205</v>
      </c>
      <c r="O55" s="22">
        <v>4.3109999999999999</v>
      </c>
      <c r="P55" s="22">
        <v>4.0640000000000001</v>
      </c>
      <c r="Q55" s="22">
        <v>4.6360000000000001</v>
      </c>
      <c r="R55" s="60"/>
      <c r="S55" s="6">
        <v>4.492</v>
      </c>
      <c r="T55" s="22">
        <v>4.2910000000000004</v>
      </c>
      <c r="U55" s="22">
        <v>4.28</v>
      </c>
      <c r="V55" s="22">
        <v>4.2389999999999999</v>
      </c>
      <c r="W55" s="6">
        <v>4.1109999999999998</v>
      </c>
      <c r="X55" s="60"/>
      <c r="Y55" s="22">
        <v>4.4240000000000004</v>
      </c>
      <c r="Z55" s="22">
        <v>4.5949999999999998</v>
      </c>
      <c r="AA55" s="22">
        <v>4.4290000000000003</v>
      </c>
      <c r="AB55" s="22">
        <v>4.1580000000000004</v>
      </c>
      <c r="AC55" s="6">
        <v>3.8919999999999999</v>
      </c>
      <c r="AD55" s="22">
        <v>4.5030000000000001</v>
      </c>
      <c r="AE55" s="74">
        <f t="shared" si="6"/>
        <v>4.1974999999999998</v>
      </c>
      <c r="AF55" s="60"/>
      <c r="AG55" s="60"/>
      <c r="AH55" s="60"/>
      <c r="AI55" s="60"/>
      <c r="AJ55" s="60"/>
      <c r="AK55" s="60"/>
      <c r="AL55" s="60"/>
      <c r="AM55" s="60"/>
      <c r="AN55" s="60"/>
      <c r="AO55" s="60"/>
      <c r="AP55" s="60"/>
      <c r="AQ55" s="60"/>
      <c r="AR55" s="60"/>
      <c r="AS55" s="60"/>
      <c r="AT55" s="60"/>
      <c r="AU55" s="60"/>
      <c r="AV55" s="60"/>
      <c r="AW55" s="60"/>
      <c r="AX55" s="60"/>
      <c r="AY55" s="60"/>
      <c r="AZ55" s="60"/>
      <c r="BA55" s="60"/>
      <c r="BB55" s="60"/>
      <c r="BC55" s="60"/>
      <c r="BD55" s="60"/>
      <c r="BE55" s="60"/>
      <c r="BF55" s="60"/>
      <c r="BG55" s="60"/>
      <c r="BH55" s="60"/>
      <c r="BI55" s="60"/>
      <c r="BJ55" s="60"/>
      <c r="BK55" s="60"/>
      <c r="BL55" s="60"/>
      <c r="BM55" s="60"/>
      <c r="BN55" s="60"/>
      <c r="BO55" s="60"/>
      <c r="BP55" s="60"/>
      <c r="BQ55" s="60"/>
      <c r="BR55" s="60"/>
      <c r="BS55" s="60"/>
      <c r="BT55" s="60"/>
      <c r="BU55" s="60"/>
      <c r="BV55" s="60"/>
      <c r="BW55" s="60"/>
      <c r="BX55" s="60"/>
      <c r="BY55" s="60"/>
      <c r="BZ55" s="60"/>
      <c r="CA55" s="60"/>
      <c r="CB55" s="60"/>
      <c r="CC55" s="60"/>
      <c r="CD55" s="60"/>
      <c r="CE55" s="60"/>
      <c r="CF55" s="60"/>
      <c r="CG55" s="60"/>
      <c r="CH55" s="60"/>
      <c r="CI55" s="60"/>
      <c r="CJ55" s="60"/>
      <c r="CK55" s="60"/>
      <c r="CL55" s="60"/>
      <c r="CM55" s="60"/>
      <c r="CN55" s="60"/>
      <c r="CO55" s="60"/>
      <c r="CP55" s="60"/>
      <c r="CQ55" s="60"/>
      <c r="CR55" s="60"/>
      <c r="CS55" s="60"/>
      <c r="CT55" s="60"/>
      <c r="CU55" s="60"/>
      <c r="CV55" s="60"/>
      <c r="CW55" s="60"/>
      <c r="CX55" s="60"/>
      <c r="CY55" s="60"/>
      <c r="CZ55" s="60"/>
      <c r="DA55" s="60"/>
      <c r="DB55" s="60"/>
      <c r="DC55" s="60"/>
      <c r="DD55" s="60"/>
      <c r="DE55" s="60"/>
      <c r="DF55" s="60"/>
      <c r="DG55" s="60"/>
      <c r="DH55" s="60"/>
      <c r="DI55" s="60"/>
      <c r="DJ55" s="60"/>
      <c r="DK55" s="60"/>
      <c r="DL55" s="60"/>
      <c r="DM55" s="60"/>
    </row>
    <row r="56" spans="1:117">
      <c r="A56" s="1">
        <f t="shared" si="4"/>
        <v>54</v>
      </c>
      <c r="B56" s="2"/>
      <c r="C56" s="4">
        <v>10</v>
      </c>
      <c r="D56" s="4">
        <f t="shared" si="1"/>
        <v>1016</v>
      </c>
      <c r="E56" s="4" t="s">
        <v>147</v>
      </c>
      <c r="F56" s="4">
        <v>1</v>
      </c>
      <c r="G56" s="4" t="s">
        <v>11</v>
      </c>
      <c r="H56" s="4"/>
      <c r="I56" s="4"/>
      <c r="J56" s="5">
        <v>85</v>
      </c>
      <c r="K56" s="63">
        <v>0</v>
      </c>
      <c r="L56" s="99">
        <v>4.7309999999999999</v>
      </c>
      <c r="M56" s="7" t="s">
        <v>113</v>
      </c>
      <c r="N56" s="3" t="s">
        <v>205</v>
      </c>
      <c r="O56" s="22">
        <v>4.9619999999999997</v>
      </c>
      <c r="P56" s="22">
        <v>4.7729999999999997</v>
      </c>
      <c r="Q56" s="22">
        <v>5.2160000000000002</v>
      </c>
      <c r="R56" s="60"/>
      <c r="S56" s="6">
        <v>5.1130000000000004</v>
      </c>
      <c r="T56" s="22">
        <v>4.9420000000000002</v>
      </c>
      <c r="U56" s="22">
        <v>4.9329999999999998</v>
      </c>
      <c r="V56" s="22">
        <v>4.8869999999999996</v>
      </c>
      <c r="W56" s="6">
        <v>4.7119999999999997</v>
      </c>
      <c r="X56" s="60"/>
      <c r="Y56" s="22">
        <v>4.9960000000000004</v>
      </c>
      <c r="Z56" s="22">
        <v>5.1959999999999997</v>
      </c>
      <c r="AA56" s="22">
        <v>5.0679999999999996</v>
      </c>
      <c r="AB56" s="22">
        <v>4.7380000000000004</v>
      </c>
      <c r="AC56" s="6">
        <v>4.5579999999999998</v>
      </c>
      <c r="AD56" s="22">
        <v>5.1050000000000004</v>
      </c>
      <c r="AE56" s="74">
        <f t="shared" si="6"/>
        <v>4.8315000000000001</v>
      </c>
      <c r="AF56" s="60"/>
      <c r="AG56" s="60"/>
      <c r="AH56" s="60"/>
      <c r="AI56" s="60"/>
      <c r="AJ56" s="60"/>
      <c r="AK56" s="60"/>
      <c r="AL56" s="60"/>
      <c r="AM56" s="60"/>
      <c r="AN56" s="60"/>
      <c r="AO56" s="60"/>
      <c r="AP56" s="60"/>
      <c r="AQ56" s="60"/>
      <c r="AR56" s="60"/>
      <c r="AS56" s="60"/>
      <c r="AT56" s="60"/>
      <c r="AU56" s="60"/>
      <c r="AV56" s="60"/>
      <c r="AW56" s="60"/>
      <c r="AX56" s="60"/>
      <c r="AY56" s="60"/>
      <c r="AZ56" s="60"/>
      <c r="BA56" s="60"/>
      <c r="BB56" s="60"/>
      <c r="BC56" s="60"/>
      <c r="BD56" s="60"/>
      <c r="BE56" s="60"/>
      <c r="BF56" s="60"/>
      <c r="BG56" s="60"/>
      <c r="BH56" s="60"/>
      <c r="BI56" s="60"/>
      <c r="BJ56" s="60"/>
      <c r="BK56" s="60"/>
      <c r="BL56" s="60"/>
      <c r="BM56" s="60"/>
      <c r="BN56" s="60"/>
      <c r="BO56" s="60"/>
      <c r="BP56" s="60"/>
      <c r="BQ56" s="60"/>
      <c r="BR56" s="60"/>
      <c r="BS56" s="60"/>
      <c r="BT56" s="60"/>
      <c r="BU56" s="60"/>
      <c r="BV56" s="60"/>
      <c r="BW56" s="60"/>
      <c r="BX56" s="60"/>
      <c r="BY56" s="60"/>
      <c r="BZ56" s="60"/>
      <c r="CA56" s="60"/>
      <c r="CB56" s="60"/>
      <c r="CC56" s="60"/>
      <c r="CD56" s="60"/>
      <c r="CE56" s="60"/>
      <c r="CF56" s="60"/>
      <c r="CG56" s="60"/>
      <c r="CH56" s="60"/>
      <c r="CI56" s="60"/>
      <c r="CJ56" s="60"/>
      <c r="CK56" s="60"/>
      <c r="CL56" s="60"/>
      <c r="CM56" s="60"/>
      <c r="CN56" s="60"/>
      <c r="CO56" s="60"/>
      <c r="CP56" s="60"/>
      <c r="CQ56" s="60"/>
      <c r="CR56" s="60"/>
      <c r="CS56" s="60"/>
      <c r="CT56" s="60"/>
      <c r="CU56" s="60"/>
      <c r="CV56" s="60"/>
      <c r="CW56" s="60"/>
      <c r="CX56" s="60"/>
      <c r="CY56" s="60"/>
      <c r="CZ56" s="60"/>
      <c r="DA56" s="60"/>
      <c r="DB56" s="60"/>
      <c r="DC56" s="60"/>
      <c r="DD56" s="60"/>
      <c r="DE56" s="60"/>
      <c r="DF56" s="60"/>
      <c r="DG56" s="60"/>
      <c r="DH56" s="60"/>
      <c r="DI56" s="60"/>
      <c r="DJ56" s="60"/>
      <c r="DK56" s="60"/>
      <c r="DL56" s="60"/>
      <c r="DM56" s="60"/>
    </row>
    <row r="57" spans="1:117">
      <c r="A57" s="1">
        <f t="shared" si="4"/>
        <v>55</v>
      </c>
      <c r="B57" s="2"/>
      <c r="C57" s="4">
        <v>10</v>
      </c>
      <c r="D57" s="4">
        <f t="shared" si="1"/>
        <v>1016</v>
      </c>
      <c r="E57" s="4" t="s">
        <v>229</v>
      </c>
      <c r="F57" s="4">
        <v>1</v>
      </c>
      <c r="G57" s="4" t="s">
        <v>14</v>
      </c>
      <c r="H57" s="4"/>
      <c r="I57" s="4"/>
      <c r="J57" s="5">
        <v>88.7</v>
      </c>
      <c r="K57" s="63">
        <v>1.2E-2</v>
      </c>
      <c r="L57" s="99">
        <v>5.484</v>
      </c>
      <c r="M57" s="7" t="s">
        <v>113</v>
      </c>
      <c r="N57" s="3" t="s">
        <v>205</v>
      </c>
      <c r="O57" s="22">
        <v>5.5519999999999996</v>
      </c>
      <c r="P57" s="22">
        <v>5.4139999999999997</v>
      </c>
      <c r="Q57" s="22">
        <v>5.8849999999999998</v>
      </c>
      <c r="R57" s="60"/>
      <c r="S57" s="6">
        <v>5.6470000000000002</v>
      </c>
      <c r="T57" s="22">
        <v>5.5940000000000003</v>
      </c>
      <c r="U57" s="22">
        <v>5.5880000000000001</v>
      </c>
      <c r="V57" s="22">
        <v>5.569</v>
      </c>
      <c r="W57" s="6">
        <v>5.4859999999999998</v>
      </c>
      <c r="X57" s="60"/>
      <c r="Y57" s="22">
        <v>5.6820000000000004</v>
      </c>
      <c r="Z57" s="22">
        <v>5.6879999999999997</v>
      </c>
      <c r="AA57" s="22">
        <v>5.5960000000000001</v>
      </c>
      <c r="AB57" s="22">
        <v>5.4880000000000004</v>
      </c>
      <c r="AC57" s="6">
        <v>5.3470000000000004</v>
      </c>
      <c r="AD57" s="22">
        <v>5.5259999999999998</v>
      </c>
      <c r="AE57" s="74">
        <f t="shared" si="6"/>
        <v>5.4365000000000006</v>
      </c>
      <c r="AF57" s="60"/>
      <c r="AG57" s="60"/>
      <c r="AH57" s="60"/>
      <c r="AI57" s="60"/>
      <c r="AJ57" s="60"/>
      <c r="AK57" s="60"/>
      <c r="AL57" s="60"/>
      <c r="AM57" s="60"/>
      <c r="AN57" s="60"/>
      <c r="AO57" s="60"/>
      <c r="AP57" s="60"/>
      <c r="AQ57" s="60"/>
      <c r="AR57" s="60"/>
      <c r="AS57" s="60"/>
      <c r="AT57" s="60"/>
      <c r="AU57" s="60"/>
      <c r="AV57" s="60"/>
      <c r="AW57" s="60"/>
      <c r="AX57" s="60"/>
      <c r="AY57" s="60"/>
      <c r="AZ57" s="60"/>
      <c r="BA57" s="60"/>
      <c r="BB57" s="60"/>
      <c r="BC57" s="60"/>
      <c r="BD57" s="60"/>
      <c r="BE57" s="60"/>
      <c r="BF57" s="60"/>
      <c r="BG57" s="60"/>
      <c r="BH57" s="60"/>
      <c r="BI57" s="60"/>
      <c r="BJ57" s="60"/>
      <c r="BK57" s="60"/>
      <c r="BL57" s="60"/>
      <c r="BM57" s="60"/>
      <c r="BN57" s="60"/>
      <c r="BO57" s="60"/>
      <c r="BP57" s="60"/>
      <c r="BQ57" s="60"/>
      <c r="BR57" s="60"/>
      <c r="BS57" s="60"/>
      <c r="BT57" s="60"/>
      <c r="BU57" s="60"/>
      <c r="BV57" s="60"/>
      <c r="BW57" s="60"/>
      <c r="BX57" s="60"/>
      <c r="BY57" s="60"/>
      <c r="BZ57" s="60"/>
      <c r="CA57" s="60"/>
      <c r="CB57" s="60"/>
      <c r="CC57" s="60"/>
      <c r="CD57" s="60"/>
      <c r="CE57" s="60"/>
      <c r="CF57" s="60"/>
      <c r="CG57" s="60"/>
      <c r="CH57" s="60"/>
      <c r="CI57" s="60"/>
      <c r="CJ57" s="60"/>
      <c r="CK57" s="60"/>
      <c r="CL57" s="60"/>
      <c r="CM57" s="60"/>
      <c r="CN57" s="60"/>
      <c r="CO57" s="60"/>
      <c r="CP57" s="60"/>
      <c r="CQ57" s="60"/>
      <c r="CR57" s="60"/>
      <c r="CS57" s="60"/>
      <c r="CT57" s="60"/>
      <c r="CU57" s="60"/>
      <c r="CV57" s="60"/>
      <c r="CW57" s="60"/>
      <c r="CX57" s="60"/>
      <c r="CY57" s="60"/>
      <c r="CZ57" s="60"/>
      <c r="DA57" s="60"/>
      <c r="DB57" s="60"/>
      <c r="DC57" s="60"/>
      <c r="DD57" s="60"/>
      <c r="DE57" s="60"/>
      <c r="DF57" s="60"/>
      <c r="DG57" s="60"/>
      <c r="DH57" s="60"/>
      <c r="DI57" s="60"/>
      <c r="DJ57" s="60"/>
      <c r="DK57" s="60"/>
      <c r="DL57" s="60"/>
      <c r="DM57" s="60"/>
    </row>
    <row r="58" spans="1:117">
      <c r="A58" s="1">
        <f t="shared" si="4"/>
        <v>56</v>
      </c>
      <c r="B58" s="2"/>
      <c r="C58" s="4">
        <v>10</v>
      </c>
      <c r="D58" s="4">
        <f t="shared" si="1"/>
        <v>1016</v>
      </c>
      <c r="E58" s="4" t="s">
        <v>134</v>
      </c>
      <c r="F58" s="4">
        <v>3</v>
      </c>
      <c r="G58" s="4" t="s">
        <v>11</v>
      </c>
      <c r="H58" s="4" t="s">
        <v>17</v>
      </c>
      <c r="I58" s="4"/>
      <c r="J58" s="5">
        <v>97.3</v>
      </c>
      <c r="K58" s="68"/>
      <c r="L58" s="99">
        <v>3.06</v>
      </c>
      <c r="M58" s="7" t="s">
        <v>260</v>
      </c>
      <c r="N58" s="3" t="s">
        <v>205</v>
      </c>
      <c r="O58" s="22">
        <v>3.4489999999999998</v>
      </c>
      <c r="P58" s="22">
        <v>3.085</v>
      </c>
      <c r="Q58" s="22">
        <v>3.3559999999999999</v>
      </c>
      <c r="R58" s="60"/>
      <c r="S58" s="6">
        <v>3.0720000000000001</v>
      </c>
      <c r="T58" s="60"/>
      <c r="U58" s="60"/>
      <c r="V58" s="60"/>
      <c r="W58" s="60"/>
      <c r="X58" s="60"/>
      <c r="Y58" s="22">
        <v>3.3130000000000002</v>
      </c>
      <c r="Z58" s="22">
        <v>3.3530000000000002</v>
      </c>
      <c r="AA58" s="22">
        <v>3.266</v>
      </c>
      <c r="AB58" s="22">
        <v>3.12</v>
      </c>
      <c r="AC58" s="6">
        <v>3.0070000000000001</v>
      </c>
      <c r="AD58" s="22">
        <v>2.86</v>
      </c>
      <c r="AE58" s="74">
        <f t="shared" si="6"/>
        <v>2.9335</v>
      </c>
      <c r="AF58" s="60"/>
      <c r="AG58" s="60"/>
      <c r="AH58" s="60"/>
      <c r="AI58" s="60"/>
      <c r="AJ58" s="60"/>
      <c r="AK58" s="60"/>
      <c r="AL58" s="60"/>
      <c r="AM58" s="60"/>
      <c r="AN58" s="60"/>
      <c r="AO58" s="60"/>
      <c r="AP58" s="60"/>
      <c r="AQ58" s="60"/>
      <c r="AR58" s="60"/>
      <c r="AS58" s="60"/>
      <c r="AT58" s="60"/>
      <c r="AU58" s="60"/>
      <c r="AV58" s="60"/>
      <c r="AW58" s="60"/>
      <c r="AX58" s="60"/>
      <c r="AY58" s="60"/>
      <c r="AZ58" s="60"/>
      <c r="BA58" s="60"/>
      <c r="BB58" s="60"/>
      <c r="BC58" s="60"/>
      <c r="BD58" s="60"/>
      <c r="BE58" s="60"/>
      <c r="BF58" s="60"/>
      <c r="BG58" s="60"/>
      <c r="BH58" s="60"/>
      <c r="BI58" s="60"/>
      <c r="BJ58" s="60"/>
      <c r="BK58" s="60"/>
      <c r="BL58" s="60"/>
      <c r="BM58" s="60"/>
      <c r="BN58" s="60"/>
      <c r="BO58" s="60"/>
      <c r="BP58" s="60"/>
      <c r="BQ58" s="60"/>
      <c r="BR58" s="60"/>
      <c r="BS58" s="60"/>
      <c r="BT58" s="60"/>
      <c r="BU58" s="60"/>
      <c r="BV58" s="60"/>
      <c r="BW58" s="60"/>
      <c r="BX58" s="60"/>
      <c r="BY58" s="60"/>
      <c r="BZ58" s="60"/>
      <c r="CA58" s="60"/>
      <c r="CB58" s="60"/>
      <c r="CC58" s="60"/>
      <c r="CD58" s="60"/>
      <c r="CE58" s="60"/>
      <c r="CF58" s="60"/>
      <c r="CG58" s="60"/>
      <c r="CH58" s="60"/>
      <c r="CI58" s="60"/>
      <c r="CJ58" s="60"/>
      <c r="CK58" s="60"/>
      <c r="CL58" s="60"/>
      <c r="CM58" s="60"/>
      <c r="CN58" s="60"/>
      <c r="CO58" s="60"/>
      <c r="CP58" s="60"/>
      <c r="CQ58" s="60"/>
      <c r="CR58" s="60"/>
      <c r="CS58" s="60"/>
      <c r="CT58" s="60"/>
      <c r="CU58" s="60"/>
      <c r="CV58" s="60"/>
      <c r="CW58" s="60"/>
      <c r="CX58" s="60"/>
      <c r="CY58" s="60"/>
      <c r="CZ58" s="60"/>
      <c r="DA58" s="60"/>
      <c r="DB58" s="60"/>
      <c r="DC58" s="60"/>
      <c r="DD58" s="60"/>
      <c r="DE58" s="60"/>
      <c r="DF58" s="60"/>
      <c r="DG58" s="60"/>
      <c r="DH58" s="60"/>
      <c r="DI58" s="60"/>
      <c r="DJ58" s="60"/>
      <c r="DK58" s="60"/>
      <c r="DL58" s="60"/>
      <c r="DM58" s="60"/>
    </row>
    <row r="59" spans="1:117">
      <c r="A59" s="1">
        <f t="shared" si="4"/>
        <v>57</v>
      </c>
      <c r="B59" s="2"/>
      <c r="C59" s="4">
        <v>10</v>
      </c>
      <c r="D59" s="4">
        <f t="shared" si="1"/>
        <v>1016</v>
      </c>
      <c r="E59" s="4" t="s">
        <v>230</v>
      </c>
      <c r="F59" s="4">
        <v>3</v>
      </c>
      <c r="G59" s="4" t="s">
        <v>11</v>
      </c>
      <c r="H59" s="4"/>
      <c r="I59" s="4"/>
      <c r="J59" s="5">
        <v>95.7</v>
      </c>
      <c r="K59" s="68"/>
      <c r="L59" s="99">
        <v>4.008</v>
      </c>
      <c r="M59" s="7" t="s">
        <v>260</v>
      </c>
      <c r="N59" s="3" t="s">
        <v>205</v>
      </c>
      <c r="O59" s="22">
        <v>4.1900000000000004</v>
      </c>
      <c r="P59" s="22">
        <v>3.883</v>
      </c>
      <c r="Q59" s="22">
        <v>4.3680000000000003</v>
      </c>
      <c r="R59" s="60"/>
      <c r="S59" s="6">
        <v>4.1840000000000002</v>
      </c>
      <c r="T59" s="60"/>
      <c r="U59" s="60"/>
      <c r="V59" s="60"/>
      <c r="W59" s="60"/>
      <c r="X59" s="60"/>
      <c r="Y59" s="22">
        <v>4.2480000000000002</v>
      </c>
      <c r="Z59" s="22">
        <v>4.3339999999999996</v>
      </c>
      <c r="AA59" s="22">
        <v>4.25</v>
      </c>
      <c r="AB59" s="22">
        <v>4.0209999999999999</v>
      </c>
      <c r="AC59" s="6">
        <v>3.7210000000000001</v>
      </c>
      <c r="AD59" s="22">
        <v>4.0010000000000003</v>
      </c>
      <c r="AE59" s="74">
        <f t="shared" si="6"/>
        <v>3.8610000000000002</v>
      </c>
      <c r="AF59" s="60"/>
      <c r="AG59" s="60"/>
      <c r="AH59" s="60"/>
      <c r="AI59" s="60"/>
      <c r="AJ59" s="60"/>
      <c r="AK59" s="60"/>
      <c r="AL59" s="60"/>
      <c r="AM59" s="60"/>
      <c r="AN59" s="60"/>
      <c r="AO59" s="60"/>
      <c r="AP59" s="60"/>
      <c r="AQ59" s="60"/>
      <c r="AR59" s="60"/>
      <c r="AS59" s="60"/>
      <c r="AT59" s="60"/>
      <c r="AU59" s="60"/>
      <c r="AV59" s="60"/>
      <c r="AW59" s="60"/>
      <c r="AX59" s="60"/>
      <c r="AY59" s="60"/>
      <c r="AZ59" s="60"/>
      <c r="BA59" s="60"/>
      <c r="BB59" s="60"/>
      <c r="BC59" s="60"/>
      <c r="BD59" s="60"/>
      <c r="BE59" s="60"/>
      <c r="BF59" s="60"/>
      <c r="BG59" s="60"/>
      <c r="BH59" s="60"/>
      <c r="BI59" s="60"/>
      <c r="BJ59" s="60"/>
      <c r="BK59" s="60"/>
      <c r="BL59" s="60"/>
      <c r="BM59" s="60"/>
      <c r="BN59" s="60"/>
      <c r="BO59" s="60"/>
      <c r="BP59" s="60"/>
      <c r="BQ59" s="60"/>
      <c r="BR59" s="60"/>
      <c r="BS59" s="60"/>
      <c r="BT59" s="60"/>
      <c r="BU59" s="60"/>
      <c r="BV59" s="60"/>
      <c r="BW59" s="60"/>
      <c r="BX59" s="60"/>
      <c r="BY59" s="60"/>
      <c r="BZ59" s="60"/>
      <c r="CA59" s="60"/>
      <c r="CB59" s="60"/>
      <c r="CC59" s="60"/>
      <c r="CD59" s="60"/>
      <c r="CE59" s="60"/>
      <c r="CF59" s="60"/>
      <c r="CG59" s="60"/>
      <c r="CH59" s="60"/>
      <c r="CI59" s="60"/>
      <c r="CJ59" s="60"/>
      <c r="CK59" s="60"/>
      <c r="CL59" s="60"/>
      <c r="CM59" s="60"/>
      <c r="CN59" s="60"/>
      <c r="CO59" s="60"/>
      <c r="CP59" s="60"/>
      <c r="CQ59" s="60"/>
      <c r="CR59" s="60"/>
      <c r="CS59" s="60"/>
      <c r="CT59" s="60"/>
      <c r="CU59" s="60"/>
      <c r="CV59" s="60"/>
      <c r="CW59" s="60"/>
      <c r="CX59" s="60"/>
      <c r="CY59" s="60"/>
      <c r="CZ59" s="60"/>
      <c r="DA59" s="60"/>
      <c r="DB59" s="60"/>
      <c r="DC59" s="60"/>
      <c r="DD59" s="60"/>
      <c r="DE59" s="60"/>
      <c r="DF59" s="60"/>
      <c r="DG59" s="60"/>
      <c r="DH59" s="60"/>
      <c r="DI59" s="60"/>
      <c r="DJ59" s="60"/>
      <c r="DK59" s="60"/>
      <c r="DL59" s="60"/>
      <c r="DM59" s="60"/>
    </row>
    <row r="60" spans="1:117">
      <c r="A60" s="1">
        <f t="shared" si="4"/>
        <v>58</v>
      </c>
      <c r="B60" s="2"/>
      <c r="C60" s="4">
        <v>10</v>
      </c>
      <c r="D60" s="4">
        <f t="shared" si="1"/>
        <v>1016</v>
      </c>
      <c r="E60" s="4" t="s">
        <v>230</v>
      </c>
      <c r="F60" s="4">
        <v>3</v>
      </c>
      <c r="G60" s="4" t="s">
        <v>11</v>
      </c>
      <c r="H60" s="4"/>
      <c r="I60" s="4"/>
      <c r="J60" s="5">
        <v>98</v>
      </c>
      <c r="K60" s="68"/>
      <c r="L60" s="99">
        <v>4.2910000000000013</v>
      </c>
      <c r="M60" s="7" t="s">
        <v>260</v>
      </c>
      <c r="N60" s="3" t="s">
        <v>205</v>
      </c>
      <c r="O60" s="22">
        <v>4.4909999999999997</v>
      </c>
      <c r="P60" s="22">
        <v>4.4000000000000004</v>
      </c>
      <c r="Q60" s="22">
        <v>4.4560000000000004</v>
      </c>
      <c r="R60" s="60"/>
      <c r="S60" s="6">
        <v>4.2809999999999997</v>
      </c>
      <c r="T60" s="60"/>
      <c r="U60" s="60"/>
      <c r="V60" s="60"/>
      <c r="W60" s="60"/>
      <c r="X60" s="60"/>
      <c r="Y60" s="22">
        <v>4.3369999999999997</v>
      </c>
      <c r="Z60" s="22">
        <v>4.4640000000000004</v>
      </c>
      <c r="AA60" s="22">
        <v>4.3860000000000001</v>
      </c>
      <c r="AB60" s="22">
        <v>4.1660000000000004</v>
      </c>
      <c r="AC60" s="6">
        <v>4.2869999999999999</v>
      </c>
      <c r="AD60" s="22">
        <v>4.2910000000000004</v>
      </c>
      <c r="AE60" s="74">
        <f t="shared" si="6"/>
        <v>4.2889999999999997</v>
      </c>
      <c r="AF60" s="60"/>
      <c r="AG60" s="60"/>
      <c r="AH60" s="60"/>
      <c r="AI60" s="60"/>
      <c r="AJ60" s="60"/>
      <c r="AK60" s="60"/>
      <c r="AL60" s="60"/>
      <c r="AM60" s="60"/>
      <c r="AN60" s="60"/>
      <c r="AO60" s="60"/>
      <c r="AP60" s="60"/>
      <c r="AQ60" s="60"/>
      <c r="AR60" s="60"/>
      <c r="AS60" s="60"/>
      <c r="AT60" s="60"/>
      <c r="AU60" s="60"/>
      <c r="AV60" s="60"/>
      <c r="AW60" s="60"/>
      <c r="AX60" s="60"/>
      <c r="AY60" s="60"/>
      <c r="AZ60" s="60"/>
      <c r="BA60" s="60"/>
      <c r="BB60" s="60"/>
      <c r="BC60" s="60"/>
      <c r="BD60" s="60"/>
      <c r="BE60" s="60"/>
      <c r="BF60" s="60"/>
      <c r="BG60" s="60"/>
      <c r="BH60" s="60"/>
      <c r="BI60" s="60"/>
      <c r="BJ60" s="60"/>
      <c r="BK60" s="60"/>
      <c r="BL60" s="60"/>
      <c r="BM60" s="60"/>
      <c r="BN60" s="60"/>
      <c r="BO60" s="60"/>
      <c r="BP60" s="60"/>
      <c r="BQ60" s="60"/>
      <c r="BR60" s="60"/>
      <c r="BS60" s="60"/>
      <c r="BT60" s="60"/>
      <c r="BU60" s="60"/>
      <c r="BV60" s="60"/>
      <c r="BW60" s="60"/>
      <c r="BX60" s="60"/>
      <c r="BY60" s="60"/>
      <c r="BZ60" s="60"/>
      <c r="CA60" s="60"/>
      <c r="CB60" s="60"/>
      <c r="CC60" s="60"/>
      <c r="CD60" s="60"/>
      <c r="CE60" s="60"/>
      <c r="CF60" s="60"/>
      <c r="CG60" s="60"/>
      <c r="CH60" s="60"/>
      <c r="CI60" s="60"/>
      <c r="CJ60" s="60"/>
      <c r="CK60" s="60"/>
      <c r="CL60" s="60"/>
      <c r="CM60" s="60"/>
      <c r="CN60" s="60"/>
      <c r="CO60" s="60"/>
      <c r="CP60" s="60"/>
      <c r="CQ60" s="60"/>
      <c r="CR60" s="60"/>
      <c r="CS60" s="60"/>
      <c r="CT60" s="60"/>
      <c r="CU60" s="60"/>
      <c r="CV60" s="60"/>
      <c r="CW60" s="60"/>
      <c r="CX60" s="60"/>
      <c r="CY60" s="60"/>
      <c r="CZ60" s="60"/>
      <c r="DA60" s="60"/>
      <c r="DB60" s="60"/>
      <c r="DC60" s="60"/>
      <c r="DD60" s="60"/>
      <c r="DE60" s="60"/>
      <c r="DF60" s="60"/>
      <c r="DG60" s="60"/>
      <c r="DH60" s="60"/>
      <c r="DI60" s="60"/>
      <c r="DJ60" s="60"/>
      <c r="DK60" s="60"/>
      <c r="DL60" s="60"/>
      <c r="DM60" s="60"/>
    </row>
    <row r="61" spans="1:117">
      <c r="A61" s="1">
        <f t="shared" si="4"/>
        <v>59</v>
      </c>
      <c r="B61" s="2"/>
      <c r="C61" s="4">
        <v>10</v>
      </c>
      <c r="D61" s="4">
        <f t="shared" si="1"/>
        <v>1016</v>
      </c>
      <c r="E61" s="4" t="s">
        <v>134</v>
      </c>
      <c r="F61" s="4">
        <v>3</v>
      </c>
      <c r="G61" s="4" t="s">
        <v>11</v>
      </c>
      <c r="H61" s="4" t="s">
        <v>12</v>
      </c>
      <c r="I61" s="4"/>
      <c r="J61" s="5">
        <v>96.5</v>
      </c>
      <c r="K61" s="68"/>
      <c r="L61" s="99">
        <v>4.5449999999999999</v>
      </c>
      <c r="M61" s="7" t="s">
        <v>260</v>
      </c>
      <c r="N61" s="3" t="s">
        <v>205</v>
      </c>
      <c r="O61" s="22">
        <v>4.8129999999999997</v>
      </c>
      <c r="P61" s="22">
        <v>4.5019999999999998</v>
      </c>
      <c r="Q61" s="22">
        <v>4.8689999999999998</v>
      </c>
      <c r="R61" s="60"/>
      <c r="S61" s="6">
        <v>4.66</v>
      </c>
      <c r="T61" s="60"/>
      <c r="U61" s="60"/>
      <c r="V61" s="60"/>
      <c r="W61" s="60"/>
      <c r="X61" s="60"/>
      <c r="Y61" s="22">
        <v>4.7649999999999997</v>
      </c>
      <c r="Z61" s="22">
        <v>4.88</v>
      </c>
      <c r="AA61" s="22">
        <v>4.7649999999999997</v>
      </c>
      <c r="AB61" s="22">
        <v>4.5389999999999997</v>
      </c>
      <c r="AC61" s="6">
        <v>4.3310000000000004</v>
      </c>
      <c r="AD61" s="22">
        <v>4.4969999999999999</v>
      </c>
      <c r="AE61" s="74">
        <f t="shared" si="6"/>
        <v>4.4139999999999997</v>
      </c>
      <c r="AF61" s="60"/>
      <c r="AG61" s="60"/>
      <c r="AH61" s="60"/>
      <c r="AI61" s="60"/>
      <c r="AJ61" s="60"/>
      <c r="AK61" s="60"/>
      <c r="AL61" s="60"/>
      <c r="AM61" s="60"/>
      <c r="AN61" s="60"/>
      <c r="AO61" s="60"/>
      <c r="AP61" s="60"/>
      <c r="AQ61" s="60"/>
      <c r="AR61" s="60"/>
      <c r="AS61" s="60"/>
      <c r="AT61" s="60"/>
      <c r="AU61" s="60"/>
      <c r="AV61" s="60"/>
      <c r="AW61" s="60"/>
      <c r="AX61" s="60"/>
      <c r="AY61" s="60"/>
      <c r="AZ61" s="60"/>
      <c r="BA61" s="60"/>
      <c r="BB61" s="60"/>
      <c r="BC61" s="60"/>
      <c r="BD61" s="60"/>
      <c r="BE61" s="60"/>
      <c r="BF61" s="60"/>
      <c r="BG61" s="60"/>
      <c r="BH61" s="60"/>
      <c r="BI61" s="60"/>
      <c r="BJ61" s="60"/>
      <c r="BK61" s="60"/>
      <c r="BL61" s="60"/>
      <c r="BM61" s="60"/>
      <c r="BN61" s="60"/>
      <c r="BO61" s="60"/>
      <c r="BP61" s="60"/>
      <c r="BQ61" s="60"/>
      <c r="BR61" s="60"/>
      <c r="BS61" s="60"/>
      <c r="BT61" s="60"/>
      <c r="BU61" s="60"/>
      <c r="BV61" s="60"/>
      <c r="BW61" s="60"/>
      <c r="BX61" s="60"/>
      <c r="BY61" s="60"/>
      <c r="BZ61" s="60"/>
      <c r="CA61" s="60"/>
      <c r="CB61" s="60"/>
      <c r="CC61" s="60"/>
      <c r="CD61" s="60"/>
      <c r="CE61" s="60"/>
      <c r="CF61" s="60"/>
      <c r="CG61" s="60"/>
      <c r="CH61" s="60"/>
      <c r="CI61" s="60"/>
      <c r="CJ61" s="60"/>
      <c r="CK61" s="60"/>
      <c r="CL61" s="60"/>
      <c r="CM61" s="60"/>
      <c r="CN61" s="60"/>
      <c r="CO61" s="60"/>
      <c r="CP61" s="60"/>
      <c r="CQ61" s="60"/>
      <c r="CR61" s="60"/>
      <c r="CS61" s="60"/>
      <c r="CT61" s="60"/>
      <c r="CU61" s="60"/>
      <c r="CV61" s="60"/>
      <c r="CW61" s="60"/>
      <c r="CX61" s="60"/>
      <c r="CY61" s="60"/>
      <c r="CZ61" s="60"/>
      <c r="DA61" s="60"/>
      <c r="DB61" s="60"/>
      <c r="DC61" s="60"/>
      <c r="DD61" s="60"/>
      <c r="DE61" s="60"/>
      <c r="DF61" s="60"/>
      <c r="DG61" s="60"/>
      <c r="DH61" s="60"/>
      <c r="DI61" s="60"/>
      <c r="DJ61" s="60"/>
      <c r="DK61" s="60"/>
      <c r="DL61" s="60"/>
      <c r="DM61" s="60"/>
    </row>
    <row r="62" spans="1:117">
      <c r="A62" s="1">
        <f t="shared" si="4"/>
        <v>60</v>
      </c>
      <c r="B62" s="2"/>
      <c r="C62" s="4">
        <v>10</v>
      </c>
      <c r="D62" s="4">
        <f t="shared" si="1"/>
        <v>1016</v>
      </c>
      <c r="E62" s="4" t="s">
        <v>134</v>
      </c>
      <c r="F62" s="4">
        <v>3</v>
      </c>
      <c r="G62" s="4" t="s">
        <v>11</v>
      </c>
      <c r="H62" s="4" t="s">
        <v>12</v>
      </c>
      <c r="I62" s="4"/>
      <c r="J62" s="5">
        <v>96.4</v>
      </c>
      <c r="K62" s="68"/>
      <c r="L62" s="99">
        <v>4.8400000000000007</v>
      </c>
      <c r="M62" s="7" t="s">
        <v>260</v>
      </c>
      <c r="N62" s="3" t="s">
        <v>205</v>
      </c>
      <c r="O62" s="22">
        <v>4.8929999999999998</v>
      </c>
      <c r="P62" s="22">
        <v>4.8040000000000003</v>
      </c>
      <c r="Q62" s="22">
        <v>5.1379999999999999</v>
      </c>
      <c r="R62" s="60"/>
      <c r="S62" s="6">
        <v>4.9640000000000004</v>
      </c>
      <c r="T62" s="60"/>
      <c r="U62" s="60"/>
      <c r="V62" s="60"/>
      <c r="W62" s="60"/>
      <c r="X62" s="60"/>
      <c r="Y62" s="22">
        <v>5.0540000000000003</v>
      </c>
      <c r="Z62" s="22">
        <v>5.1619999999999999</v>
      </c>
      <c r="AA62" s="22">
        <v>5.0430000000000001</v>
      </c>
      <c r="AB62" s="22">
        <v>4.8499999999999996</v>
      </c>
      <c r="AC62" s="22">
        <v>4.72</v>
      </c>
      <c r="AD62" s="22">
        <v>4.968</v>
      </c>
      <c r="AE62" s="74">
        <f t="shared" si="6"/>
        <v>4.8439999999999994</v>
      </c>
      <c r="AF62" s="60"/>
      <c r="AG62" s="60"/>
      <c r="AH62" s="60"/>
      <c r="AI62" s="60"/>
      <c r="AJ62" s="60"/>
      <c r="AK62" s="60"/>
      <c r="AL62" s="60"/>
      <c r="AM62" s="60"/>
      <c r="AN62" s="60"/>
      <c r="AO62" s="60"/>
      <c r="AP62" s="60"/>
      <c r="AQ62" s="60"/>
      <c r="AR62" s="60"/>
      <c r="AS62" s="60"/>
      <c r="AT62" s="60"/>
      <c r="AU62" s="60"/>
      <c r="AV62" s="60"/>
      <c r="AW62" s="60"/>
      <c r="AX62" s="60"/>
      <c r="AY62" s="60"/>
      <c r="AZ62" s="60"/>
      <c r="BA62" s="60"/>
      <c r="BB62" s="60"/>
      <c r="BC62" s="60"/>
      <c r="BD62" s="60"/>
      <c r="BE62" s="60"/>
      <c r="BF62" s="60"/>
      <c r="BG62" s="60"/>
      <c r="BH62" s="60"/>
      <c r="BI62" s="60"/>
      <c r="BJ62" s="60"/>
      <c r="BK62" s="60"/>
      <c r="BL62" s="60"/>
      <c r="BM62" s="60"/>
      <c r="BN62" s="60"/>
      <c r="BO62" s="60"/>
      <c r="BP62" s="60"/>
      <c r="BQ62" s="60"/>
      <c r="BR62" s="60"/>
      <c r="BS62" s="60"/>
      <c r="BT62" s="60"/>
      <c r="BU62" s="60"/>
      <c r="BV62" s="60"/>
      <c r="BW62" s="60"/>
      <c r="BX62" s="60"/>
      <c r="BY62" s="60"/>
      <c r="BZ62" s="60"/>
      <c r="CA62" s="60"/>
      <c r="CB62" s="60"/>
      <c r="CC62" s="60"/>
      <c r="CD62" s="60"/>
      <c r="CE62" s="60"/>
      <c r="CF62" s="60"/>
      <c r="CG62" s="60"/>
      <c r="CH62" s="60"/>
      <c r="CI62" s="60"/>
      <c r="CJ62" s="60"/>
      <c r="CK62" s="60"/>
      <c r="CL62" s="60"/>
      <c r="CM62" s="60"/>
      <c r="CN62" s="60"/>
      <c r="CO62" s="60"/>
      <c r="CP62" s="60"/>
      <c r="CQ62" s="60"/>
      <c r="CR62" s="60"/>
      <c r="CS62" s="60"/>
      <c r="CT62" s="60"/>
      <c r="CU62" s="60"/>
      <c r="CV62" s="60"/>
      <c r="CW62" s="60"/>
      <c r="CX62" s="60"/>
      <c r="CY62" s="60"/>
      <c r="CZ62" s="60"/>
      <c r="DA62" s="60"/>
      <c r="DB62" s="60"/>
      <c r="DC62" s="60"/>
      <c r="DD62" s="60"/>
      <c r="DE62" s="60"/>
      <c r="DF62" s="60"/>
      <c r="DG62" s="60"/>
      <c r="DH62" s="60"/>
      <c r="DI62" s="60"/>
      <c r="DJ62" s="60"/>
      <c r="DK62" s="60"/>
      <c r="DL62" s="60"/>
      <c r="DM62" s="60"/>
    </row>
    <row r="63" spans="1:117">
      <c r="A63" s="1">
        <f t="shared" si="4"/>
        <v>61</v>
      </c>
      <c r="B63" s="2" t="s">
        <v>382</v>
      </c>
      <c r="C63" s="4">
        <v>14</v>
      </c>
      <c r="D63" s="4">
        <f t="shared" si="1"/>
        <v>1016</v>
      </c>
      <c r="E63" s="4" t="s">
        <v>137</v>
      </c>
      <c r="F63" s="4">
        <v>1</v>
      </c>
      <c r="G63" s="4" t="s">
        <v>11</v>
      </c>
      <c r="H63" s="4" t="s">
        <v>17</v>
      </c>
      <c r="I63" s="4"/>
      <c r="J63" s="5">
        <v>85.5</v>
      </c>
      <c r="K63" s="63">
        <v>0.52400000000000002</v>
      </c>
      <c r="L63" s="99">
        <v>2.7709999999999999</v>
      </c>
      <c r="M63" s="7" t="s">
        <v>113</v>
      </c>
      <c r="N63" s="3" t="s">
        <v>205</v>
      </c>
      <c r="O63" s="6">
        <v>2.9350000000000001</v>
      </c>
      <c r="P63" s="6">
        <v>2.915</v>
      </c>
      <c r="Q63" s="6">
        <v>3.3210000000000002</v>
      </c>
      <c r="R63" s="60"/>
      <c r="S63" s="6">
        <v>2.9079999999999999</v>
      </c>
      <c r="T63" s="6">
        <v>2.8479999999999999</v>
      </c>
      <c r="U63" s="6">
        <v>2.8420000000000001</v>
      </c>
      <c r="V63" s="6">
        <v>2.8170000000000002</v>
      </c>
      <c r="W63" s="6">
        <v>2.7810000000000001</v>
      </c>
      <c r="X63" s="60"/>
      <c r="Y63" s="6">
        <v>2.782</v>
      </c>
      <c r="Z63" s="6">
        <v>2.8620000000000001</v>
      </c>
      <c r="AA63" s="6">
        <v>2.8820000000000001</v>
      </c>
      <c r="AB63" s="6">
        <v>2.556</v>
      </c>
      <c r="AC63" s="6">
        <v>2.798</v>
      </c>
      <c r="AD63" s="6">
        <v>2.5179999999999998</v>
      </c>
      <c r="AE63" s="22">
        <f>AVERAGE(AC63:AD63)</f>
        <v>2.6579999999999999</v>
      </c>
      <c r="AF63" s="103">
        <v>3.1339999999999999</v>
      </c>
      <c r="AG63" s="103">
        <v>3.11</v>
      </c>
      <c r="AH63" s="103">
        <v>3.1139999999999999</v>
      </c>
      <c r="AI63" s="103">
        <v>3.1480000000000001</v>
      </c>
      <c r="AJ63" s="103">
        <v>3.1909999999999998</v>
      </c>
      <c r="AK63" s="103">
        <v>3.0619999999999998</v>
      </c>
      <c r="AL63" s="103">
        <v>3.0840000000000001</v>
      </c>
      <c r="AM63" s="103">
        <v>3.1739999999999999</v>
      </c>
      <c r="AN63" s="103">
        <v>3.161</v>
      </c>
      <c r="AO63" s="103">
        <v>3.0659999999999998</v>
      </c>
      <c r="AP63" s="103">
        <v>3.1139999999999999</v>
      </c>
      <c r="AQ63" s="103">
        <v>3.1</v>
      </c>
      <c r="AR63" s="103">
        <v>3.1309999999999998</v>
      </c>
      <c r="AS63" s="103">
        <v>3.2050000000000001</v>
      </c>
      <c r="AT63" s="103">
        <v>3.194</v>
      </c>
      <c r="AU63" s="103">
        <v>3.1040000000000001</v>
      </c>
      <c r="AV63" s="103">
        <v>3.0830000000000002</v>
      </c>
      <c r="AW63" s="103">
        <v>3.1160000000000001</v>
      </c>
      <c r="AX63" s="103">
        <v>3.02</v>
      </c>
      <c r="AY63" s="103">
        <v>3.11</v>
      </c>
      <c r="AZ63" s="103">
        <v>3.0449999999999999</v>
      </c>
      <c r="BA63" s="103">
        <v>3.073</v>
      </c>
      <c r="BB63" s="103">
        <v>3.044</v>
      </c>
      <c r="BC63" s="103">
        <v>3.0430000000000001</v>
      </c>
      <c r="BD63" s="103">
        <v>3.0859999999999999</v>
      </c>
      <c r="BE63" s="103">
        <v>2.9849999999999999</v>
      </c>
      <c r="BF63" s="103">
        <v>3.0950000000000002</v>
      </c>
      <c r="BG63" s="103">
        <v>3.0089999999999999</v>
      </c>
      <c r="BH63" s="103">
        <v>2.9809999999999999</v>
      </c>
      <c r="BI63" s="103">
        <v>3.0619999999999998</v>
      </c>
      <c r="BJ63" s="103">
        <v>2.9980000000000002</v>
      </c>
      <c r="BK63" s="103">
        <v>2.6640000000000001</v>
      </c>
      <c r="BL63" s="103">
        <v>2.7549999999999999</v>
      </c>
      <c r="BM63" s="103">
        <v>2.6880000000000002</v>
      </c>
      <c r="BN63" s="103">
        <v>3.1779999999999999</v>
      </c>
      <c r="BO63" s="103">
        <v>3.1480000000000001</v>
      </c>
      <c r="BP63" s="103">
        <v>3.1520000000000001</v>
      </c>
      <c r="BQ63" s="87">
        <v>2.458367</v>
      </c>
      <c r="BR63" s="87">
        <v>2.674776</v>
      </c>
      <c r="BS63" s="87">
        <v>3.017252</v>
      </c>
      <c r="BT63" s="87">
        <v>2.7297760000000002</v>
      </c>
      <c r="BU63" s="87">
        <v>2.747662</v>
      </c>
      <c r="BV63" s="87">
        <v>2.9309059999999998</v>
      </c>
      <c r="BW63" s="105">
        <v>3.3929999999999998</v>
      </c>
      <c r="BX63" s="105">
        <v>3.3919999999999999</v>
      </c>
      <c r="BY63" s="105">
        <v>3.419</v>
      </c>
      <c r="BZ63" s="105">
        <v>3.472</v>
      </c>
      <c r="CA63" s="105">
        <v>3.5369999999999999</v>
      </c>
      <c r="CB63" s="105">
        <v>3.4</v>
      </c>
      <c r="CC63" s="105">
        <v>3.4209999999999998</v>
      </c>
      <c r="CD63" s="105">
        <v>3.512</v>
      </c>
      <c r="CE63" s="105">
        <v>3.5009999999999999</v>
      </c>
      <c r="CF63" s="105">
        <v>3.4009999999999998</v>
      </c>
      <c r="CG63" s="105">
        <v>3.4470000000000001</v>
      </c>
      <c r="CH63" s="105">
        <v>3.427</v>
      </c>
      <c r="CI63" s="105">
        <v>3.4580000000000002</v>
      </c>
      <c r="CJ63" s="105">
        <v>3.548</v>
      </c>
      <c r="CK63" s="105">
        <v>3.5390000000000001</v>
      </c>
      <c r="CL63" s="105">
        <v>3.415</v>
      </c>
      <c r="CM63" s="105">
        <v>3.3860000000000001</v>
      </c>
      <c r="CN63" s="105">
        <v>3.4420000000000002</v>
      </c>
      <c r="CO63" s="105">
        <v>3.298</v>
      </c>
      <c r="CP63" s="105">
        <v>3.4159999999999999</v>
      </c>
      <c r="CQ63" s="105">
        <v>3.327</v>
      </c>
      <c r="CR63" s="105">
        <v>3.359</v>
      </c>
      <c r="CS63" s="105">
        <v>3.3279999999999998</v>
      </c>
      <c r="CT63" s="105">
        <v>3.33</v>
      </c>
      <c r="CU63" s="105">
        <v>3.387</v>
      </c>
      <c r="CV63" s="105">
        <v>3.2010000000000001</v>
      </c>
      <c r="CW63" s="105">
        <v>3.3690000000000002</v>
      </c>
      <c r="CX63" s="105">
        <v>3.2309999999999999</v>
      </c>
      <c r="CY63" s="105">
        <v>3.2160000000000002</v>
      </c>
      <c r="CZ63" s="105">
        <v>3.3279999999999998</v>
      </c>
      <c r="DA63" s="105">
        <v>3.2320000000000002</v>
      </c>
      <c r="DB63" s="105">
        <v>2.7730000000000001</v>
      </c>
      <c r="DC63" s="105">
        <v>2.96</v>
      </c>
      <c r="DD63" s="105">
        <v>2.8860000000000001</v>
      </c>
      <c r="DE63" s="105">
        <v>3.5179999999999998</v>
      </c>
      <c r="DF63" s="105">
        <v>3.4670000000000001</v>
      </c>
      <c r="DG63" s="105">
        <v>3.4860000000000002</v>
      </c>
      <c r="DH63" s="115">
        <v>2.869138</v>
      </c>
      <c r="DI63" s="115">
        <v>3.0607519999999999</v>
      </c>
      <c r="DJ63" s="115">
        <v>3.334918</v>
      </c>
      <c r="DK63" s="115">
        <v>3.1210930000000001</v>
      </c>
      <c r="DL63" s="115">
        <v>3.1224880000000002</v>
      </c>
      <c r="DM63" s="115">
        <v>3.2559640000000001</v>
      </c>
    </row>
    <row r="64" spans="1:117">
      <c r="A64" s="1">
        <f t="shared" si="4"/>
        <v>62</v>
      </c>
      <c r="B64" s="2"/>
      <c r="C64" s="4">
        <v>14</v>
      </c>
      <c r="D64" s="4">
        <f t="shared" si="1"/>
        <v>1016</v>
      </c>
      <c r="E64" s="4" t="s">
        <v>137</v>
      </c>
      <c r="F64" s="4">
        <v>1</v>
      </c>
      <c r="G64" s="4" t="s">
        <v>11</v>
      </c>
      <c r="H64" s="4" t="s">
        <v>17</v>
      </c>
      <c r="I64" s="4"/>
      <c r="J64" s="5">
        <v>81.8</v>
      </c>
      <c r="K64" s="63">
        <v>0.161</v>
      </c>
      <c r="L64" s="99">
        <v>3.8039999999999998</v>
      </c>
      <c r="M64" s="7" t="s">
        <v>113</v>
      </c>
      <c r="N64" s="3" t="s">
        <v>205</v>
      </c>
      <c r="O64" s="6">
        <v>3.86</v>
      </c>
      <c r="P64" s="6">
        <v>3.883</v>
      </c>
      <c r="Q64" s="6">
        <v>4.524</v>
      </c>
      <c r="R64" s="60"/>
      <c r="S64" s="6">
        <v>4.1749999999999998</v>
      </c>
      <c r="T64" s="6">
        <v>3.948</v>
      </c>
      <c r="U64" s="6">
        <v>3.931</v>
      </c>
      <c r="V64" s="4">
        <v>3.8839999999999999</v>
      </c>
      <c r="W64" s="6">
        <v>3.76</v>
      </c>
      <c r="X64" s="60"/>
      <c r="Y64" s="6">
        <v>4.0469999999999997</v>
      </c>
      <c r="Z64" s="6">
        <v>4.22</v>
      </c>
      <c r="AA64" s="6">
        <v>4.0350000000000001</v>
      </c>
      <c r="AB64" s="6">
        <v>3.8090000000000002</v>
      </c>
      <c r="AC64" s="6">
        <v>3.81</v>
      </c>
      <c r="AD64" s="6">
        <v>3.7759999999999998</v>
      </c>
      <c r="AE64" s="22">
        <f>AVERAGE(AC64:AD64)</f>
        <v>3.7930000000000001</v>
      </c>
      <c r="AF64" s="103">
        <v>3.5640000000000001</v>
      </c>
      <c r="AG64" s="103">
        <v>3.577</v>
      </c>
      <c r="AH64" s="103">
        <v>3.64</v>
      </c>
      <c r="AI64" s="103">
        <v>3.7389999999999999</v>
      </c>
      <c r="AJ64" s="103">
        <v>3.8340000000000001</v>
      </c>
      <c r="AK64" s="103">
        <v>3.7</v>
      </c>
      <c r="AL64" s="103">
        <v>3.714</v>
      </c>
      <c r="AM64" s="103">
        <v>4.0060000000000002</v>
      </c>
      <c r="AN64" s="103">
        <v>3.988</v>
      </c>
      <c r="AO64" s="103">
        <v>3.8849999999999998</v>
      </c>
      <c r="AP64" s="103">
        <v>4.0369999999999999</v>
      </c>
      <c r="AQ64" s="103">
        <v>4.0650000000000004</v>
      </c>
      <c r="AR64" s="103">
        <v>4.0869999999999997</v>
      </c>
      <c r="AS64" s="103">
        <v>3.8940000000000001</v>
      </c>
      <c r="AT64" s="103">
        <v>3.887</v>
      </c>
      <c r="AU64" s="103">
        <v>4.0090000000000003</v>
      </c>
      <c r="AV64" s="103">
        <v>3.6440000000000001</v>
      </c>
      <c r="AW64" s="103">
        <v>3.7789999999999999</v>
      </c>
      <c r="AX64" s="103">
        <v>4.399</v>
      </c>
      <c r="AY64" s="103">
        <v>4.0119999999999996</v>
      </c>
      <c r="AZ64" s="103">
        <v>4.1500000000000004</v>
      </c>
      <c r="BA64" s="103">
        <v>4.22</v>
      </c>
      <c r="BB64" s="103">
        <v>4.351</v>
      </c>
      <c r="BC64" s="103">
        <v>4.343</v>
      </c>
      <c r="BD64" s="103">
        <v>4.218</v>
      </c>
      <c r="BE64" s="103">
        <v>3.6789999999999998</v>
      </c>
      <c r="BF64" s="103">
        <v>3.9169999999999998</v>
      </c>
      <c r="BG64" s="103">
        <v>3.948</v>
      </c>
      <c r="BH64" s="103">
        <v>4.16</v>
      </c>
      <c r="BI64" s="103">
        <v>4.399</v>
      </c>
      <c r="BJ64" s="103">
        <v>4.2300000000000004</v>
      </c>
      <c r="BK64" s="103">
        <v>3.2490000000000001</v>
      </c>
      <c r="BL64" s="103">
        <v>3.87</v>
      </c>
      <c r="BM64" s="103">
        <v>3.8069999999999999</v>
      </c>
      <c r="BN64" s="103">
        <v>3.847</v>
      </c>
      <c r="BO64" s="103">
        <v>3.718</v>
      </c>
      <c r="BP64" s="103">
        <v>3.851</v>
      </c>
      <c r="BQ64" s="87">
        <v>3.1556600000000001</v>
      </c>
      <c r="BR64" s="87">
        <v>3.5553900000000001</v>
      </c>
      <c r="BS64" s="87">
        <v>4.0814700000000004</v>
      </c>
      <c r="BT64" s="87">
        <v>3.6319710000000001</v>
      </c>
      <c r="BU64" s="87">
        <v>3.683646</v>
      </c>
      <c r="BV64" s="87">
        <v>3.9190849999999999</v>
      </c>
      <c r="BW64" s="105">
        <v>3.931</v>
      </c>
      <c r="BX64" s="105">
        <v>3.91</v>
      </c>
      <c r="BY64" s="105">
        <v>3.9249999999999998</v>
      </c>
      <c r="BZ64" s="105">
        <v>3.9889999999999999</v>
      </c>
      <c r="CA64" s="105">
        <v>4.0469999999999997</v>
      </c>
      <c r="CB64" s="105">
        <v>3.9209999999999998</v>
      </c>
      <c r="CC64" s="105">
        <v>3.9390000000000001</v>
      </c>
      <c r="CD64" s="105">
        <v>4.194</v>
      </c>
      <c r="CE64" s="105">
        <v>4.1909999999999998</v>
      </c>
      <c r="CF64" s="105">
        <v>4.09</v>
      </c>
      <c r="CG64" s="105">
        <v>4.234</v>
      </c>
      <c r="CH64" s="105">
        <v>4.2569999999999997</v>
      </c>
      <c r="CI64" s="105">
        <v>4.28</v>
      </c>
      <c r="CJ64" s="105">
        <v>4.1150000000000002</v>
      </c>
      <c r="CK64" s="105">
        <v>4.109</v>
      </c>
      <c r="CL64" s="105">
        <v>4.194</v>
      </c>
      <c r="CM64" s="105">
        <v>3.875</v>
      </c>
      <c r="CN64" s="105">
        <v>3.9969999999999999</v>
      </c>
      <c r="CO64" s="105">
        <v>4.601</v>
      </c>
      <c r="CP64" s="105">
        <v>4.1959999999999997</v>
      </c>
      <c r="CQ64" s="105">
        <v>4.3380000000000001</v>
      </c>
      <c r="CR64" s="105">
        <v>4.407</v>
      </c>
      <c r="CS64" s="105">
        <v>4.5439999999999996</v>
      </c>
      <c r="CT64" s="105">
        <v>4.54</v>
      </c>
      <c r="CU64" s="105">
        <v>4.4169999999999998</v>
      </c>
      <c r="CV64" s="105">
        <v>3.8140000000000001</v>
      </c>
      <c r="CW64" s="105">
        <v>4.0759999999999996</v>
      </c>
      <c r="CX64" s="105">
        <v>4.069</v>
      </c>
      <c r="CY64" s="105">
        <v>4.3029999999999999</v>
      </c>
      <c r="CZ64" s="105">
        <v>4.5679999999999996</v>
      </c>
      <c r="DA64" s="105">
        <v>4.367</v>
      </c>
      <c r="DB64" s="105">
        <v>3.2709999999999999</v>
      </c>
      <c r="DC64" s="105">
        <v>3.9870000000000001</v>
      </c>
      <c r="DD64" s="105">
        <v>3.919</v>
      </c>
      <c r="DE64" s="105">
        <v>4.0750000000000002</v>
      </c>
      <c r="DF64" s="105">
        <v>3.9830000000000001</v>
      </c>
      <c r="DG64" s="105">
        <v>4.0679999999999996</v>
      </c>
      <c r="DH64" s="115">
        <v>3.4447619999999999</v>
      </c>
      <c r="DI64" s="115">
        <v>3.7774749999999999</v>
      </c>
      <c r="DJ64" s="115">
        <v>4.2658100000000001</v>
      </c>
      <c r="DK64" s="115">
        <v>3.8572389999999999</v>
      </c>
      <c r="DL64" s="115">
        <v>3.897265</v>
      </c>
      <c r="DM64" s="115">
        <v>4.1098730000000003</v>
      </c>
    </row>
    <row r="65" spans="1:117">
      <c r="A65" s="1">
        <f t="shared" si="4"/>
        <v>63</v>
      </c>
      <c r="B65" s="2"/>
      <c r="C65" s="4">
        <v>14</v>
      </c>
      <c r="D65" s="4">
        <f t="shared" si="1"/>
        <v>1016</v>
      </c>
      <c r="E65" s="4" t="s">
        <v>118</v>
      </c>
      <c r="F65" s="4">
        <v>1</v>
      </c>
      <c r="G65" s="4" t="s">
        <v>11</v>
      </c>
      <c r="H65" s="4" t="s">
        <v>17</v>
      </c>
      <c r="I65" s="4" t="s">
        <v>320</v>
      </c>
      <c r="J65" s="5">
        <v>79.099999999999994</v>
      </c>
      <c r="K65" s="63">
        <v>4.3999999999999997E-2</v>
      </c>
      <c r="L65" s="99">
        <v>3.9009999999999998</v>
      </c>
      <c r="M65" s="7" t="s">
        <v>113</v>
      </c>
      <c r="N65" s="3" t="s">
        <v>205</v>
      </c>
      <c r="O65" s="6">
        <v>4.0369999999999999</v>
      </c>
      <c r="P65" s="6">
        <v>4.0149999999999997</v>
      </c>
      <c r="Q65" s="6">
        <v>4.6630000000000003</v>
      </c>
      <c r="R65" s="60"/>
      <c r="S65" s="6">
        <v>4.3360000000000003</v>
      </c>
      <c r="T65" s="6">
        <v>4.0880000000000001</v>
      </c>
      <c r="U65" s="6">
        <v>4.0750000000000002</v>
      </c>
      <c r="V65" s="6">
        <v>4.0049999999999999</v>
      </c>
      <c r="W65" s="6">
        <v>3.8610000000000002</v>
      </c>
      <c r="X65" s="60"/>
      <c r="Y65" s="6">
        <v>4.1710000000000003</v>
      </c>
      <c r="Z65" s="6">
        <v>4.2370000000000001</v>
      </c>
      <c r="AA65" s="6">
        <v>4.1669999999999998</v>
      </c>
      <c r="AB65" s="6">
        <v>3.9260000000000002</v>
      </c>
      <c r="AC65" s="6">
        <v>3.9350000000000001</v>
      </c>
      <c r="AD65" s="6">
        <v>3.8029999999999999</v>
      </c>
      <c r="AE65" s="22">
        <f>AVERAGE(AC65:AD65)</f>
        <v>3.8689999999999998</v>
      </c>
      <c r="AF65" s="103">
        <v>3.6659999999999999</v>
      </c>
      <c r="AG65" s="103">
        <v>3.6989999999999998</v>
      </c>
      <c r="AH65" s="103">
        <v>3.7850000000000001</v>
      </c>
      <c r="AI65" s="103">
        <v>3.9039999999999999</v>
      </c>
      <c r="AJ65" s="103">
        <v>4.0350000000000001</v>
      </c>
      <c r="AK65" s="103">
        <v>3.8719999999999999</v>
      </c>
      <c r="AL65" s="103">
        <v>3.8839999999999999</v>
      </c>
      <c r="AM65" s="103">
        <v>4.226</v>
      </c>
      <c r="AN65" s="103">
        <v>4.202</v>
      </c>
      <c r="AO65" s="103">
        <v>4.101</v>
      </c>
      <c r="AP65" s="103">
        <v>4.2569999999999997</v>
      </c>
      <c r="AQ65" s="103">
        <v>4.2930000000000001</v>
      </c>
      <c r="AR65" s="103">
        <v>4.3129999999999997</v>
      </c>
      <c r="AS65" s="103">
        <v>4.0869999999999997</v>
      </c>
      <c r="AT65" s="103">
        <v>4.0810000000000004</v>
      </c>
      <c r="AU65" s="103">
        <v>4.2389999999999999</v>
      </c>
      <c r="AV65" s="103">
        <v>3.8260000000000001</v>
      </c>
      <c r="AW65" s="103">
        <v>3.9649999999999999</v>
      </c>
      <c r="AX65" s="103">
        <v>4.67</v>
      </c>
      <c r="AY65" s="103">
        <v>4.2460000000000004</v>
      </c>
      <c r="AZ65" s="103">
        <v>4.4109999999999996</v>
      </c>
      <c r="BA65" s="103">
        <v>4.4779999999999998</v>
      </c>
      <c r="BB65" s="103">
        <v>4.617</v>
      </c>
      <c r="BC65" s="103">
        <v>4.5999999999999996</v>
      </c>
      <c r="BD65" s="103">
        <v>4.4669999999999996</v>
      </c>
      <c r="BE65" s="103">
        <v>3.8330000000000002</v>
      </c>
      <c r="BF65" s="103">
        <v>4.1100000000000003</v>
      </c>
      <c r="BG65" s="103">
        <v>4.1459999999999999</v>
      </c>
      <c r="BH65" s="103">
        <v>4.4029999999999996</v>
      </c>
      <c r="BI65" s="103">
        <v>4.6669999999999998</v>
      </c>
      <c r="BJ65" s="103">
        <v>4.4749999999999996</v>
      </c>
      <c r="BK65" s="103">
        <v>3.3620000000000001</v>
      </c>
      <c r="BL65" s="103">
        <v>4.069</v>
      </c>
      <c r="BM65" s="103">
        <v>4.0010000000000003</v>
      </c>
      <c r="BN65" s="103">
        <v>4.032</v>
      </c>
      <c r="BO65" s="103">
        <v>3.8780000000000001</v>
      </c>
      <c r="BP65" s="103">
        <v>4.0449999999999999</v>
      </c>
      <c r="BQ65" s="87">
        <v>3.3110249999999999</v>
      </c>
      <c r="BR65" s="87">
        <v>3.775909</v>
      </c>
      <c r="BS65" s="87">
        <v>4.351305</v>
      </c>
      <c r="BT65" s="87">
        <v>3.843715</v>
      </c>
      <c r="BU65" s="87">
        <v>3.9161450000000002</v>
      </c>
      <c r="BV65" s="87">
        <v>4.1851459999999996</v>
      </c>
      <c r="BW65" s="105">
        <v>3.7789999999999999</v>
      </c>
      <c r="BX65" s="105">
        <v>3.8149999999999999</v>
      </c>
      <c r="BY65" s="105">
        <v>3.9039999999999999</v>
      </c>
      <c r="BZ65" s="105">
        <v>4.0270000000000001</v>
      </c>
      <c r="CA65" s="105">
        <v>4.1589999999999998</v>
      </c>
      <c r="CB65" s="105">
        <v>3.9950000000000001</v>
      </c>
      <c r="CC65" s="105">
        <v>4.008</v>
      </c>
      <c r="CD65" s="105">
        <v>4.3600000000000003</v>
      </c>
      <c r="CE65" s="105">
        <v>4.343</v>
      </c>
      <c r="CF65" s="105">
        <v>4.24</v>
      </c>
      <c r="CG65" s="105">
        <v>4.4080000000000004</v>
      </c>
      <c r="CH65" s="105">
        <v>4.4420000000000002</v>
      </c>
      <c r="CI65" s="105">
        <v>4.4630000000000001</v>
      </c>
      <c r="CJ65" s="105">
        <v>4.2140000000000004</v>
      </c>
      <c r="CK65" s="105">
        <v>4.2089999999999996</v>
      </c>
      <c r="CL65" s="105">
        <v>4.3890000000000002</v>
      </c>
      <c r="CM65" s="105">
        <v>3.9590000000000001</v>
      </c>
      <c r="CN65" s="105">
        <v>4.0960000000000001</v>
      </c>
      <c r="CO65" s="105">
        <v>4.8680000000000003</v>
      </c>
      <c r="CP65" s="105">
        <v>4.4009999999999998</v>
      </c>
      <c r="CQ65" s="105">
        <v>4.5819999999999999</v>
      </c>
      <c r="CR65" s="105">
        <v>4.6509999999999998</v>
      </c>
      <c r="CS65" s="105">
        <v>4.8</v>
      </c>
      <c r="CT65" s="105">
        <v>4.7859999999999996</v>
      </c>
      <c r="CU65" s="105">
        <v>4.649</v>
      </c>
      <c r="CV65" s="105">
        <v>3.9089999999999998</v>
      </c>
      <c r="CW65" s="105">
        <v>4.2190000000000003</v>
      </c>
      <c r="CX65" s="105">
        <v>4.2370000000000001</v>
      </c>
      <c r="CY65" s="105">
        <v>4.5309999999999997</v>
      </c>
      <c r="CZ65" s="105">
        <v>4.827</v>
      </c>
      <c r="DA65" s="105">
        <v>4.5999999999999996</v>
      </c>
      <c r="DB65" s="105">
        <v>3.35</v>
      </c>
      <c r="DC65" s="105">
        <v>4.1660000000000004</v>
      </c>
      <c r="DD65" s="105">
        <v>4.0919999999999996</v>
      </c>
      <c r="DE65" s="105">
        <v>4.1609999999999996</v>
      </c>
      <c r="DF65" s="105">
        <v>4.0019999999999998</v>
      </c>
      <c r="DG65" s="105">
        <v>4.1760000000000002</v>
      </c>
      <c r="DH65" s="115">
        <v>3.4604279999999998</v>
      </c>
      <c r="DI65" s="115">
        <v>3.9311720000000001</v>
      </c>
      <c r="DJ65" s="115">
        <v>4.5109469999999998</v>
      </c>
      <c r="DK65" s="115">
        <v>3.9901659999999999</v>
      </c>
      <c r="DL65" s="115">
        <v>4.0721020000000001</v>
      </c>
      <c r="DM65" s="115">
        <v>4.3459709999999996</v>
      </c>
    </row>
    <row r="66" spans="1:117">
      <c r="A66" s="1">
        <f t="shared" si="4"/>
        <v>64</v>
      </c>
      <c r="B66" s="2"/>
      <c r="C66" s="4">
        <v>14</v>
      </c>
      <c r="D66" s="4">
        <f t="shared" si="1"/>
        <v>1016</v>
      </c>
      <c r="E66" s="4" t="s">
        <v>142</v>
      </c>
      <c r="F66" s="4">
        <v>3</v>
      </c>
      <c r="G66" s="4" t="s">
        <v>11</v>
      </c>
      <c r="H66" s="4" t="s">
        <v>17</v>
      </c>
      <c r="I66" s="4"/>
      <c r="J66" s="5">
        <v>97.4</v>
      </c>
      <c r="K66" s="68"/>
      <c r="L66" s="99">
        <v>1.8620000000000001</v>
      </c>
      <c r="M66" s="7" t="s">
        <v>260</v>
      </c>
      <c r="N66" s="3" t="s">
        <v>205</v>
      </c>
      <c r="O66" s="6">
        <v>2.1339999999999999</v>
      </c>
      <c r="P66" s="6">
        <v>2.0310000000000001</v>
      </c>
      <c r="Q66" s="6">
        <v>2.278</v>
      </c>
      <c r="R66" s="60"/>
      <c r="S66" s="6">
        <v>1.794</v>
      </c>
      <c r="T66" s="60"/>
      <c r="U66" s="60"/>
      <c r="V66" s="60"/>
      <c r="W66" s="60"/>
      <c r="X66" s="60"/>
      <c r="Y66" s="6">
        <v>2.0579999999999998</v>
      </c>
      <c r="Z66" s="6">
        <v>2.0760000000000001</v>
      </c>
      <c r="AA66" s="6">
        <v>2.0609999999999999</v>
      </c>
      <c r="AB66" s="6">
        <v>1.881</v>
      </c>
      <c r="AC66" s="6">
        <v>1.992</v>
      </c>
      <c r="AD66" s="6">
        <v>1.4930000000000001</v>
      </c>
      <c r="AE66" s="22">
        <f t="shared" ref="AE66:AE68" si="7">AVERAGE(AC66:AD66)</f>
        <v>1.7425000000000002</v>
      </c>
      <c r="AF66" s="103">
        <v>1.6020000000000001</v>
      </c>
      <c r="AG66" s="103">
        <v>1.637</v>
      </c>
      <c r="AH66" s="103">
        <v>1.591</v>
      </c>
      <c r="AI66" s="103">
        <v>1.498</v>
      </c>
      <c r="AJ66" s="103">
        <v>0.34</v>
      </c>
      <c r="AK66" s="103">
        <v>1.536</v>
      </c>
      <c r="AL66" s="103">
        <v>1.5469999999999999</v>
      </c>
      <c r="AM66" s="103">
        <v>1.494</v>
      </c>
      <c r="AN66" s="103">
        <v>1.5660000000000001</v>
      </c>
      <c r="AO66" s="103">
        <v>1.5369999999999999</v>
      </c>
      <c r="AP66" s="103">
        <v>1.59</v>
      </c>
      <c r="AQ66" s="103">
        <v>1.532</v>
      </c>
      <c r="AR66" s="103">
        <v>1.5489999999999999</v>
      </c>
      <c r="AS66" s="103">
        <v>1.655</v>
      </c>
      <c r="AT66" s="103">
        <v>1.6479999999999999</v>
      </c>
      <c r="AU66" s="103">
        <v>1.298</v>
      </c>
      <c r="AV66" s="103">
        <v>1.5569999999999999</v>
      </c>
      <c r="AW66" s="103">
        <v>1.4790000000000001</v>
      </c>
      <c r="AX66" s="60"/>
      <c r="AY66" s="103">
        <v>1.343</v>
      </c>
      <c r="AZ66" s="103">
        <v>1.3180000000000001</v>
      </c>
      <c r="BA66" s="103">
        <v>1.1200000000000001</v>
      </c>
      <c r="BB66" s="103">
        <v>0.94299999999999995</v>
      </c>
      <c r="BC66" s="103">
        <v>0.70099999999999996</v>
      </c>
      <c r="BD66" s="103">
        <v>1.2629999999999999</v>
      </c>
      <c r="BE66" s="60"/>
      <c r="BF66" s="60"/>
      <c r="BG66" s="60"/>
      <c r="BH66" s="60"/>
      <c r="BI66" s="60"/>
      <c r="BJ66" s="60"/>
      <c r="BK66" s="60"/>
      <c r="BL66" s="60"/>
      <c r="BM66" s="60"/>
      <c r="BN66" s="103">
        <v>1.6830000000000001</v>
      </c>
      <c r="BO66" s="103">
        <v>1.5840000000000001</v>
      </c>
      <c r="BP66" s="103">
        <v>1.635</v>
      </c>
      <c r="BQ66" s="87">
        <v>0.93532999999999999</v>
      </c>
      <c r="BR66" s="87">
        <v>1.0737950000000001</v>
      </c>
      <c r="BS66" s="87">
        <v>1.4186749999999999</v>
      </c>
      <c r="BT66" s="87">
        <v>0.99328300000000003</v>
      </c>
      <c r="BU66" s="87">
        <v>1.087064</v>
      </c>
      <c r="BV66" s="87">
        <v>1.3808039999999999</v>
      </c>
      <c r="BW66" s="105">
        <v>1.7470000000000001</v>
      </c>
      <c r="BX66" s="105">
        <v>1.7470000000000001</v>
      </c>
      <c r="BY66" s="105">
        <v>1.7230000000000001</v>
      </c>
      <c r="BZ66" s="105">
        <v>1.69</v>
      </c>
      <c r="CA66" s="105">
        <v>1.5009999999999999</v>
      </c>
      <c r="CB66" s="105">
        <v>1.7010000000000001</v>
      </c>
      <c r="CC66" s="105">
        <v>1.7190000000000001</v>
      </c>
      <c r="CD66" s="105">
        <v>1.7370000000000001</v>
      </c>
      <c r="CE66" s="105">
        <v>1.7629999999999999</v>
      </c>
      <c r="CF66" s="105">
        <v>1.7210000000000001</v>
      </c>
      <c r="CG66" s="105">
        <v>1.774</v>
      </c>
      <c r="CH66" s="105">
        <v>1.7390000000000001</v>
      </c>
      <c r="CI66" s="105">
        <v>1.7669999999999999</v>
      </c>
      <c r="CJ66" s="105">
        <v>1.8080000000000001</v>
      </c>
      <c r="CK66" s="105">
        <v>1.7989999999999999</v>
      </c>
      <c r="CL66" s="105">
        <v>1.645</v>
      </c>
      <c r="CM66" s="105">
        <v>1.706</v>
      </c>
      <c r="CN66" s="105">
        <v>1.6839999999999999</v>
      </c>
      <c r="CO66" s="105">
        <v>1.542</v>
      </c>
      <c r="CP66" s="105">
        <v>1.673</v>
      </c>
      <c r="CQ66" s="105">
        <v>1.679</v>
      </c>
      <c r="CR66" s="105">
        <v>1.639</v>
      </c>
      <c r="CS66" s="105">
        <v>1.621</v>
      </c>
      <c r="CT66" s="105">
        <v>1.55</v>
      </c>
      <c r="CU66" s="105">
        <v>1.669</v>
      </c>
      <c r="CV66" s="105">
        <v>1.8540000000000001</v>
      </c>
      <c r="CW66" s="105">
        <v>1.734</v>
      </c>
      <c r="CX66" s="105">
        <v>1.8340000000000001</v>
      </c>
      <c r="CY66" s="105">
        <v>1.7689999999999999</v>
      </c>
      <c r="CZ66" s="105">
        <v>1.6619999999999999</v>
      </c>
      <c r="DA66" s="105">
        <v>1.7849999999999999</v>
      </c>
      <c r="DB66" s="105">
        <v>2.2320000000000002</v>
      </c>
      <c r="DC66" s="105">
        <v>1.758</v>
      </c>
      <c r="DD66" s="105">
        <v>1.7450000000000001</v>
      </c>
      <c r="DE66" s="105">
        <v>1.8049999999999999</v>
      </c>
      <c r="DF66" s="105">
        <v>1.7330000000000001</v>
      </c>
      <c r="DG66" s="105">
        <v>1.78</v>
      </c>
      <c r="DH66" s="115">
        <v>1.0977749999999999</v>
      </c>
      <c r="DI66" s="115">
        <v>1.280977</v>
      </c>
      <c r="DJ66" s="115">
        <v>1.628679</v>
      </c>
      <c r="DK66" s="115">
        <v>1.259538</v>
      </c>
      <c r="DL66" s="115">
        <v>1.325593</v>
      </c>
      <c r="DM66" s="115">
        <v>1.567645</v>
      </c>
    </row>
    <row r="67" spans="1:117">
      <c r="A67" s="1">
        <f t="shared" si="4"/>
        <v>65</v>
      </c>
      <c r="B67" s="2"/>
      <c r="C67" s="4">
        <v>14</v>
      </c>
      <c r="D67" s="4">
        <f t="shared" si="1"/>
        <v>1016</v>
      </c>
      <c r="E67" s="4" t="s">
        <v>142</v>
      </c>
      <c r="F67" s="4">
        <v>3</v>
      </c>
      <c r="G67" s="4" t="s">
        <v>11</v>
      </c>
      <c r="H67" s="4" t="s">
        <v>17</v>
      </c>
      <c r="I67" s="4"/>
      <c r="J67" s="5">
        <v>96</v>
      </c>
      <c r="K67" s="68"/>
      <c r="L67" s="99">
        <v>3.11</v>
      </c>
      <c r="M67" s="7" t="s">
        <v>260</v>
      </c>
      <c r="N67" s="3" t="s">
        <v>205</v>
      </c>
      <c r="O67" s="6">
        <v>3.4710000000000001</v>
      </c>
      <c r="P67" s="6">
        <v>3.2109999999999999</v>
      </c>
      <c r="Q67" s="6">
        <v>3.597</v>
      </c>
      <c r="R67" s="60"/>
      <c r="S67" s="6">
        <v>3.214</v>
      </c>
      <c r="T67" s="60"/>
      <c r="U67" s="60"/>
      <c r="V67" s="60"/>
      <c r="W67" s="60"/>
      <c r="X67" s="60"/>
      <c r="Y67" s="6">
        <v>3.3650000000000002</v>
      </c>
      <c r="Z67" s="6">
        <v>3.415</v>
      </c>
      <c r="AA67" s="6">
        <v>3.3490000000000002</v>
      </c>
      <c r="AB67" s="6">
        <v>3.161</v>
      </c>
      <c r="AC67" s="6">
        <v>3.1440000000000001</v>
      </c>
      <c r="AD67" s="6">
        <v>2.9470000000000001</v>
      </c>
      <c r="AE67" s="22">
        <f t="shared" si="7"/>
        <v>3.0455000000000001</v>
      </c>
      <c r="AF67" s="103">
        <v>2.657</v>
      </c>
      <c r="AG67" s="103">
        <v>2.72</v>
      </c>
      <c r="AH67" s="103">
        <v>2.754</v>
      </c>
      <c r="AI67" s="103">
        <v>2.7589999999999999</v>
      </c>
      <c r="AJ67" s="103">
        <v>2.3239999999999998</v>
      </c>
      <c r="AK67" s="103">
        <v>2.8370000000000002</v>
      </c>
      <c r="AL67" s="103">
        <v>2.85</v>
      </c>
      <c r="AM67" s="103">
        <v>2.99</v>
      </c>
      <c r="AN67" s="103">
        <v>3.044</v>
      </c>
      <c r="AO67" s="103">
        <v>2.9870000000000001</v>
      </c>
      <c r="AP67" s="103">
        <v>3.1150000000000002</v>
      </c>
      <c r="AQ67" s="103">
        <v>3.1589999999999998</v>
      </c>
      <c r="AR67" s="103">
        <v>3.181</v>
      </c>
      <c r="AS67" s="103">
        <v>2.9940000000000002</v>
      </c>
      <c r="AT67" s="103">
        <v>2.9870000000000001</v>
      </c>
      <c r="AU67" s="103">
        <v>2.9279999999999999</v>
      </c>
      <c r="AV67" s="103">
        <v>2.8130000000000002</v>
      </c>
      <c r="AW67" s="103">
        <v>2.8210000000000002</v>
      </c>
      <c r="AX67" s="60"/>
      <c r="AY67" s="103">
        <v>2.9849999999999999</v>
      </c>
      <c r="AZ67" s="103">
        <v>3.1509999999999998</v>
      </c>
      <c r="BA67" s="103">
        <v>3.0579999999999998</v>
      </c>
      <c r="BB67" s="103">
        <v>3.101</v>
      </c>
      <c r="BC67" s="103">
        <v>2.98</v>
      </c>
      <c r="BD67" s="103">
        <v>3.133</v>
      </c>
      <c r="BE67" s="60"/>
      <c r="BF67" s="60"/>
      <c r="BG67" s="60"/>
      <c r="BH67" s="60"/>
      <c r="BI67" s="60"/>
      <c r="BJ67" s="60"/>
      <c r="BK67" s="60"/>
      <c r="BL67" s="60"/>
      <c r="BM67" s="60"/>
      <c r="BN67" s="103">
        <v>3.0139999999999998</v>
      </c>
      <c r="BO67" s="103">
        <v>2.806</v>
      </c>
      <c r="BP67" s="103">
        <v>2.99</v>
      </c>
      <c r="BQ67" s="87">
        <v>2.2869519999999999</v>
      </c>
      <c r="BR67" s="87">
        <v>2.589181</v>
      </c>
      <c r="BS67" s="87">
        <v>3.0865580000000001</v>
      </c>
      <c r="BT67" s="87">
        <v>2.62635</v>
      </c>
      <c r="BU67" s="87">
        <v>2.6792159999999998</v>
      </c>
      <c r="BV67" s="87">
        <v>2.9655749999999999</v>
      </c>
      <c r="BW67" s="105">
        <v>2.7730000000000001</v>
      </c>
      <c r="BX67" s="105">
        <v>2.8159999999999998</v>
      </c>
      <c r="BY67" s="105">
        <v>2.8580000000000001</v>
      </c>
      <c r="BZ67" s="105">
        <v>2.899</v>
      </c>
      <c r="CA67" s="105">
        <v>2.7759999999999998</v>
      </c>
      <c r="CB67" s="105">
        <v>2.9550000000000001</v>
      </c>
      <c r="CC67" s="105">
        <v>2.9710000000000001</v>
      </c>
      <c r="CD67" s="105">
        <v>3.15</v>
      </c>
      <c r="CE67" s="105">
        <v>3.16</v>
      </c>
      <c r="CF67" s="105">
        <v>3.0910000000000002</v>
      </c>
      <c r="CG67" s="105">
        <v>3.2410000000000001</v>
      </c>
      <c r="CH67" s="105">
        <v>3.2549999999999999</v>
      </c>
      <c r="CI67" s="105">
        <v>3.282</v>
      </c>
      <c r="CJ67" s="105">
        <v>3.105</v>
      </c>
      <c r="CK67" s="105">
        <v>3.097</v>
      </c>
      <c r="CL67" s="105">
        <v>3.0950000000000002</v>
      </c>
      <c r="CM67" s="105">
        <v>2.8919999999999999</v>
      </c>
      <c r="CN67" s="105">
        <v>2.95</v>
      </c>
      <c r="CO67" s="105">
        <v>3.238</v>
      </c>
      <c r="CP67" s="105">
        <v>3.129</v>
      </c>
      <c r="CQ67" s="105">
        <v>3.2759999999999998</v>
      </c>
      <c r="CR67" s="105">
        <v>3.2490000000000001</v>
      </c>
      <c r="CS67" s="105">
        <v>3.3279999999999998</v>
      </c>
      <c r="CT67" s="105">
        <v>3.246</v>
      </c>
      <c r="CU67" s="105">
        <v>3.2759999999999998</v>
      </c>
      <c r="CV67" s="105">
        <v>3.0369999999999999</v>
      </c>
      <c r="CW67" s="105">
        <v>3.0739999999999998</v>
      </c>
      <c r="CX67" s="105">
        <v>3.2050000000000001</v>
      </c>
      <c r="CY67" s="105">
        <v>3.3</v>
      </c>
      <c r="CZ67" s="105">
        <v>3.3380000000000001</v>
      </c>
      <c r="DA67" s="105">
        <v>3.3479999999999999</v>
      </c>
      <c r="DB67" s="105">
        <v>3.2130000000000001</v>
      </c>
      <c r="DC67" s="105">
        <v>3.1779999999999999</v>
      </c>
      <c r="DD67" s="105">
        <v>3.1629999999999998</v>
      </c>
      <c r="DE67" s="105">
        <v>3.0920000000000001</v>
      </c>
      <c r="DF67" s="105">
        <v>2.9169999999999998</v>
      </c>
      <c r="DG67" s="105">
        <v>3.08</v>
      </c>
      <c r="DH67" s="115">
        <v>2.3719830000000002</v>
      </c>
      <c r="DI67" s="115">
        <v>2.694566</v>
      </c>
      <c r="DJ67" s="115">
        <v>3.1879469999999999</v>
      </c>
      <c r="DK67" s="115">
        <v>2.7493050000000001</v>
      </c>
      <c r="DL67" s="115">
        <v>2.7952780000000002</v>
      </c>
      <c r="DM67" s="115">
        <v>3.0542859999999998</v>
      </c>
    </row>
    <row r="68" spans="1:117">
      <c r="A68" s="1">
        <f t="shared" si="4"/>
        <v>66</v>
      </c>
      <c r="B68" s="2"/>
      <c r="C68" s="4">
        <v>14</v>
      </c>
      <c r="D68" s="4">
        <f t="shared" ref="D68:D131" si="8">_xlfn.SWITCH(C68,1,12,2,12,3,35,4,35,5,35,6,69,7,69,8,69,9,69,1016)</f>
        <v>1016</v>
      </c>
      <c r="E68" s="4" t="s">
        <v>143</v>
      </c>
      <c r="F68" s="4">
        <v>3</v>
      </c>
      <c r="G68" s="4" t="s">
        <v>11</v>
      </c>
      <c r="H68" s="4" t="s">
        <v>17</v>
      </c>
      <c r="I68" s="4"/>
      <c r="J68" s="5">
        <v>96</v>
      </c>
      <c r="K68" s="68"/>
      <c r="L68" s="99">
        <v>3.339</v>
      </c>
      <c r="M68" s="7" t="s">
        <v>260</v>
      </c>
      <c r="N68" s="3" t="s">
        <v>205</v>
      </c>
      <c r="O68" s="6">
        <v>3.87</v>
      </c>
      <c r="P68" s="6">
        <v>3.4449999999999998</v>
      </c>
      <c r="Q68" s="6">
        <v>3.81</v>
      </c>
      <c r="R68" s="60"/>
      <c r="S68" s="6">
        <v>3.4329999999999998</v>
      </c>
      <c r="T68" s="60"/>
      <c r="U68" s="60"/>
      <c r="V68" s="60"/>
      <c r="W68" s="60"/>
      <c r="X68" s="60"/>
      <c r="Y68" s="6">
        <v>3.5680000000000001</v>
      </c>
      <c r="Z68" s="6">
        <v>3.617</v>
      </c>
      <c r="AA68" s="6">
        <v>3.5630000000000002</v>
      </c>
      <c r="AB68" s="6">
        <v>3.3690000000000002</v>
      </c>
      <c r="AC68" s="6">
        <v>3.3769999999999998</v>
      </c>
      <c r="AD68" s="6">
        <v>3.1779999999999999</v>
      </c>
      <c r="AE68" s="22">
        <f t="shared" si="7"/>
        <v>3.2774999999999999</v>
      </c>
      <c r="AF68" s="103">
        <v>2.8540000000000001</v>
      </c>
      <c r="AG68" s="103">
        <v>2.9220000000000002</v>
      </c>
      <c r="AH68" s="103">
        <v>2.96</v>
      </c>
      <c r="AI68" s="103">
        <v>2.96</v>
      </c>
      <c r="AJ68" s="103">
        <v>2.2890000000000001</v>
      </c>
      <c r="AK68" s="103">
        <v>3.0329999999999999</v>
      </c>
      <c r="AL68" s="103">
        <v>3.0459999999999998</v>
      </c>
      <c r="AM68" s="103">
        <v>3.214</v>
      </c>
      <c r="AN68" s="103">
        <v>3.2690000000000001</v>
      </c>
      <c r="AO68" s="103">
        <v>3.206</v>
      </c>
      <c r="AP68" s="103">
        <v>3.367</v>
      </c>
      <c r="AQ68" s="103">
        <v>3.3839999999999999</v>
      </c>
      <c r="AR68" s="103">
        <v>3.4060000000000001</v>
      </c>
      <c r="AS68" s="103">
        <v>3.2120000000000002</v>
      </c>
      <c r="AT68" s="103">
        <v>3.2050000000000001</v>
      </c>
      <c r="AU68" s="103">
        <v>3.1219999999999999</v>
      </c>
      <c r="AV68" s="103">
        <v>3.0209999999999999</v>
      </c>
      <c r="AW68" s="103">
        <v>3.0249999999999999</v>
      </c>
      <c r="AX68" s="60"/>
      <c r="AY68" s="103">
        <v>3.1749999999999998</v>
      </c>
      <c r="AZ68" s="103">
        <v>3.355</v>
      </c>
      <c r="BA68" s="103">
        <v>3.226</v>
      </c>
      <c r="BB68" s="103">
        <v>3.2469999999999999</v>
      </c>
      <c r="BC68" s="103">
        <v>3.1019999999999999</v>
      </c>
      <c r="BD68" s="103">
        <v>3.3029999999999999</v>
      </c>
      <c r="BE68" s="60"/>
      <c r="BF68" s="60"/>
      <c r="BG68" s="60"/>
      <c r="BH68" s="60"/>
      <c r="BI68" s="60"/>
      <c r="BJ68" s="60"/>
      <c r="BK68" s="60"/>
      <c r="BL68" s="60"/>
      <c r="BM68" s="60"/>
      <c r="BN68" s="103">
        <v>3.23</v>
      </c>
      <c r="BO68" s="103">
        <v>3.0150000000000001</v>
      </c>
      <c r="BP68" s="103">
        <v>3.21</v>
      </c>
      <c r="BQ68" s="87">
        <v>2.4731190000000001</v>
      </c>
      <c r="BR68" s="87">
        <v>2.8108569999999999</v>
      </c>
      <c r="BS68" s="87">
        <v>3.3342230000000002</v>
      </c>
      <c r="BT68" s="87">
        <v>2.8499159999999999</v>
      </c>
      <c r="BU68" s="87">
        <v>2.9080279999999998</v>
      </c>
      <c r="BV68" s="87">
        <v>3.2127119999999998</v>
      </c>
      <c r="BW68" s="105">
        <v>2.97</v>
      </c>
      <c r="BX68" s="105">
        <v>3.0179999999999998</v>
      </c>
      <c r="BY68" s="105">
        <v>3.0649999999999999</v>
      </c>
      <c r="BZ68" s="105">
        <v>3.1059999999999999</v>
      </c>
      <c r="CA68" s="105">
        <v>2.9529999999999998</v>
      </c>
      <c r="CB68" s="105">
        <v>3.153</v>
      </c>
      <c r="CC68" s="105">
        <v>3.17</v>
      </c>
      <c r="CD68" s="105">
        <v>3.371</v>
      </c>
      <c r="CE68" s="105">
        <v>3.3849999999999998</v>
      </c>
      <c r="CF68" s="105">
        <v>3.3140000000000001</v>
      </c>
      <c r="CG68" s="105">
        <v>3.4620000000000002</v>
      </c>
      <c r="CH68" s="105">
        <v>3.4790000000000001</v>
      </c>
      <c r="CI68" s="105">
        <v>3.5070000000000001</v>
      </c>
      <c r="CJ68" s="105">
        <v>3.3250000000000002</v>
      </c>
      <c r="CK68" s="105">
        <v>3.3170000000000002</v>
      </c>
      <c r="CL68" s="105">
        <v>3.3039999999999998</v>
      </c>
      <c r="CM68" s="105">
        <v>3.1</v>
      </c>
      <c r="CN68" s="105">
        <v>3.1589999999999998</v>
      </c>
      <c r="CO68" s="105">
        <v>3.383</v>
      </c>
      <c r="CP68" s="105">
        <v>3.3330000000000002</v>
      </c>
      <c r="CQ68" s="105">
        <v>3.4870000000000001</v>
      </c>
      <c r="CR68" s="105">
        <v>3.4449999999999998</v>
      </c>
      <c r="CS68" s="105">
        <v>3.5150000000000001</v>
      </c>
      <c r="CT68" s="105">
        <v>3.42</v>
      </c>
      <c r="CU68" s="105">
        <v>3.4670000000000001</v>
      </c>
      <c r="CV68" s="105">
        <v>3.27</v>
      </c>
      <c r="CW68" s="105">
        <v>3.2890000000000001</v>
      </c>
      <c r="CX68" s="105">
        <v>3.444</v>
      </c>
      <c r="CY68" s="105">
        <v>3.5230000000000001</v>
      </c>
      <c r="CZ68" s="105">
        <v>3.5249999999999999</v>
      </c>
      <c r="DA68" s="105">
        <v>3.57</v>
      </c>
      <c r="DB68" s="105">
        <v>3.5990000000000002</v>
      </c>
      <c r="DC68" s="105">
        <v>3.4129999999999998</v>
      </c>
      <c r="DD68" s="105">
        <v>3.4089999999999998</v>
      </c>
      <c r="DE68" s="105">
        <v>3.3069999999999999</v>
      </c>
      <c r="DF68" s="105">
        <v>3.1269999999999998</v>
      </c>
      <c r="DG68" s="105">
        <v>3.2989999999999999</v>
      </c>
      <c r="DH68" s="115">
        <v>2.5562749999999999</v>
      </c>
      <c r="DI68" s="115">
        <v>2.915165</v>
      </c>
      <c r="DJ68" s="115">
        <v>3.4298670000000002</v>
      </c>
      <c r="DK68" s="115">
        <v>2.971698</v>
      </c>
      <c r="DL68" s="115">
        <v>3.0235289999999999</v>
      </c>
      <c r="DM68" s="115">
        <v>3.2956979999999998</v>
      </c>
    </row>
    <row r="69" spans="1:117">
      <c r="A69" s="1">
        <f t="shared" si="4"/>
        <v>67</v>
      </c>
      <c r="B69" s="2" t="s">
        <v>381</v>
      </c>
      <c r="C69" s="4">
        <v>11</v>
      </c>
      <c r="D69" s="4">
        <f t="shared" si="8"/>
        <v>1016</v>
      </c>
      <c r="E69" s="4" t="s">
        <v>229</v>
      </c>
      <c r="F69" s="4">
        <v>1</v>
      </c>
      <c r="G69" s="4" t="s">
        <v>11</v>
      </c>
      <c r="H69" s="4" t="s">
        <v>17</v>
      </c>
      <c r="I69" s="4"/>
      <c r="J69" s="5">
        <v>86.3</v>
      </c>
      <c r="K69" s="63">
        <v>0.1</v>
      </c>
      <c r="L69" s="99">
        <v>4.3070000000000004</v>
      </c>
      <c r="M69" s="7" t="s">
        <v>158</v>
      </c>
      <c r="N69" s="3" t="s">
        <v>205</v>
      </c>
      <c r="O69" s="22">
        <v>4.7830000000000004</v>
      </c>
      <c r="P69" s="22">
        <v>4.3330000000000002</v>
      </c>
      <c r="Q69" s="22">
        <v>4.8179999999999996</v>
      </c>
      <c r="R69" s="53"/>
      <c r="S69" s="6">
        <v>4.53</v>
      </c>
      <c r="T69" s="6">
        <v>4.4020000000000001</v>
      </c>
      <c r="U69" s="6">
        <v>4.4009999999999998</v>
      </c>
      <c r="V69" s="6">
        <v>4.3730000000000002</v>
      </c>
      <c r="W69" s="53"/>
      <c r="X69" s="53"/>
      <c r="Y69" s="22">
        <v>4.391</v>
      </c>
      <c r="Z69" s="22">
        <v>4.41</v>
      </c>
      <c r="AA69" s="22">
        <v>4.4059999999999997</v>
      </c>
      <c r="AB69" s="22">
        <v>4.1550000000000002</v>
      </c>
      <c r="AC69" s="22">
        <v>4.274</v>
      </c>
      <c r="AD69" s="1">
        <v>4.2910000000000004</v>
      </c>
      <c r="AE69" s="6">
        <f t="shared" ref="AE69:AE71" si="9">AVERAGE(AC69:AD69)</f>
        <v>4.2825000000000006</v>
      </c>
      <c r="AF69" s="103">
        <v>4.0979999999999999</v>
      </c>
      <c r="AG69" s="103">
        <v>4.109</v>
      </c>
      <c r="AH69" s="103">
        <v>4.17</v>
      </c>
      <c r="AI69" s="103">
        <v>4.2720000000000002</v>
      </c>
      <c r="AJ69" s="103">
        <v>4.3810000000000002</v>
      </c>
      <c r="AK69" s="103">
        <v>4.2</v>
      </c>
      <c r="AL69" s="103">
        <v>4.2130000000000001</v>
      </c>
      <c r="AM69" s="103">
        <v>4.4909999999999997</v>
      </c>
      <c r="AN69" s="103">
        <v>4.4859999999999998</v>
      </c>
      <c r="AO69" s="103">
        <v>4.3600000000000003</v>
      </c>
      <c r="AP69" s="103">
        <v>4.4950000000000001</v>
      </c>
      <c r="AQ69" s="103">
        <v>4.508</v>
      </c>
      <c r="AR69" s="103">
        <v>4.53</v>
      </c>
      <c r="AS69" s="103">
        <v>4.431</v>
      </c>
      <c r="AT69" s="103">
        <v>4.4240000000000004</v>
      </c>
      <c r="AU69" s="103">
        <v>4.4630000000000001</v>
      </c>
      <c r="AV69" s="103">
        <v>4.1639999999999997</v>
      </c>
      <c r="AW69" s="103">
        <v>4.2949999999999999</v>
      </c>
      <c r="AX69" s="103">
        <v>4.6550000000000002</v>
      </c>
      <c r="AY69" s="103">
        <v>4.4710000000000001</v>
      </c>
      <c r="AZ69" s="103">
        <v>4.53</v>
      </c>
      <c r="BA69" s="103">
        <v>4.5919999999999996</v>
      </c>
      <c r="BB69" s="103">
        <v>4.6580000000000004</v>
      </c>
      <c r="BC69" s="103">
        <v>4.6630000000000003</v>
      </c>
      <c r="BD69" s="103">
        <v>4.601</v>
      </c>
      <c r="BE69" s="103">
        <v>4.2460000000000004</v>
      </c>
      <c r="BF69" s="103">
        <v>4.4180000000000001</v>
      </c>
      <c r="BG69" s="103">
        <v>4.4829999999999997</v>
      </c>
      <c r="BH69" s="103">
        <v>4.5650000000000004</v>
      </c>
      <c r="BI69" s="103">
        <v>4.718</v>
      </c>
      <c r="BJ69" s="103">
        <v>4.6470000000000002</v>
      </c>
      <c r="BK69" s="103">
        <v>4.1289999999999996</v>
      </c>
      <c r="BL69" s="103">
        <v>4.3410000000000002</v>
      </c>
      <c r="BM69" s="103">
        <v>4.3</v>
      </c>
      <c r="BN69" s="103">
        <v>4.3860000000000001</v>
      </c>
      <c r="BO69" s="103">
        <v>4.2560000000000002</v>
      </c>
      <c r="BP69" s="103">
        <v>4.37</v>
      </c>
      <c r="BQ69" s="87">
        <v>3.845612</v>
      </c>
      <c r="BR69" s="87">
        <v>4.1638219999999997</v>
      </c>
      <c r="BS69" s="87">
        <v>4.7784979999999999</v>
      </c>
      <c r="BT69" s="87">
        <v>4.1957339999999999</v>
      </c>
      <c r="BU69" s="87">
        <v>4.2620089999999999</v>
      </c>
      <c r="BV69" s="87">
        <v>4.6987269999999999</v>
      </c>
      <c r="BW69" s="105">
        <v>4.2320000000000002</v>
      </c>
      <c r="BX69" s="105">
        <v>4.2450000000000001</v>
      </c>
      <c r="BY69" s="105">
        <v>4.3099999999999996</v>
      </c>
      <c r="BZ69" s="105">
        <v>4.42</v>
      </c>
      <c r="CA69" s="105">
        <v>4.5449999999999999</v>
      </c>
      <c r="CB69" s="105">
        <v>4.3470000000000004</v>
      </c>
      <c r="CC69" s="105">
        <v>4.3570000000000002</v>
      </c>
      <c r="CD69" s="105">
        <v>4.66</v>
      </c>
      <c r="CE69" s="105">
        <v>4.66</v>
      </c>
      <c r="CF69" s="105">
        <v>4.5330000000000004</v>
      </c>
      <c r="CG69" s="105">
        <v>4.6760000000000002</v>
      </c>
      <c r="CH69" s="105">
        <v>4.6890000000000001</v>
      </c>
      <c r="CI69" s="105">
        <v>4.7060000000000004</v>
      </c>
      <c r="CJ69" s="105">
        <v>4.5919999999999996</v>
      </c>
      <c r="CK69" s="105">
        <v>4.5869999999999997</v>
      </c>
      <c r="CL69" s="105">
        <v>4.6379999999999999</v>
      </c>
      <c r="CM69" s="105">
        <v>4.3129999999999997</v>
      </c>
      <c r="CN69" s="105">
        <v>4.45</v>
      </c>
      <c r="CO69" s="105">
        <v>4.8780000000000001</v>
      </c>
      <c r="CP69" s="105">
        <v>4.6459999999999999</v>
      </c>
      <c r="CQ69" s="105">
        <v>4.7190000000000003</v>
      </c>
      <c r="CR69" s="105">
        <v>4.7839999999999998</v>
      </c>
      <c r="CS69" s="105">
        <v>4.8650000000000002</v>
      </c>
      <c r="CT69" s="105">
        <v>4.87</v>
      </c>
      <c r="CU69" s="105">
        <v>4.8049999999999997</v>
      </c>
      <c r="CV69" s="105">
        <v>4.3550000000000004</v>
      </c>
      <c r="CW69" s="105">
        <v>4.5650000000000004</v>
      </c>
      <c r="CX69" s="105">
        <v>4.6260000000000003</v>
      </c>
      <c r="CY69" s="105">
        <v>4.7439999999999998</v>
      </c>
      <c r="CZ69" s="105">
        <v>4.9240000000000004</v>
      </c>
      <c r="DA69" s="105">
        <v>4.8319999999999999</v>
      </c>
      <c r="DB69" s="105">
        <v>4.1900000000000004</v>
      </c>
      <c r="DC69" s="105">
        <v>4.4939999999999998</v>
      </c>
      <c r="DD69" s="105">
        <v>4.4530000000000003</v>
      </c>
      <c r="DE69" s="105">
        <v>4.5419999999999998</v>
      </c>
      <c r="DF69" s="105">
        <v>4.4009999999999998</v>
      </c>
      <c r="DG69" s="105">
        <v>4.5259999999999998</v>
      </c>
      <c r="DH69" s="115">
        <v>4.0195869999999996</v>
      </c>
      <c r="DI69" s="115">
        <v>4.339925</v>
      </c>
      <c r="DJ69" s="115">
        <v>4.9730420000000004</v>
      </c>
      <c r="DK69" s="115">
        <v>4.3752310000000003</v>
      </c>
      <c r="DL69" s="115">
        <v>4.4396529999999998</v>
      </c>
      <c r="DM69" s="115">
        <v>4.8939570000000003</v>
      </c>
    </row>
    <row r="70" spans="1:117">
      <c r="A70" s="1">
        <f t="shared" si="4"/>
        <v>68</v>
      </c>
      <c r="B70" s="2"/>
      <c r="C70" s="4">
        <v>11</v>
      </c>
      <c r="D70" s="4">
        <f t="shared" si="8"/>
        <v>1016</v>
      </c>
      <c r="E70" s="4" t="s">
        <v>147</v>
      </c>
      <c r="F70" s="4">
        <v>1</v>
      </c>
      <c r="G70" s="4" t="s">
        <v>11</v>
      </c>
      <c r="H70" s="4" t="s">
        <v>12</v>
      </c>
      <c r="I70" s="4"/>
      <c r="J70" s="5">
        <v>85.3</v>
      </c>
      <c r="K70" s="63">
        <v>0</v>
      </c>
      <c r="L70" s="99">
        <v>4.7960000000000003</v>
      </c>
      <c r="M70" s="7" t="s">
        <v>158</v>
      </c>
      <c r="N70" s="3" t="s">
        <v>205</v>
      </c>
      <c r="O70" s="22">
        <v>4.9909999999999997</v>
      </c>
      <c r="P70" s="22">
        <v>4.7409999999999997</v>
      </c>
      <c r="Q70" s="22">
        <v>5.2210000000000001</v>
      </c>
      <c r="R70" s="53"/>
      <c r="S70" s="6">
        <v>5.133</v>
      </c>
      <c r="T70" s="6">
        <v>4.9550000000000001</v>
      </c>
      <c r="U70" s="6">
        <v>4.9470000000000001</v>
      </c>
      <c r="V70" s="6">
        <v>4.9059999999999997</v>
      </c>
      <c r="W70" s="53"/>
      <c r="X70" s="53"/>
      <c r="Y70" s="22">
        <v>5.0140000000000002</v>
      </c>
      <c r="Z70" s="22">
        <v>5.2110000000000003</v>
      </c>
      <c r="AA70" s="22">
        <v>5.0709999999999997</v>
      </c>
      <c r="AB70" s="22">
        <v>4.7539999999999996</v>
      </c>
      <c r="AC70" s="22">
        <v>4.5419999999999998</v>
      </c>
      <c r="AD70" s="1">
        <v>5.1440000000000001</v>
      </c>
      <c r="AE70" s="6">
        <f t="shared" si="9"/>
        <v>4.843</v>
      </c>
      <c r="AF70" s="103">
        <v>4.2220000000000004</v>
      </c>
      <c r="AG70" s="103">
        <v>4.2850000000000001</v>
      </c>
      <c r="AH70" s="103">
        <v>4.4400000000000004</v>
      </c>
      <c r="AI70" s="103">
        <v>4.5640000000000001</v>
      </c>
      <c r="AJ70" s="103">
        <v>4.72</v>
      </c>
      <c r="AK70" s="103">
        <v>4.5759999999999996</v>
      </c>
      <c r="AL70" s="103">
        <v>4.5869999999999997</v>
      </c>
      <c r="AM70" s="103">
        <v>5.0179999999999998</v>
      </c>
      <c r="AN70" s="103">
        <v>4.8620000000000001</v>
      </c>
      <c r="AO70" s="103">
        <v>4.6059999999999999</v>
      </c>
      <c r="AP70" s="103">
        <v>4.87</v>
      </c>
      <c r="AQ70" s="103">
        <v>4.875</v>
      </c>
      <c r="AR70" s="103">
        <v>5.0720000000000001</v>
      </c>
      <c r="AS70" s="103">
        <v>4.7430000000000003</v>
      </c>
      <c r="AT70" s="103">
        <v>4.7229999999999999</v>
      </c>
      <c r="AU70" s="103">
        <v>4.9370000000000003</v>
      </c>
      <c r="AV70" s="103">
        <v>4.3840000000000003</v>
      </c>
      <c r="AW70" s="103">
        <v>4.6559999999999997</v>
      </c>
      <c r="AX70" s="103">
        <v>5.4</v>
      </c>
      <c r="AY70" s="103">
        <v>4.9080000000000004</v>
      </c>
      <c r="AZ70" s="103">
        <v>5.0780000000000003</v>
      </c>
      <c r="BA70" s="103">
        <v>5.1120000000000001</v>
      </c>
      <c r="BB70" s="103">
        <v>5.2119999999999997</v>
      </c>
      <c r="BC70" s="103">
        <v>5.1479999999999997</v>
      </c>
      <c r="BD70" s="103">
        <v>4.8689999999999998</v>
      </c>
      <c r="BE70" s="103">
        <v>4.5739999999999998</v>
      </c>
      <c r="BF70" s="103">
        <v>4.8520000000000003</v>
      </c>
      <c r="BG70" s="103">
        <v>4.95</v>
      </c>
      <c r="BH70" s="103">
        <v>5.1109999999999998</v>
      </c>
      <c r="BI70" s="103">
        <v>5.3380000000000001</v>
      </c>
      <c r="BJ70" s="103">
        <v>5.2190000000000003</v>
      </c>
      <c r="BK70" s="103">
        <v>4.0449999999999999</v>
      </c>
      <c r="BL70" s="103">
        <v>4.8630000000000004</v>
      </c>
      <c r="BM70" s="103">
        <v>4.8230000000000004</v>
      </c>
      <c r="BN70" s="103">
        <v>4.766</v>
      </c>
      <c r="BO70" s="103">
        <v>4.57</v>
      </c>
      <c r="BP70" s="103">
        <v>4.8129999999999997</v>
      </c>
      <c r="BQ70" s="87">
        <v>4.0586279999999997</v>
      </c>
      <c r="BR70" s="87">
        <v>4.5315719999999997</v>
      </c>
      <c r="BS70" s="87">
        <v>5.6911199999999997</v>
      </c>
      <c r="BT70" s="87">
        <v>4.6192799999999998</v>
      </c>
      <c r="BU70" s="87">
        <v>4.6970549999999998</v>
      </c>
      <c r="BV70" s="87">
        <v>5.4666249999999996</v>
      </c>
      <c r="BW70" s="105">
        <v>4.234</v>
      </c>
      <c r="BX70" s="105">
        <v>4.2990000000000004</v>
      </c>
      <c r="BY70" s="105">
        <v>4.4560000000000004</v>
      </c>
      <c r="BZ70" s="105">
        <v>4.5839999999999996</v>
      </c>
      <c r="CA70" s="105">
        <v>4.75</v>
      </c>
      <c r="CB70" s="105">
        <v>4.5999999999999996</v>
      </c>
      <c r="CC70" s="105">
        <v>4.6109999999999998</v>
      </c>
      <c r="CD70" s="105">
        <v>5.0529999999999999</v>
      </c>
      <c r="CE70" s="105">
        <v>4.9039999999999999</v>
      </c>
      <c r="CF70" s="105">
        <v>4.6589999999999998</v>
      </c>
      <c r="CG70" s="105">
        <v>4.9340000000000002</v>
      </c>
      <c r="CH70" s="105">
        <v>4.9420000000000002</v>
      </c>
      <c r="CI70" s="105">
        <v>5.1120000000000001</v>
      </c>
      <c r="CJ70" s="105">
        <v>4.7720000000000002</v>
      </c>
      <c r="CK70" s="105">
        <v>4.7530000000000001</v>
      </c>
      <c r="CL70" s="105">
        <v>4.9630000000000001</v>
      </c>
      <c r="CM70" s="105">
        <v>4.399</v>
      </c>
      <c r="CN70" s="105">
        <v>4.6760000000000002</v>
      </c>
      <c r="CO70" s="105">
        <v>5.4409999999999998</v>
      </c>
      <c r="CP70" s="105">
        <v>4.9349999999999996</v>
      </c>
      <c r="CQ70" s="105">
        <v>5.1100000000000003</v>
      </c>
      <c r="CR70" s="105">
        <v>5.1440000000000001</v>
      </c>
      <c r="CS70" s="105">
        <v>5.2460000000000004</v>
      </c>
      <c r="CT70" s="105">
        <v>5.1829999999999998</v>
      </c>
      <c r="CU70" s="105">
        <v>4.9400000000000004</v>
      </c>
      <c r="CV70" s="105">
        <v>4.601</v>
      </c>
      <c r="CW70" s="105">
        <v>4.8890000000000002</v>
      </c>
      <c r="CX70" s="105">
        <v>5.0060000000000002</v>
      </c>
      <c r="CY70" s="105">
        <v>5.165</v>
      </c>
      <c r="CZ70" s="105">
        <v>5.4009999999999998</v>
      </c>
      <c r="DA70" s="105">
        <v>5.2919999999999998</v>
      </c>
      <c r="DB70" s="105">
        <v>4.0579999999999998</v>
      </c>
      <c r="DC70" s="105">
        <v>4.9169999999999998</v>
      </c>
      <c r="DD70" s="105">
        <v>4.8789999999999996</v>
      </c>
      <c r="DE70" s="105">
        <v>4.7889999999999997</v>
      </c>
      <c r="DF70" s="105">
        <v>4.5880000000000001</v>
      </c>
      <c r="DG70" s="105">
        <v>4.8390000000000004</v>
      </c>
      <c r="DH70" s="115">
        <v>4.0876029999999997</v>
      </c>
      <c r="DI70" s="115">
        <v>4.5606270000000002</v>
      </c>
      <c r="DJ70" s="115">
        <v>5.7158579999999999</v>
      </c>
      <c r="DK70" s="115">
        <v>4.650264</v>
      </c>
      <c r="DL70" s="115">
        <v>4.7272569999999998</v>
      </c>
      <c r="DM70" s="115">
        <v>5.4903560000000002</v>
      </c>
    </row>
    <row r="71" spans="1:117">
      <c r="A71" s="1">
        <f t="shared" si="4"/>
        <v>69</v>
      </c>
      <c r="B71" s="2"/>
      <c r="C71" s="4">
        <v>11</v>
      </c>
      <c r="D71" s="4">
        <f t="shared" si="8"/>
        <v>1016</v>
      </c>
      <c r="E71" s="4" t="s">
        <v>229</v>
      </c>
      <c r="F71" s="4">
        <v>1</v>
      </c>
      <c r="G71" s="4" t="s">
        <v>11</v>
      </c>
      <c r="H71" s="4" t="s">
        <v>17</v>
      </c>
      <c r="I71" s="4"/>
      <c r="J71" s="5">
        <v>88.1</v>
      </c>
      <c r="K71" s="63">
        <v>9.7000000000000003E-2</v>
      </c>
      <c r="L71" s="99">
        <v>4.9800000000000004</v>
      </c>
      <c r="M71" s="7" t="s">
        <v>158</v>
      </c>
      <c r="N71" s="3" t="s">
        <v>205</v>
      </c>
      <c r="O71" s="22">
        <v>4.9320000000000004</v>
      </c>
      <c r="P71" s="22">
        <v>5.04</v>
      </c>
      <c r="Q71" s="22">
        <v>5.4180000000000001</v>
      </c>
      <c r="R71" s="53"/>
      <c r="S71" s="6">
        <v>5.173</v>
      </c>
      <c r="T71" s="6">
        <v>5.0670000000000002</v>
      </c>
      <c r="U71" s="6">
        <v>5.0629999999999997</v>
      </c>
      <c r="V71" s="6">
        <v>5.0350000000000001</v>
      </c>
      <c r="W71" s="53"/>
      <c r="X71" s="53"/>
      <c r="Y71" s="22">
        <v>5.0430000000000001</v>
      </c>
      <c r="Z71" s="22">
        <v>5.0910000000000002</v>
      </c>
      <c r="AA71" s="22">
        <v>5.0750000000000002</v>
      </c>
      <c r="AB71" s="22">
        <v>4.8330000000000002</v>
      </c>
      <c r="AC71" s="22">
        <v>4.9969999999999999</v>
      </c>
      <c r="AD71" s="1">
        <v>4.8620000000000001</v>
      </c>
      <c r="AE71" s="6">
        <f t="shared" si="9"/>
        <v>4.9295</v>
      </c>
      <c r="AF71" s="103">
        <v>4.5609999999999999</v>
      </c>
      <c r="AG71" s="103">
        <v>4.5599999999999996</v>
      </c>
      <c r="AH71" s="103">
        <v>4.62</v>
      </c>
      <c r="AI71" s="103">
        <v>4.7430000000000003</v>
      </c>
      <c r="AJ71" s="103">
        <v>4.806</v>
      </c>
      <c r="AK71" s="103">
        <v>4.6189999999999998</v>
      </c>
      <c r="AL71" s="103">
        <v>4.6399999999999997</v>
      </c>
      <c r="AM71" s="103">
        <v>4.9770000000000003</v>
      </c>
      <c r="AN71" s="103">
        <v>5.0019999999999998</v>
      </c>
      <c r="AO71" s="103">
        <v>4.859</v>
      </c>
      <c r="AP71" s="103">
        <v>5.05</v>
      </c>
      <c r="AQ71" s="103">
        <v>5.0490000000000004</v>
      </c>
      <c r="AR71" s="103">
        <v>5.0739999999999998</v>
      </c>
      <c r="AS71" s="103">
        <v>4.907</v>
      </c>
      <c r="AT71" s="103">
        <v>4.8979999999999997</v>
      </c>
      <c r="AU71" s="103">
        <v>4.9740000000000002</v>
      </c>
      <c r="AV71" s="103">
        <v>4.6680000000000001</v>
      </c>
      <c r="AW71" s="103">
        <v>4.7709999999999999</v>
      </c>
      <c r="AX71" s="103">
        <v>5.1440000000000001</v>
      </c>
      <c r="AY71" s="103">
        <v>5.0010000000000003</v>
      </c>
      <c r="AZ71" s="103">
        <v>5.0739999999999998</v>
      </c>
      <c r="BA71" s="103">
        <v>5.1340000000000003</v>
      </c>
      <c r="BB71" s="103">
        <v>5.2009999999999996</v>
      </c>
      <c r="BC71" s="103">
        <v>5.2160000000000002</v>
      </c>
      <c r="BD71" s="103">
        <v>5.1749999999999998</v>
      </c>
      <c r="BE71" s="103">
        <v>4.7329999999999997</v>
      </c>
      <c r="BF71" s="103">
        <v>4.9240000000000004</v>
      </c>
      <c r="BG71" s="103">
        <v>4.9260000000000002</v>
      </c>
      <c r="BH71" s="103">
        <v>5.04</v>
      </c>
      <c r="BI71" s="103">
        <v>5.23</v>
      </c>
      <c r="BJ71" s="103">
        <v>5.0880000000000001</v>
      </c>
      <c r="BK71" s="103">
        <v>4.4169999999999998</v>
      </c>
      <c r="BL71" s="103">
        <v>4.7080000000000002</v>
      </c>
      <c r="BM71" s="103">
        <v>4.6260000000000003</v>
      </c>
      <c r="BN71" s="103">
        <v>4.8659999999999997</v>
      </c>
      <c r="BO71" s="103">
        <v>4.718</v>
      </c>
      <c r="BP71" s="103">
        <v>4.8449999999999998</v>
      </c>
      <c r="BQ71" s="87">
        <v>4.3524209999999997</v>
      </c>
      <c r="BR71" s="87">
        <v>4.6705050000000004</v>
      </c>
      <c r="BS71" s="87">
        <v>5.3077290000000001</v>
      </c>
      <c r="BT71" s="87">
        <v>4.7256960000000001</v>
      </c>
      <c r="BU71" s="87">
        <v>4.7744059999999999</v>
      </c>
      <c r="BV71" s="87">
        <v>5.2246480000000002</v>
      </c>
      <c r="BW71" s="105">
        <v>4.7249999999999996</v>
      </c>
      <c r="BX71" s="105">
        <v>4.726</v>
      </c>
      <c r="BY71" s="105">
        <v>4.78</v>
      </c>
      <c r="BZ71" s="105">
        <v>4.9000000000000004</v>
      </c>
      <c r="CA71" s="105">
        <v>4.9560000000000004</v>
      </c>
      <c r="CB71" s="105">
        <v>4.7759999999999998</v>
      </c>
      <c r="CC71" s="105">
        <v>4.7990000000000004</v>
      </c>
      <c r="CD71" s="105">
        <v>5.1219999999999999</v>
      </c>
      <c r="CE71" s="105">
        <v>5.1619999999999999</v>
      </c>
      <c r="CF71" s="105">
        <v>5.0110000000000001</v>
      </c>
      <c r="CG71" s="105">
        <v>5.2069999999999999</v>
      </c>
      <c r="CH71" s="105">
        <v>5.2030000000000003</v>
      </c>
      <c r="CI71" s="105">
        <v>5.2309999999999999</v>
      </c>
      <c r="CJ71" s="105">
        <v>5.0609999999999999</v>
      </c>
      <c r="CK71" s="105">
        <v>5.0519999999999996</v>
      </c>
      <c r="CL71" s="105">
        <v>5.12</v>
      </c>
      <c r="CM71" s="105">
        <v>4.8209999999999997</v>
      </c>
      <c r="CN71" s="105">
        <v>4.9219999999999997</v>
      </c>
      <c r="CO71" s="105">
        <v>5.319</v>
      </c>
      <c r="CP71" s="105">
        <v>5.149</v>
      </c>
      <c r="CQ71" s="105">
        <v>5.2210000000000001</v>
      </c>
      <c r="CR71" s="105">
        <v>5.2869999999999999</v>
      </c>
      <c r="CS71" s="105">
        <v>5.3650000000000002</v>
      </c>
      <c r="CT71" s="105">
        <v>5.3860000000000001</v>
      </c>
      <c r="CU71" s="105">
        <v>5.3390000000000004</v>
      </c>
      <c r="CV71" s="105">
        <v>4.9009999999999998</v>
      </c>
      <c r="CW71" s="105">
        <v>5.077</v>
      </c>
      <c r="CX71" s="105">
        <v>5.1109999999999998</v>
      </c>
      <c r="CY71" s="105">
        <v>5.23</v>
      </c>
      <c r="CZ71" s="105">
        <v>5.41</v>
      </c>
      <c r="DA71" s="105">
        <v>5.2919999999999998</v>
      </c>
      <c r="DB71" s="105">
        <v>4.6849999999999996</v>
      </c>
      <c r="DC71" s="105">
        <v>4.9390000000000001</v>
      </c>
      <c r="DD71" s="105">
        <v>4.8739999999999997</v>
      </c>
      <c r="DE71" s="105">
        <v>5.024</v>
      </c>
      <c r="DF71" s="105">
        <v>4.88</v>
      </c>
      <c r="DG71" s="105">
        <v>5.0010000000000003</v>
      </c>
      <c r="DH71" s="115">
        <v>4.5371090000000001</v>
      </c>
      <c r="DI71" s="115">
        <v>4.8436950000000003</v>
      </c>
      <c r="DJ71" s="115">
        <v>5.4702729999999997</v>
      </c>
      <c r="DK71" s="115">
        <v>4.8975160000000004</v>
      </c>
      <c r="DL71" s="115">
        <v>4.9437829999999998</v>
      </c>
      <c r="DM71" s="115">
        <v>5.3907699999999998</v>
      </c>
    </row>
    <row r="72" spans="1:117">
      <c r="A72" s="1">
        <f t="shared" ref="A72:A77" si="10">A71+1</f>
        <v>70</v>
      </c>
      <c r="B72" s="2"/>
      <c r="C72" s="4">
        <v>11</v>
      </c>
      <c r="D72" s="4">
        <f t="shared" si="8"/>
        <v>1016</v>
      </c>
      <c r="E72" s="4" t="s">
        <v>230</v>
      </c>
      <c r="F72" s="4">
        <v>3</v>
      </c>
      <c r="G72" s="4" t="s">
        <v>11</v>
      </c>
      <c r="H72" s="4" t="s">
        <v>17</v>
      </c>
      <c r="I72" s="4"/>
      <c r="J72" s="5">
        <v>97.7</v>
      </c>
      <c r="K72" s="68"/>
      <c r="L72" s="99">
        <v>3.2640000000000002</v>
      </c>
      <c r="M72" s="7" t="s">
        <v>260</v>
      </c>
      <c r="N72" s="3" t="s">
        <v>205</v>
      </c>
      <c r="O72" s="22">
        <v>3.5939999999999999</v>
      </c>
      <c r="P72" s="22">
        <v>3.3959999999999999</v>
      </c>
      <c r="Q72" s="22">
        <v>3.5259999999999998</v>
      </c>
      <c r="R72" s="53"/>
      <c r="S72" s="6">
        <v>3.1989999999999998</v>
      </c>
      <c r="T72" s="53"/>
      <c r="U72" s="53"/>
      <c r="V72" s="53"/>
      <c r="W72" s="53"/>
      <c r="X72" s="53"/>
      <c r="Y72" s="22">
        <v>3.44</v>
      </c>
      <c r="Z72" s="22">
        <v>3.468</v>
      </c>
      <c r="AA72" s="22">
        <v>3.4460000000000002</v>
      </c>
      <c r="AB72" s="22">
        <v>3.2839999999999998</v>
      </c>
      <c r="AC72" s="22">
        <v>3.3479999999999999</v>
      </c>
      <c r="AD72" s="1">
        <v>3.004</v>
      </c>
      <c r="AE72" s="22">
        <f t="shared" ref="AE72:AE73" si="11">AVERAGE(AC72:AD72)</f>
        <v>3.1760000000000002</v>
      </c>
      <c r="AF72" s="103">
        <v>2.782</v>
      </c>
      <c r="AG72" s="103">
        <v>2.851</v>
      </c>
      <c r="AH72" s="103">
        <v>2.8359999999999999</v>
      </c>
      <c r="AI72" s="103">
        <v>2.7290000000000001</v>
      </c>
      <c r="AJ72" s="109"/>
      <c r="AK72" s="103">
        <v>2.8119999999999998</v>
      </c>
      <c r="AL72" s="103">
        <v>2.83</v>
      </c>
      <c r="AM72" s="103">
        <v>2.9060000000000001</v>
      </c>
      <c r="AN72" s="103">
        <v>3.0270000000000001</v>
      </c>
      <c r="AO72" s="103">
        <v>2.9020000000000001</v>
      </c>
      <c r="AP72" s="103">
        <v>3.1459999999999999</v>
      </c>
      <c r="AQ72" s="103">
        <v>3.129</v>
      </c>
      <c r="AR72" s="103">
        <v>3.1629999999999998</v>
      </c>
      <c r="AS72" s="103">
        <v>3.004</v>
      </c>
      <c r="AT72" s="103">
        <v>2.9940000000000002</v>
      </c>
      <c r="AU72" s="103">
        <v>2.7269999999999999</v>
      </c>
      <c r="AV72" s="103">
        <v>2.9180000000000001</v>
      </c>
      <c r="AW72" s="103">
        <v>2.7890000000000001</v>
      </c>
      <c r="AX72" s="103">
        <v>1.8260000000000001</v>
      </c>
      <c r="AY72" s="103">
        <v>2.8439999999999999</v>
      </c>
      <c r="AZ72" s="103">
        <v>2.996</v>
      </c>
      <c r="BA72" s="103">
        <v>2.7290000000000001</v>
      </c>
      <c r="BB72" s="103">
        <v>2.6360000000000001</v>
      </c>
      <c r="BC72" s="103">
        <v>2.387</v>
      </c>
      <c r="BD72" s="103">
        <v>2.871</v>
      </c>
      <c r="BE72" s="109"/>
      <c r="BF72" s="109"/>
      <c r="BG72" s="109"/>
      <c r="BH72" s="109"/>
      <c r="BI72" s="109"/>
      <c r="BJ72" s="109"/>
      <c r="BK72" s="109"/>
      <c r="BL72" s="109"/>
      <c r="BM72" s="109"/>
      <c r="BN72" s="103">
        <v>3.1219999999999999</v>
      </c>
      <c r="BO72" s="103">
        <v>2.859</v>
      </c>
      <c r="BP72" s="103">
        <v>3.0550000000000002</v>
      </c>
      <c r="BQ72" s="87">
        <v>2.381669</v>
      </c>
      <c r="BR72" s="87">
        <v>2.589118</v>
      </c>
      <c r="BS72" s="87">
        <v>3.1991529999999999</v>
      </c>
      <c r="BT72" s="87">
        <v>2.5420509999999998</v>
      </c>
      <c r="BU72" s="87">
        <v>2.62066</v>
      </c>
      <c r="BV72" s="87">
        <v>3.17001</v>
      </c>
      <c r="BW72" s="105">
        <v>3.0070000000000001</v>
      </c>
      <c r="BX72" s="105">
        <v>3.0339999999999998</v>
      </c>
      <c r="BY72" s="105">
        <v>3.0390000000000001</v>
      </c>
      <c r="BZ72" s="105">
        <v>3.028</v>
      </c>
      <c r="CA72" s="105">
        <v>2.6269999999999998</v>
      </c>
      <c r="CB72" s="105">
        <v>3.0680000000000001</v>
      </c>
      <c r="CC72" s="105">
        <v>3.097</v>
      </c>
      <c r="CD72" s="105">
        <v>3.2090000000000001</v>
      </c>
      <c r="CE72" s="105">
        <v>3.2570000000000001</v>
      </c>
      <c r="CF72" s="105">
        <v>3.1389999999999998</v>
      </c>
      <c r="CG72" s="105">
        <v>3.3279999999999998</v>
      </c>
      <c r="CH72" s="105">
        <v>3.3119999999999998</v>
      </c>
      <c r="CI72" s="105">
        <v>3.359</v>
      </c>
      <c r="CJ72" s="105">
        <v>3.234</v>
      </c>
      <c r="CK72" s="105">
        <v>3.22</v>
      </c>
      <c r="CL72" s="105">
        <v>3.1059999999999999</v>
      </c>
      <c r="CM72" s="105">
        <v>3.0720000000000001</v>
      </c>
      <c r="CN72" s="105">
        <v>3.0630000000000002</v>
      </c>
      <c r="CO72" s="105">
        <v>2.9769999999999999</v>
      </c>
      <c r="CP72" s="105">
        <v>3.1669999999999998</v>
      </c>
      <c r="CQ72" s="105">
        <v>3.2639999999999998</v>
      </c>
      <c r="CR72" s="105">
        <v>3.1869999999999998</v>
      </c>
      <c r="CS72" s="105">
        <v>3.2040000000000002</v>
      </c>
      <c r="CT72" s="105">
        <v>3.0910000000000002</v>
      </c>
      <c r="CU72" s="105">
        <v>3.2189999999999999</v>
      </c>
      <c r="CV72" s="105">
        <v>3.2120000000000002</v>
      </c>
      <c r="CW72" s="105">
        <v>3.11</v>
      </c>
      <c r="CX72" s="105">
        <v>3.2280000000000002</v>
      </c>
      <c r="CY72" s="105">
        <v>3.2440000000000002</v>
      </c>
      <c r="CZ72" s="105">
        <v>3.137</v>
      </c>
      <c r="DA72" s="105">
        <v>3.2309999999999999</v>
      </c>
      <c r="DB72" s="105">
        <v>3.7549999999999999</v>
      </c>
      <c r="DC72" s="105">
        <v>3.2090000000000001</v>
      </c>
      <c r="DD72" s="105">
        <v>3.2120000000000002</v>
      </c>
      <c r="DE72" s="105">
        <v>3.2690000000000001</v>
      </c>
      <c r="DF72" s="105">
        <v>3.0830000000000002</v>
      </c>
      <c r="DG72" s="105">
        <v>3.2290000000000001</v>
      </c>
      <c r="DH72" s="115">
        <v>2.5681280000000002</v>
      </c>
      <c r="DI72" s="115">
        <v>2.814006</v>
      </c>
      <c r="DJ72" s="115">
        <v>3.40117</v>
      </c>
      <c r="DK72" s="115">
        <v>2.8048839999999999</v>
      </c>
      <c r="DL72" s="115">
        <v>2.8750279999999999</v>
      </c>
      <c r="DM72" s="115">
        <v>3.3510270000000002</v>
      </c>
    </row>
    <row r="73" spans="1:117">
      <c r="A73" s="1">
        <f t="shared" si="10"/>
        <v>71</v>
      </c>
      <c r="B73" s="2"/>
      <c r="C73" s="4">
        <v>11</v>
      </c>
      <c r="D73" s="4">
        <f t="shared" si="8"/>
        <v>1016</v>
      </c>
      <c r="E73" s="4" t="s">
        <v>230</v>
      </c>
      <c r="F73" s="4">
        <v>3</v>
      </c>
      <c r="G73" s="4" t="s">
        <v>11</v>
      </c>
      <c r="H73" s="4" t="s">
        <v>17</v>
      </c>
      <c r="I73" s="4"/>
      <c r="J73" s="5">
        <v>97.2</v>
      </c>
      <c r="K73" s="68"/>
      <c r="L73" s="99">
        <v>4.1090000000000009</v>
      </c>
      <c r="M73" s="7" t="s">
        <v>260</v>
      </c>
      <c r="N73" s="3" t="s">
        <v>205</v>
      </c>
      <c r="O73" s="22">
        <v>4.5730000000000004</v>
      </c>
      <c r="P73" s="22">
        <v>4.1900000000000004</v>
      </c>
      <c r="Q73" s="22">
        <v>4.4429999999999996</v>
      </c>
      <c r="R73" s="53"/>
      <c r="S73" s="6">
        <v>4.1269999999999998</v>
      </c>
      <c r="T73" s="53"/>
      <c r="U73" s="53"/>
      <c r="V73" s="53"/>
      <c r="W73" s="53"/>
      <c r="X73" s="53"/>
      <c r="Y73" s="22">
        <v>4.3099999999999996</v>
      </c>
      <c r="Z73" s="22">
        <v>4.327</v>
      </c>
      <c r="AA73" s="22">
        <v>4.2889999999999997</v>
      </c>
      <c r="AB73" s="22">
        <v>4.1379999999999999</v>
      </c>
      <c r="AC73" s="22">
        <v>4.1740000000000004</v>
      </c>
      <c r="AD73" s="22">
        <v>3.9409999999999998</v>
      </c>
      <c r="AE73" s="22">
        <f t="shared" si="11"/>
        <v>4.0575000000000001</v>
      </c>
      <c r="AF73" s="103">
        <v>3.4950000000000001</v>
      </c>
      <c r="AG73" s="103">
        <v>3.5609999999999999</v>
      </c>
      <c r="AH73" s="103">
        <v>3.5979999999999999</v>
      </c>
      <c r="AI73" s="103">
        <v>3.5830000000000002</v>
      </c>
      <c r="AJ73" s="109"/>
      <c r="AK73" s="103">
        <v>3.6190000000000002</v>
      </c>
      <c r="AL73" s="103">
        <v>3.6339999999999999</v>
      </c>
      <c r="AM73" s="103">
        <v>3.8490000000000002</v>
      </c>
      <c r="AN73" s="103">
        <v>3.9289999999999998</v>
      </c>
      <c r="AO73" s="103">
        <v>3.8180000000000001</v>
      </c>
      <c r="AP73" s="103">
        <v>4.0549999999999997</v>
      </c>
      <c r="AQ73" s="103">
        <v>4.0519999999999996</v>
      </c>
      <c r="AR73" s="103">
        <v>4.0759999999999996</v>
      </c>
      <c r="AS73" s="103">
        <v>3.8650000000000002</v>
      </c>
      <c r="AT73" s="103">
        <v>3.8570000000000002</v>
      </c>
      <c r="AU73" s="103">
        <v>3.7069999999999999</v>
      </c>
      <c r="AV73" s="103">
        <v>3.6579999999999999</v>
      </c>
      <c r="AW73" s="103">
        <v>3.653</v>
      </c>
      <c r="AX73" s="103">
        <v>3.202</v>
      </c>
      <c r="AY73" s="103">
        <v>3.794</v>
      </c>
      <c r="AZ73" s="103">
        <v>3.964</v>
      </c>
      <c r="BA73" s="103">
        <v>3.7730000000000001</v>
      </c>
      <c r="BB73" s="103">
        <v>3.7330000000000001</v>
      </c>
      <c r="BC73" s="103">
        <v>3.5350000000000001</v>
      </c>
      <c r="BD73" s="103">
        <v>3.88</v>
      </c>
      <c r="BE73" s="109"/>
      <c r="BF73" s="109"/>
      <c r="BG73" s="109"/>
      <c r="BH73" s="109"/>
      <c r="BI73" s="109"/>
      <c r="BJ73" s="109"/>
      <c r="BK73" s="109"/>
      <c r="BL73" s="109"/>
      <c r="BM73" s="109"/>
      <c r="BN73" s="103">
        <v>3.9039999999999999</v>
      </c>
      <c r="BO73" s="103">
        <v>3.653</v>
      </c>
      <c r="BP73" s="103">
        <v>3.8639999999999999</v>
      </c>
      <c r="BQ73" s="87">
        <v>3.22031</v>
      </c>
      <c r="BR73" s="87">
        <v>3.4858709999999999</v>
      </c>
      <c r="BS73" s="87">
        <v>4.2348610000000004</v>
      </c>
      <c r="BT73" s="87">
        <v>3.4383889999999999</v>
      </c>
      <c r="BU73" s="87">
        <v>3.5344609999999999</v>
      </c>
      <c r="BV73" s="87">
        <v>4.1711669999999996</v>
      </c>
      <c r="BW73" s="105">
        <v>3.6259999999999999</v>
      </c>
      <c r="BX73" s="105">
        <v>3.6669999999999998</v>
      </c>
      <c r="BY73" s="105">
        <v>3.7120000000000002</v>
      </c>
      <c r="BZ73" s="105">
        <v>3.7530000000000001</v>
      </c>
      <c r="CA73" s="105">
        <v>3.4849999999999999</v>
      </c>
      <c r="CB73" s="105">
        <v>3.758</v>
      </c>
      <c r="CC73" s="105">
        <v>3.778</v>
      </c>
      <c r="CD73" s="105">
        <v>4.6710000000000003</v>
      </c>
      <c r="CE73" s="105">
        <v>4.0650000000000004</v>
      </c>
      <c r="CF73" s="105">
        <v>3.9590000000000001</v>
      </c>
      <c r="CG73" s="105">
        <v>4.16</v>
      </c>
      <c r="CH73" s="105">
        <v>4.157</v>
      </c>
      <c r="CI73" s="105">
        <v>4.1890000000000001</v>
      </c>
      <c r="CJ73" s="105">
        <v>3.9940000000000002</v>
      </c>
      <c r="CK73" s="105">
        <v>3.9849999999999999</v>
      </c>
      <c r="CL73" s="105">
        <v>3.95</v>
      </c>
      <c r="CM73" s="105">
        <v>3.7509999999999999</v>
      </c>
      <c r="CN73" s="105">
        <v>3.8109999999999999</v>
      </c>
      <c r="CO73" s="105">
        <v>3.9239999999999999</v>
      </c>
      <c r="CP73" s="105">
        <v>3.9929999999999999</v>
      </c>
      <c r="CQ73" s="105">
        <v>4.1349999999999998</v>
      </c>
      <c r="CR73" s="105">
        <v>4.085</v>
      </c>
      <c r="CS73" s="105">
        <v>4.13</v>
      </c>
      <c r="CT73" s="105">
        <v>4.0170000000000003</v>
      </c>
      <c r="CU73" s="105">
        <v>4.1120000000000001</v>
      </c>
      <c r="CV73" s="105">
        <v>4.0090000000000003</v>
      </c>
      <c r="CW73" s="105">
        <v>3.9609999999999999</v>
      </c>
      <c r="CX73" s="105">
        <v>4.383</v>
      </c>
      <c r="CY73" s="105">
        <v>4.4390000000000001</v>
      </c>
      <c r="CZ73" s="105">
        <v>4.4320000000000004</v>
      </c>
      <c r="DA73" s="105">
        <v>4.4560000000000004</v>
      </c>
      <c r="DB73" s="105">
        <v>4.5270000000000001</v>
      </c>
      <c r="DC73" s="105">
        <v>4.3070000000000004</v>
      </c>
      <c r="DD73" s="105">
        <v>4.2889999999999997</v>
      </c>
      <c r="DE73" s="105">
        <v>3.9870000000000001</v>
      </c>
      <c r="DF73" s="105">
        <v>3.78</v>
      </c>
      <c r="DG73" s="105">
        <v>3.9630000000000001</v>
      </c>
      <c r="DH73" s="115">
        <v>3.3527580000000001</v>
      </c>
      <c r="DI73" s="115">
        <v>3.645079</v>
      </c>
      <c r="DJ73" s="115">
        <v>4.3104480000000001</v>
      </c>
      <c r="DK73" s="115">
        <v>3.640943</v>
      </c>
      <c r="DL73" s="115">
        <v>3.7216239999999998</v>
      </c>
      <c r="DM73" s="115">
        <v>4.2405629999999999</v>
      </c>
    </row>
    <row r="74" spans="1:117">
      <c r="A74" s="1">
        <f t="shared" si="10"/>
        <v>72</v>
      </c>
      <c r="B74" s="2"/>
      <c r="C74" s="4">
        <v>11</v>
      </c>
      <c r="D74" s="4">
        <f t="shared" si="8"/>
        <v>1016</v>
      </c>
      <c r="E74" s="4" t="s">
        <v>134</v>
      </c>
      <c r="F74" s="4">
        <v>3</v>
      </c>
      <c r="G74" s="4" t="s">
        <v>11</v>
      </c>
      <c r="H74" s="4" t="s">
        <v>12</v>
      </c>
      <c r="I74" s="4"/>
      <c r="J74" s="5">
        <v>95.5</v>
      </c>
      <c r="K74" s="68"/>
      <c r="L74" s="99">
        <v>4.6549999999999994</v>
      </c>
      <c r="M74" s="7" t="s">
        <v>260</v>
      </c>
      <c r="N74" s="3" t="s">
        <v>205</v>
      </c>
      <c r="O74" s="22">
        <v>4.8</v>
      </c>
      <c r="P74" s="22">
        <v>4.5389999999999997</v>
      </c>
      <c r="Q74" s="22">
        <v>4.9610000000000003</v>
      </c>
      <c r="R74" s="53"/>
      <c r="S74" s="6">
        <v>4.8559999999999999</v>
      </c>
      <c r="T74" s="53"/>
      <c r="U74" s="53"/>
      <c r="V74" s="53"/>
      <c r="W74" s="53"/>
      <c r="X74" s="53"/>
      <c r="Y74" s="22">
        <v>4.843</v>
      </c>
      <c r="Z74" s="22">
        <v>5.024</v>
      </c>
      <c r="AA74" s="22">
        <v>4.8739999999999997</v>
      </c>
      <c r="AB74" s="22">
        <v>4.5999999999999996</v>
      </c>
      <c r="AC74" s="22">
        <v>4.3470000000000004</v>
      </c>
      <c r="AD74" s="22">
        <v>4.891</v>
      </c>
      <c r="AE74" s="22">
        <f>AVERAGE(AC74:AD74)</f>
        <v>4.6189999999999998</v>
      </c>
      <c r="AF74" s="103">
        <v>3.89</v>
      </c>
      <c r="AG74" s="103">
        <v>3.9820000000000002</v>
      </c>
      <c r="AH74" s="103">
        <v>4.0940000000000003</v>
      </c>
      <c r="AI74" s="103">
        <v>4.1609999999999996</v>
      </c>
      <c r="AJ74" s="109"/>
      <c r="AK74" s="103">
        <v>4.3390000000000004</v>
      </c>
      <c r="AL74" s="103">
        <v>4.3479999999999999</v>
      </c>
      <c r="AM74" s="103">
        <v>4.6050000000000004</v>
      </c>
      <c r="AN74" s="103">
        <v>4.4649999999999999</v>
      </c>
      <c r="AO74" s="103">
        <v>4.38</v>
      </c>
      <c r="AP74" s="103">
        <v>4.556</v>
      </c>
      <c r="AQ74" s="103">
        <v>4.5270000000000001</v>
      </c>
      <c r="AR74" s="103">
        <v>4.7169999999999996</v>
      </c>
      <c r="AS74" s="103">
        <v>4.4340000000000002</v>
      </c>
      <c r="AT74" s="103">
        <v>4.4139999999999997</v>
      </c>
      <c r="AU74" s="103">
        <v>4.4939999999999998</v>
      </c>
      <c r="AV74" s="103">
        <v>4.0510000000000002</v>
      </c>
      <c r="AW74" s="103">
        <v>4.2670000000000003</v>
      </c>
      <c r="AX74" s="103">
        <v>4.8310000000000004</v>
      </c>
      <c r="AY74" s="103">
        <v>4.5019999999999998</v>
      </c>
      <c r="AZ74" s="103">
        <v>4.7409999999999997</v>
      </c>
      <c r="BA74" s="103">
        <v>4.6740000000000004</v>
      </c>
      <c r="BB74" s="103">
        <v>4.7699999999999996</v>
      </c>
      <c r="BC74" s="103">
        <v>4.625</v>
      </c>
      <c r="BD74" s="103">
        <v>4.508</v>
      </c>
      <c r="BE74" s="109"/>
      <c r="BF74" s="109"/>
      <c r="BG74" s="109"/>
      <c r="BH74" s="109"/>
      <c r="BI74" s="109"/>
      <c r="BJ74" s="109"/>
      <c r="BK74" s="109"/>
      <c r="BL74" s="109"/>
      <c r="BM74" s="109"/>
      <c r="BN74" s="103">
        <v>4.476</v>
      </c>
      <c r="BO74" s="103">
        <v>4.2060000000000004</v>
      </c>
      <c r="BP74" s="103">
        <v>4.5</v>
      </c>
      <c r="BQ74" s="87">
        <v>3.5909219999999999</v>
      </c>
      <c r="BR74" s="87">
        <v>4.052352</v>
      </c>
      <c r="BS74" s="87">
        <v>5.3101929999999999</v>
      </c>
      <c r="BT74" s="87">
        <v>4.1099110000000003</v>
      </c>
      <c r="BU74" s="87">
        <v>4.2030940000000001</v>
      </c>
      <c r="BV74" s="87">
        <v>5.0990919999999997</v>
      </c>
      <c r="BW74" s="105">
        <v>3.9289999999999998</v>
      </c>
      <c r="BX74" s="105">
        <v>4.01</v>
      </c>
      <c r="BY74" s="105">
        <v>4.1319999999999997</v>
      </c>
      <c r="BZ74" s="105">
        <v>4.21</v>
      </c>
      <c r="CA74" s="105">
        <v>4.3120000000000003</v>
      </c>
      <c r="CB74" s="105">
        <v>4.3570000000000002</v>
      </c>
      <c r="CC74" s="105">
        <v>4.3680000000000003</v>
      </c>
      <c r="CD74" s="105">
        <v>4.6710000000000003</v>
      </c>
      <c r="CE74" s="105">
        <v>4.5190000000000001</v>
      </c>
      <c r="CF74" s="105">
        <v>4.4180000000000001</v>
      </c>
      <c r="CG74" s="105">
        <v>4.6230000000000002</v>
      </c>
      <c r="CH74" s="105">
        <v>4.5940000000000003</v>
      </c>
      <c r="CI74" s="105">
        <v>4.774</v>
      </c>
      <c r="CJ74" s="105">
        <v>4.4669999999999996</v>
      </c>
      <c r="CK74" s="105">
        <v>4.4480000000000004</v>
      </c>
      <c r="CL74" s="105">
        <v>4.55</v>
      </c>
      <c r="CM74" s="105">
        <v>4.0789999999999997</v>
      </c>
      <c r="CN74" s="105">
        <v>4.3129999999999997</v>
      </c>
      <c r="CO74" s="105">
        <v>4.9429999999999996</v>
      </c>
      <c r="CP74" s="105">
        <v>4.548</v>
      </c>
      <c r="CQ74" s="105">
        <v>4.7789999999999999</v>
      </c>
      <c r="CR74" s="105">
        <v>4.726</v>
      </c>
      <c r="CS74" s="105">
        <v>4.8209999999999997</v>
      </c>
      <c r="CT74" s="105">
        <v>4.6879999999999997</v>
      </c>
      <c r="CU74" s="105">
        <v>4.5599999999999996</v>
      </c>
      <c r="CV74" s="105">
        <v>4.3360000000000003</v>
      </c>
      <c r="CW74" s="105">
        <v>4.51</v>
      </c>
      <c r="CX74" s="105">
        <v>4.6669999999999998</v>
      </c>
      <c r="CY74" s="105">
        <v>4.7880000000000003</v>
      </c>
      <c r="CZ74" s="105">
        <v>4.9249999999999998</v>
      </c>
      <c r="DA74" s="105">
        <v>4.8940000000000001</v>
      </c>
      <c r="DB74" s="105">
        <v>4.0410000000000004</v>
      </c>
      <c r="DC74" s="105">
        <v>4.6390000000000002</v>
      </c>
      <c r="DD74" s="105">
        <v>4.6219999999999999</v>
      </c>
      <c r="DE74" s="105">
        <v>4.5030000000000001</v>
      </c>
      <c r="DF74" s="105">
        <v>4.2450000000000001</v>
      </c>
      <c r="DG74" s="105">
        <v>4.5359999999999996</v>
      </c>
      <c r="DH74" s="115">
        <v>3.6302629999999998</v>
      </c>
      <c r="DI74" s="115">
        <v>4.0958329999999998</v>
      </c>
      <c r="DJ74" s="115">
        <v>5.3446059999999997</v>
      </c>
      <c r="DK74" s="115">
        <v>4.1609100000000003</v>
      </c>
      <c r="DL74" s="115">
        <v>4.2520340000000001</v>
      </c>
      <c r="DM74" s="115">
        <v>5.1301079999999999</v>
      </c>
    </row>
    <row r="75" spans="1:117">
      <c r="A75" s="1">
        <f t="shared" si="10"/>
        <v>73</v>
      </c>
      <c r="B75" s="2" t="s">
        <v>374</v>
      </c>
      <c r="C75" s="4">
        <v>13</v>
      </c>
      <c r="D75" s="4">
        <f t="shared" si="8"/>
        <v>1016</v>
      </c>
      <c r="E75" s="4" t="s">
        <v>302</v>
      </c>
      <c r="F75" s="4">
        <v>1</v>
      </c>
      <c r="G75" s="4" t="s">
        <v>11</v>
      </c>
      <c r="H75" s="4" t="s">
        <v>17</v>
      </c>
      <c r="I75" s="4"/>
      <c r="J75" s="5">
        <v>87.2</v>
      </c>
      <c r="K75" s="68"/>
      <c r="L75" s="99">
        <v>0.97899999999999987</v>
      </c>
      <c r="M75" s="7" t="s">
        <v>113</v>
      </c>
      <c r="N75" s="3" t="s">
        <v>205</v>
      </c>
      <c r="O75" s="6">
        <v>1.042</v>
      </c>
      <c r="P75" s="6">
        <v>1.0509999999999999</v>
      </c>
      <c r="Q75" s="6">
        <v>1.581</v>
      </c>
      <c r="R75" s="54"/>
      <c r="S75" s="6">
        <v>1.0900000000000001</v>
      </c>
      <c r="T75" s="6">
        <v>1.0589999999999999</v>
      </c>
      <c r="U75" s="6">
        <v>1.071</v>
      </c>
      <c r="V75" s="54"/>
      <c r="W75" s="6">
        <v>0.97799999999999998</v>
      </c>
      <c r="X75" s="54"/>
      <c r="Y75" s="6">
        <v>1.121</v>
      </c>
      <c r="Z75" s="6">
        <v>1.137</v>
      </c>
      <c r="AA75" s="6">
        <v>1.1100000000000001</v>
      </c>
      <c r="AB75" s="6">
        <v>0.89300000000000002</v>
      </c>
      <c r="AC75" s="6">
        <v>1.0009999999999999</v>
      </c>
      <c r="AD75" s="54"/>
      <c r="AE75" s="54"/>
      <c r="AF75" s="103">
        <v>1.272</v>
      </c>
      <c r="AG75" s="103">
        <v>1.2410000000000001</v>
      </c>
      <c r="AH75" s="103">
        <v>1.238</v>
      </c>
      <c r="AI75" s="103">
        <v>1.266</v>
      </c>
      <c r="AJ75" s="103">
        <v>1.3420000000000001</v>
      </c>
      <c r="AK75" s="103">
        <v>1.236</v>
      </c>
      <c r="AL75" s="103">
        <v>1.2649999999999999</v>
      </c>
      <c r="AM75" s="103">
        <v>1.3240000000000001</v>
      </c>
      <c r="AN75" s="103">
        <v>1.3129999999999999</v>
      </c>
      <c r="AO75" s="103">
        <v>1.1950000000000001</v>
      </c>
      <c r="AP75" s="103">
        <v>1.306</v>
      </c>
      <c r="AQ75" s="103">
        <v>1.2669999999999999</v>
      </c>
      <c r="AR75" s="103">
        <v>1.306</v>
      </c>
      <c r="AS75" s="103">
        <v>1.3320000000000001</v>
      </c>
      <c r="AT75" s="103">
        <v>1.3180000000000001</v>
      </c>
      <c r="AU75" s="103">
        <v>1.27</v>
      </c>
      <c r="AV75" s="103">
        <v>1.1970000000000001</v>
      </c>
      <c r="AW75" s="103">
        <v>1.2470000000000001</v>
      </c>
      <c r="AX75" s="103">
        <v>1.3660000000000001</v>
      </c>
      <c r="AY75" s="103">
        <v>1.286</v>
      </c>
      <c r="AZ75" s="103">
        <v>1.2909999999999999</v>
      </c>
      <c r="BA75" s="103">
        <v>1.3029999999999999</v>
      </c>
      <c r="BB75" s="103">
        <v>1.3149999999999999</v>
      </c>
      <c r="BC75" s="103">
        <v>1.3029999999999999</v>
      </c>
      <c r="BD75" s="103">
        <v>1.3520000000000001</v>
      </c>
      <c r="BE75" s="103">
        <v>1.1240000000000001</v>
      </c>
      <c r="BF75" s="103">
        <v>1.246</v>
      </c>
      <c r="BG75" s="103">
        <v>1.1839999999999999</v>
      </c>
      <c r="BH75" s="103">
        <v>1.218</v>
      </c>
      <c r="BI75" s="103">
        <v>1.335</v>
      </c>
      <c r="BJ75" s="103">
        <v>1.246</v>
      </c>
      <c r="BK75" s="103">
        <v>0.73199999999999998</v>
      </c>
      <c r="BL75" s="103">
        <v>0.97299999999999998</v>
      </c>
      <c r="BM75" s="103">
        <v>0.89300000000000002</v>
      </c>
      <c r="BN75" s="103">
        <v>1.2789999999999999</v>
      </c>
      <c r="BO75" s="103">
        <v>1.246</v>
      </c>
      <c r="BP75" s="103">
        <v>1.262</v>
      </c>
      <c r="BQ75" s="87">
        <v>0.67313599999999996</v>
      </c>
      <c r="BR75" s="87">
        <v>0.88328200000000001</v>
      </c>
      <c r="BS75" s="87">
        <v>1.3600859999999999</v>
      </c>
      <c r="BT75" s="87">
        <v>0.88091600000000003</v>
      </c>
      <c r="BU75" s="87">
        <v>0.93405099999999996</v>
      </c>
      <c r="BV75" s="87">
        <v>1.3137650000000001</v>
      </c>
      <c r="BW75" s="105">
        <v>1.2989999999999999</v>
      </c>
      <c r="BX75" s="105">
        <v>1.2689999999999999</v>
      </c>
      <c r="BY75" s="105">
        <v>1.2669999999999999</v>
      </c>
      <c r="BZ75" s="105">
        <v>1.298</v>
      </c>
      <c r="CA75" s="105">
        <v>1.3759999999999999</v>
      </c>
      <c r="CB75" s="105">
        <v>1.2709999999999999</v>
      </c>
      <c r="CC75" s="105">
        <v>1.302</v>
      </c>
      <c r="CD75" s="105">
        <v>1.3680000000000001</v>
      </c>
      <c r="CE75" s="105">
        <v>1.36</v>
      </c>
      <c r="CF75" s="105">
        <v>1.242</v>
      </c>
      <c r="CG75" s="105">
        <v>1.363</v>
      </c>
      <c r="CH75" s="105">
        <v>1.3240000000000001</v>
      </c>
      <c r="CI75" s="105">
        <v>1.3620000000000001</v>
      </c>
      <c r="CJ75" s="105">
        <v>1.367</v>
      </c>
      <c r="CK75" s="105">
        <v>1.3540000000000001</v>
      </c>
      <c r="CL75" s="105">
        <v>1.325</v>
      </c>
      <c r="CM75" s="105">
        <v>1.232</v>
      </c>
      <c r="CN75" s="105">
        <v>1.2829999999999999</v>
      </c>
      <c r="CO75" s="105">
        <v>1.486</v>
      </c>
      <c r="CP75" s="105">
        <v>1.3460000000000001</v>
      </c>
      <c r="CQ75" s="105">
        <v>1.367</v>
      </c>
      <c r="CR75" s="105">
        <v>1.3859999999999999</v>
      </c>
      <c r="CS75" s="105">
        <v>1.4179999999999999</v>
      </c>
      <c r="CT75" s="105">
        <v>1.407</v>
      </c>
      <c r="CU75" s="105">
        <v>1.431</v>
      </c>
      <c r="CV75" s="105">
        <v>1.155</v>
      </c>
      <c r="CW75" s="105">
        <v>1.2869999999999999</v>
      </c>
      <c r="CX75" s="105">
        <v>1.2410000000000001</v>
      </c>
      <c r="CY75" s="105">
        <v>1.3109999999999999</v>
      </c>
      <c r="CZ75" s="105">
        <v>1.4379999999999999</v>
      </c>
      <c r="DA75" s="105">
        <v>1.3460000000000001</v>
      </c>
      <c r="DB75" s="105">
        <v>0.79400000000000004</v>
      </c>
      <c r="DC75" s="105">
        <v>1.0840000000000001</v>
      </c>
      <c r="DD75" s="105">
        <v>1.014</v>
      </c>
      <c r="DE75" s="105">
        <v>1.3160000000000001</v>
      </c>
      <c r="DF75" s="105">
        <v>1.278</v>
      </c>
      <c r="DG75" s="105">
        <v>1.3</v>
      </c>
      <c r="DH75" s="115">
        <v>0.71302299999999996</v>
      </c>
      <c r="DI75" s="115">
        <v>0.92486800000000002</v>
      </c>
      <c r="DJ75" s="115">
        <v>1.3958600000000001</v>
      </c>
      <c r="DK75" s="115">
        <v>0.92516600000000004</v>
      </c>
      <c r="DL75" s="115">
        <v>0.97709900000000005</v>
      </c>
      <c r="DM75" s="115">
        <v>1.3486279999999999</v>
      </c>
    </row>
    <row r="76" spans="1:117">
      <c r="A76" s="1">
        <f t="shared" si="10"/>
        <v>74</v>
      </c>
      <c r="B76" s="2"/>
      <c r="C76" s="4">
        <v>13</v>
      </c>
      <c r="D76" s="4">
        <f t="shared" si="8"/>
        <v>1016</v>
      </c>
      <c r="E76" s="4" t="s">
        <v>304</v>
      </c>
      <c r="F76" s="4">
        <v>1</v>
      </c>
      <c r="G76" s="4" t="s">
        <v>11</v>
      </c>
      <c r="H76" s="4" t="s">
        <v>17</v>
      </c>
      <c r="I76" s="4"/>
      <c r="J76" s="5">
        <v>84.3</v>
      </c>
      <c r="K76" s="63">
        <v>0.45800000000000002</v>
      </c>
      <c r="L76" s="99">
        <v>3.0179999999999993</v>
      </c>
      <c r="M76" s="7" t="s">
        <v>113</v>
      </c>
      <c r="N76" s="3" t="s">
        <v>205</v>
      </c>
      <c r="O76" s="6">
        <v>3.1080000000000001</v>
      </c>
      <c r="P76" s="6">
        <v>3.0369999999999999</v>
      </c>
      <c r="Q76" s="6">
        <v>3.59</v>
      </c>
      <c r="R76" s="54"/>
      <c r="S76" s="6">
        <v>3.2250000000000001</v>
      </c>
      <c r="T76" s="6">
        <v>3.1309999999999998</v>
      </c>
      <c r="U76" s="6">
        <v>3.1549999999999998</v>
      </c>
      <c r="V76" s="54"/>
      <c r="W76" s="6">
        <v>3.0019999999999998</v>
      </c>
      <c r="X76" s="54"/>
      <c r="Y76" s="6">
        <v>3.1619999999999999</v>
      </c>
      <c r="Z76" s="6">
        <v>3.2240000000000002</v>
      </c>
      <c r="AA76" s="6">
        <v>3.1619999999999999</v>
      </c>
      <c r="AB76" s="6">
        <v>2.9449999999999998</v>
      </c>
      <c r="AC76" s="6">
        <v>2.9279999999999999</v>
      </c>
      <c r="AD76" s="54"/>
      <c r="AE76" s="54"/>
      <c r="AF76" s="103">
        <v>3.1240000000000001</v>
      </c>
      <c r="AG76" s="103">
        <v>3.117</v>
      </c>
      <c r="AH76" s="103">
        <v>3.1240000000000001</v>
      </c>
      <c r="AI76" s="103">
        <v>3.206</v>
      </c>
      <c r="AJ76" s="103">
        <v>3.3250000000000002</v>
      </c>
      <c r="AK76" s="103">
        <v>3.0739999999999998</v>
      </c>
      <c r="AL76" s="103">
        <v>3.1059999999999999</v>
      </c>
      <c r="AM76" s="103">
        <v>3.3250000000000002</v>
      </c>
      <c r="AN76" s="103">
        <v>3.3530000000000002</v>
      </c>
      <c r="AO76" s="103">
        <v>3.246</v>
      </c>
      <c r="AP76" s="103">
        <v>3.2410000000000001</v>
      </c>
      <c r="AQ76" s="103">
        <v>3.3050000000000002</v>
      </c>
      <c r="AR76" s="103">
        <v>3.3319999999999999</v>
      </c>
      <c r="AS76" s="103">
        <v>3.343</v>
      </c>
      <c r="AT76" s="103">
        <v>3.3359999999999999</v>
      </c>
      <c r="AU76" s="103">
        <v>3.319</v>
      </c>
      <c r="AV76" s="103">
        <v>3.117</v>
      </c>
      <c r="AW76" s="103">
        <v>3.202</v>
      </c>
      <c r="AX76" s="103">
        <v>3.5259999999999998</v>
      </c>
      <c r="AY76" s="103">
        <v>3.3650000000000002</v>
      </c>
      <c r="AZ76" s="103">
        <v>3.3380000000000001</v>
      </c>
      <c r="BA76" s="103">
        <v>3.4529999999999998</v>
      </c>
      <c r="BB76" s="103">
        <v>3.5089999999999999</v>
      </c>
      <c r="BC76" s="103">
        <v>3.5139999999999998</v>
      </c>
      <c r="BD76" s="103">
        <v>3.367</v>
      </c>
      <c r="BE76" s="103">
        <v>3.0539999999999998</v>
      </c>
      <c r="BF76" s="103">
        <v>3.254</v>
      </c>
      <c r="BG76" s="103">
        <v>3.2040000000000002</v>
      </c>
      <c r="BH76" s="103">
        <v>3.3</v>
      </c>
      <c r="BI76" s="103">
        <v>3.5009999999999999</v>
      </c>
      <c r="BJ76" s="103">
        <v>3.3519999999999999</v>
      </c>
      <c r="BK76" s="103">
        <v>2.6509999999999998</v>
      </c>
      <c r="BL76" s="103">
        <v>3.1059999999999999</v>
      </c>
      <c r="BM76" s="103">
        <v>3.0470000000000002</v>
      </c>
      <c r="BN76" s="103">
        <v>3.2949999999999999</v>
      </c>
      <c r="BO76" s="103">
        <v>3.1970000000000001</v>
      </c>
      <c r="BP76" s="103">
        <v>3.246</v>
      </c>
      <c r="BQ76" s="87">
        <v>2.617175</v>
      </c>
      <c r="BR76" s="87">
        <v>2.866733</v>
      </c>
      <c r="BS76" s="87">
        <v>4.084263</v>
      </c>
      <c r="BT76" s="87">
        <v>2.9098290000000002</v>
      </c>
      <c r="BU76" s="87">
        <v>2.936035</v>
      </c>
      <c r="BV76" s="87">
        <v>4.0411359999999998</v>
      </c>
      <c r="BW76" s="105">
        <v>3.32</v>
      </c>
      <c r="BX76" s="105">
        <v>3.3149999999999999</v>
      </c>
      <c r="BY76" s="105">
        <v>3.3180000000000001</v>
      </c>
      <c r="BZ76" s="105">
        <v>3.4039999999999999</v>
      </c>
      <c r="CA76" s="105">
        <v>3.5190000000000001</v>
      </c>
      <c r="CB76" s="105">
        <v>3.2450000000000001</v>
      </c>
      <c r="CC76" s="105">
        <v>3.2839999999999998</v>
      </c>
      <c r="CD76" s="105">
        <v>3.5179999999999998</v>
      </c>
      <c r="CE76" s="105">
        <v>3.5710000000000002</v>
      </c>
      <c r="CF76" s="105">
        <v>3.4649999999999999</v>
      </c>
      <c r="CG76" s="105">
        <v>3.43</v>
      </c>
      <c r="CH76" s="105">
        <v>3.516</v>
      </c>
      <c r="CI76" s="105">
        <v>3.5449999999999999</v>
      </c>
      <c r="CJ76" s="105">
        <v>3.5489999999999999</v>
      </c>
      <c r="CK76" s="105">
        <v>3.5430000000000001</v>
      </c>
      <c r="CL76" s="105">
        <v>3.524</v>
      </c>
      <c r="CM76" s="105">
        <v>3.3170000000000002</v>
      </c>
      <c r="CN76" s="105">
        <v>3.3980000000000001</v>
      </c>
      <c r="CO76" s="105">
        <v>3.7490000000000001</v>
      </c>
      <c r="CP76" s="105">
        <v>3.58</v>
      </c>
      <c r="CQ76" s="105">
        <v>3.5409999999999999</v>
      </c>
      <c r="CR76" s="105">
        <v>3.677</v>
      </c>
      <c r="CS76" s="105">
        <v>3.74</v>
      </c>
      <c r="CT76" s="105">
        <v>3.7509999999999999</v>
      </c>
      <c r="CU76" s="105">
        <v>3.5779999999999998</v>
      </c>
      <c r="CV76" s="105">
        <v>3.194</v>
      </c>
      <c r="CW76" s="105">
        <v>3.4239999999999999</v>
      </c>
      <c r="CX76" s="105">
        <v>3.3580000000000001</v>
      </c>
      <c r="CY76" s="105">
        <v>3.4820000000000002</v>
      </c>
      <c r="CZ76" s="105">
        <v>3.7109999999999999</v>
      </c>
      <c r="DA76" s="105">
        <v>3.536</v>
      </c>
      <c r="DB76" s="105">
        <v>2.7730000000000001</v>
      </c>
      <c r="DC76" s="105">
        <v>3.2759999999999998</v>
      </c>
      <c r="DD76" s="105">
        <v>3.214</v>
      </c>
      <c r="DE76" s="105">
        <v>3.4990000000000001</v>
      </c>
      <c r="DF76" s="105">
        <v>3.3980000000000001</v>
      </c>
      <c r="DG76" s="105">
        <v>3.4460000000000002</v>
      </c>
      <c r="DH76" s="115">
        <v>2.8896630000000001</v>
      </c>
      <c r="DI76" s="115">
        <v>3.0975419999999998</v>
      </c>
      <c r="DJ76" s="115">
        <v>4.2068070000000004</v>
      </c>
      <c r="DK76" s="115">
        <v>3.1534309999999999</v>
      </c>
      <c r="DL76" s="115">
        <v>3.1669740000000002</v>
      </c>
      <c r="DM76" s="115">
        <v>4.1619409999999997</v>
      </c>
    </row>
    <row r="77" spans="1:117">
      <c r="A77" s="1">
        <f t="shared" si="10"/>
        <v>75</v>
      </c>
      <c r="B77" s="2"/>
      <c r="C77" s="4">
        <v>13</v>
      </c>
      <c r="D77" s="4">
        <f t="shared" si="8"/>
        <v>1016</v>
      </c>
      <c r="E77" s="4" t="s">
        <v>377</v>
      </c>
      <c r="F77" s="4">
        <v>1</v>
      </c>
      <c r="G77" s="4" t="s">
        <v>14</v>
      </c>
      <c r="H77" s="4"/>
      <c r="I77" s="4"/>
      <c r="J77" s="5">
        <v>91.2</v>
      </c>
      <c r="K77" s="68"/>
      <c r="L77" s="99">
        <v>3.1629999999999998</v>
      </c>
      <c r="M77" s="7" t="s">
        <v>113</v>
      </c>
      <c r="N77" s="3" t="s">
        <v>205</v>
      </c>
      <c r="O77" s="6">
        <v>3.282</v>
      </c>
      <c r="P77" s="6">
        <v>3.1469999999999998</v>
      </c>
      <c r="Q77" s="6">
        <v>3.5979999999999999</v>
      </c>
      <c r="R77" s="54"/>
      <c r="S77" s="6">
        <v>3.2029999999999998</v>
      </c>
      <c r="T77" s="6">
        <v>3.2010000000000001</v>
      </c>
      <c r="U77" s="6">
        <v>3.2109999999999999</v>
      </c>
      <c r="V77" s="54"/>
      <c r="W77" s="6">
        <v>3.1629999999999998</v>
      </c>
      <c r="X77" s="54"/>
      <c r="Y77" s="6">
        <v>3.4569999999999999</v>
      </c>
      <c r="Z77" s="6">
        <v>3.3809999999999998</v>
      </c>
      <c r="AA77" s="6">
        <v>3.3029999999999999</v>
      </c>
      <c r="AB77" s="6">
        <v>3.331</v>
      </c>
      <c r="AC77" s="6">
        <v>3.2029999999999998</v>
      </c>
      <c r="AD77" s="54"/>
      <c r="AE77" s="54"/>
      <c r="AF77" s="103">
        <v>3.2040000000000002</v>
      </c>
      <c r="AG77" s="103">
        <v>3.3359999999999999</v>
      </c>
      <c r="AH77" s="103">
        <v>3.1150000000000002</v>
      </c>
      <c r="AI77" s="103">
        <v>3.3250000000000002</v>
      </c>
      <c r="AJ77" s="103">
        <v>3.673</v>
      </c>
      <c r="AK77" s="103">
        <v>2.4809999999999999</v>
      </c>
      <c r="AL77" s="103">
        <v>2.5529999999999999</v>
      </c>
      <c r="AM77" s="103">
        <v>3.2090000000000001</v>
      </c>
      <c r="AN77" s="103">
        <v>3.5619999999999998</v>
      </c>
      <c r="AO77" s="103">
        <v>3.903</v>
      </c>
      <c r="AP77" s="103">
        <v>2.734</v>
      </c>
      <c r="AQ77" s="103">
        <v>3.24</v>
      </c>
      <c r="AR77" s="103">
        <v>3.2959999999999998</v>
      </c>
      <c r="AS77" s="103">
        <v>3.7519999999999998</v>
      </c>
      <c r="AT77" s="103">
        <v>3.7429999999999999</v>
      </c>
      <c r="AU77" s="103">
        <v>3.375</v>
      </c>
      <c r="AV77" s="103">
        <v>3.0539999999999998</v>
      </c>
      <c r="AW77" s="103">
        <v>3.1920000000000002</v>
      </c>
      <c r="AX77" s="103">
        <v>3.5310000000000001</v>
      </c>
      <c r="AY77" s="103">
        <v>3.6459999999999999</v>
      </c>
      <c r="AZ77" s="103">
        <v>3.1389999999999998</v>
      </c>
      <c r="BA77" s="103">
        <v>3.8490000000000002</v>
      </c>
      <c r="BB77" s="103">
        <v>3.9279999999999999</v>
      </c>
      <c r="BC77" s="103">
        <v>3.94</v>
      </c>
      <c r="BD77" s="103">
        <v>2.9089999999999998</v>
      </c>
      <c r="BE77" s="103">
        <v>3.15</v>
      </c>
      <c r="BF77" s="103">
        <v>3.4689999999999999</v>
      </c>
      <c r="BG77" s="103">
        <v>3.496</v>
      </c>
      <c r="BH77" s="103">
        <v>3.4609999999999999</v>
      </c>
      <c r="BI77" s="103">
        <v>3.9</v>
      </c>
      <c r="BJ77" s="103">
        <v>3.7269999999999999</v>
      </c>
      <c r="BK77" s="103">
        <v>3.3740000000000001</v>
      </c>
      <c r="BL77" s="103">
        <v>3.5640000000000001</v>
      </c>
      <c r="BM77" s="103">
        <v>3.6349999999999998</v>
      </c>
      <c r="BN77" s="103">
        <v>3.74</v>
      </c>
      <c r="BO77" s="103">
        <v>3.532</v>
      </c>
      <c r="BP77" s="103">
        <v>3.3519999999999999</v>
      </c>
      <c r="BQ77" s="87">
        <v>2.862266</v>
      </c>
      <c r="BR77" s="87">
        <v>3.1164239999999999</v>
      </c>
      <c r="BS77" s="87">
        <v>3.776554</v>
      </c>
      <c r="BT77" s="87">
        <v>3.020057</v>
      </c>
      <c r="BU77" s="87">
        <v>3.153416</v>
      </c>
      <c r="BV77" s="87">
        <v>3.7492220000000001</v>
      </c>
      <c r="BW77" s="105">
        <v>3.2040000000000002</v>
      </c>
      <c r="BX77" s="105">
        <v>3.3359999999999999</v>
      </c>
      <c r="BY77" s="105">
        <v>3.1150000000000002</v>
      </c>
      <c r="BZ77" s="105">
        <v>3.3260000000000001</v>
      </c>
      <c r="CA77" s="105">
        <v>3.6749999999999998</v>
      </c>
      <c r="CB77" s="105">
        <v>2.4910000000000001</v>
      </c>
      <c r="CC77" s="105">
        <v>2.5590000000000002</v>
      </c>
      <c r="CD77" s="105">
        <v>3.2130000000000001</v>
      </c>
      <c r="CE77" s="105">
        <v>3.5680000000000001</v>
      </c>
      <c r="CF77" s="105">
        <v>3.91</v>
      </c>
      <c r="CG77" s="105">
        <v>2.742</v>
      </c>
      <c r="CH77" s="105">
        <v>3.242</v>
      </c>
      <c r="CI77" s="105">
        <v>3.298</v>
      </c>
      <c r="CJ77" s="105">
        <v>3.7559999999999998</v>
      </c>
      <c r="CK77" s="105">
        <v>3.746</v>
      </c>
      <c r="CL77" s="105">
        <v>3.3759999999999999</v>
      </c>
      <c r="CM77" s="105">
        <v>3.0550000000000002</v>
      </c>
      <c r="CN77" s="105">
        <v>3.1930000000000001</v>
      </c>
      <c r="CO77" s="105">
        <v>3.5329999999999999</v>
      </c>
      <c r="CP77" s="105">
        <v>3.6480000000000001</v>
      </c>
      <c r="CQ77" s="105">
        <v>3.1509999999999998</v>
      </c>
      <c r="CR77" s="105">
        <v>3.8530000000000002</v>
      </c>
      <c r="CS77" s="105">
        <v>3.931</v>
      </c>
      <c r="CT77" s="105">
        <v>3.9420000000000002</v>
      </c>
      <c r="CU77" s="105">
        <v>2.919</v>
      </c>
      <c r="CV77" s="105">
        <v>3.1509999999999998</v>
      </c>
      <c r="CW77" s="105">
        <v>3.4710000000000001</v>
      </c>
      <c r="CX77" s="105">
        <v>3.4980000000000002</v>
      </c>
      <c r="CY77" s="105">
        <v>3.4630000000000001</v>
      </c>
      <c r="CZ77" s="105">
        <v>3.903</v>
      </c>
      <c r="DA77" s="105">
        <v>3.7290000000000001</v>
      </c>
      <c r="DB77" s="105">
        <v>3.3740000000000001</v>
      </c>
      <c r="DC77" s="105">
        <v>3.5659999999999998</v>
      </c>
      <c r="DD77" s="105">
        <v>3.637</v>
      </c>
      <c r="DE77" s="105">
        <v>3.742</v>
      </c>
      <c r="DF77" s="105">
        <v>3.5339999999999998</v>
      </c>
      <c r="DG77" s="105">
        <v>3.3530000000000002</v>
      </c>
      <c r="DH77" s="115">
        <v>2.86361</v>
      </c>
      <c r="DI77" s="115">
        <v>3.117607</v>
      </c>
      <c r="DJ77" s="115">
        <v>3.7773310000000002</v>
      </c>
      <c r="DK77" s="115">
        <v>3.0215770000000002</v>
      </c>
      <c r="DL77" s="115">
        <v>3.154604</v>
      </c>
      <c r="DM77" s="115">
        <v>3.7499790000000002</v>
      </c>
    </row>
    <row r="78" spans="1:117">
      <c r="A78" s="1">
        <f t="shared" ref="A78:A142" si="12">A77+1</f>
        <v>76</v>
      </c>
      <c r="B78" s="2"/>
      <c r="C78" s="4">
        <v>13</v>
      </c>
      <c r="D78" s="4">
        <f t="shared" si="8"/>
        <v>1016</v>
      </c>
      <c r="E78" s="4" t="s">
        <v>375</v>
      </c>
      <c r="F78" s="4">
        <v>1</v>
      </c>
      <c r="G78" s="4" t="s">
        <v>14</v>
      </c>
      <c r="H78" s="4"/>
      <c r="I78" s="4"/>
      <c r="J78" s="5">
        <v>91.2</v>
      </c>
      <c r="K78" s="68"/>
      <c r="L78" s="99">
        <v>3.6909999999999998</v>
      </c>
      <c r="M78" s="7" t="s">
        <v>113</v>
      </c>
      <c r="N78" s="3" t="s">
        <v>205</v>
      </c>
      <c r="O78" s="6">
        <v>3.766</v>
      </c>
      <c r="P78" s="6">
        <v>3.6520000000000001</v>
      </c>
      <c r="Q78" s="6">
        <v>4.1130000000000004</v>
      </c>
      <c r="R78" s="54"/>
      <c r="S78" s="6">
        <v>3.7170000000000001</v>
      </c>
      <c r="T78" s="6">
        <v>3.7210000000000001</v>
      </c>
      <c r="U78" s="6">
        <v>3.7309999999999999</v>
      </c>
      <c r="V78" s="54"/>
      <c r="W78" s="6">
        <v>3.6789999999999998</v>
      </c>
      <c r="X78" s="54"/>
      <c r="Y78" s="6">
        <v>3.96</v>
      </c>
      <c r="Z78" s="6">
        <v>3.8820000000000001</v>
      </c>
      <c r="AA78" s="6">
        <v>3.8029999999999999</v>
      </c>
      <c r="AB78" s="6">
        <v>3.84</v>
      </c>
      <c r="AC78" s="6">
        <v>3.71</v>
      </c>
      <c r="AD78" s="54"/>
      <c r="AE78" s="54"/>
      <c r="AF78" s="103">
        <v>3.5579999999999998</v>
      </c>
      <c r="AG78" s="103">
        <v>3.726</v>
      </c>
      <c r="AH78" s="103">
        <v>3.4940000000000002</v>
      </c>
      <c r="AI78" s="103">
        <v>3.7170000000000001</v>
      </c>
      <c r="AJ78" s="103">
        <v>4.1100000000000003</v>
      </c>
      <c r="AK78" s="103">
        <v>2.7610000000000001</v>
      </c>
      <c r="AL78" s="103">
        <v>2.8260000000000001</v>
      </c>
      <c r="AM78" s="103">
        <v>3.57</v>
      </c>
      <c r="AN78" s="103">
        <v>3.895</v>
      </c>
      <c r="AO78" s="103">
        <v>4.3849999999999998</v>
      </c>
      <c r="AP78" s="103">
        <v>3.1309999999999998</v>
      </c>
      <c r="AQ78" s="103">
        <v>3.66</v>
      </c>
      <c r="AR78" s="103">
        <v>3.706</v>
      </c>
      <c r="AS78" s="103">
        <v>4.1100000000000003</v>
      </c>
      <c r="AT78" s="103">
        <v>4.1040000000000001</v>
      </c>
      <c r="AU78" s="103">
        <v>3.8330000000000002</v>
      </c>
      <c r="AV78" s="103">
        <v>3.5390000000000001</v>
      </c>
      <c r="AW78" s="103">
        <v>3.6019999999999999</v>
      </c>
      <c r="AX78" s="103">
        <v>4.056</v>
      </c>
      <c r="AY78" s="103">
        <v>4.1180000000000003</v>
      </c>
      <c r="AZ78" s="103">
        <v>3.6789999999999998</v>
      </c>
      <c r="BA78" s="103">
        <v>4.423</v>
      </c>
      <c r="BB78" s="103">
        <v>4.4729999999999999</v>
      </c>
      <c r="BC78" s="103">
        <v>4.4269999999999996</v>
      </c>
      <c r="BD78" s="103">
        <v>3.3130000000000002</v>
      </c>
      <c r="BE78" s="103">
        <v>3.5710000000000002</v>
      </c>
      <c r="BF78" s="103">
        <v>3.8919999999999999</v>
      </c>
      <c r="BG78" s="103">
        <v>3.9449999999999998</v>
      </c>
      <c r="BH78" s="103">
        <v>3.9950000000000001</v>
      </c>
      <c r="BI78" s="103">
        <v>4.4000000000000004</v>
      </c>
      <c r="BJ78" s="103">
        <v>4.2220000000000004</v>
      </c>
      <c r="BK78" s="103">
        <v>3.9260000000000002</v>
      </c>
      <c r="BL78" s="103">
        <v>4.08</v>
      </c>
      <c r="BM78" s="103">
        <v>4.1609999999999996</v>
      </c>
      <c r="BN78" s="103">
        <v>4.1870000000000003</v>
      </c>
      <c r="BO78" s="103">
        <v>4</v>
      </c>
      <c r="BP78" s="103">
        <v>3.8010000000000002</v>
      </c>
      <c r="BQ78" s="87">
        <v>3.360268</v>
      </c>
      <c r="BR78" s="87">
        <v>3.6327050000000001</v>
      </c>
      <c r="BS78" s="87">
        <v>4.2298349999999996</v>
      </c>
      <c r="BT78" s="87">
        <v>3.5133670000000001</v>
      </c>
      <c r="BU78" s="87">
        <v>3.669289</v>
      </c>
      <c r="BV78" s="87">
        <v>4.2026440000000003</v>
      </c>
      <c r="BW78" s="105">
        <v>3.5590000000000002</v>
      </c>
      <c r="BX78" s="105">
        <v>3.726</v>
      </c>
      <c r="BY78" s="105">
        <v>3.4940000000000002</v>
      </c>
      <c r="BZ78" s="105">
        <v>3.718</v>
      </c>
      <c r="CA78" s="105">
        <v>4.1109999999999998</v>
      </c>
      <c r="CB78" s="105">
        <v>2.7679999999999998</v>
      </c>
      <c r="CC78" s="105">
        <v>2.83</v>
      </c>
      <c r="CD78" s="105">
        <v>3.573</v>
      </c>
      <c r="CE78" s="105">
        <v>3.8980000000000001</v>
      </c>
      <c r="CF78" s="105">
        <v>4.3890000000000002</v>
      </c>
      <c r="CG78" s="105">
        <v>3.1379999999999999</v>
      </c>
      <c r="CH78" s="105">
        <v>3.6619999999999999</v>
      </c>
      <c r="CI78" s="105">
        <v>3.7069999999999999</v>
      </c>
      <c r="CJ78" s="105">
        <v>4.1120000000000001</v>
      </c>
      <c r="CK78" s="105">
        <v>4.1070000000000002</v>
      </c>
      <c r="CL78" s="105">
        <v>3.8340000000000001</v>
      </c>
      <c r="CM78" s="105">
        <v>3.5390000000000001</v>
      </c>
      <c r="CN78" s="105">
        <v>3.6030000000000002</v>
      </c>
      <c r="CO78" s="105">
        <v>4.0579999999999998</v>
      </c>
      <c r="CP78" s="105">
        <v>4.1189999999999998</v>
      </c>
      <c r="CQ78" s="105">
        <v>3.681</v>
      </c>
      <c r="CR78" s="105">
        <v>4.4249999999999998</v>
      </c>
      <c r="CS78" s="105">
        <v>4.4749999999999996</v>
      </c>
      <c r="CT78" s="105">
        <v>4.4279999999999999</v>
      </c>
      <c r="CU78" s="105">
        <v>3.3210000000000002</v>
      </c>
      <c r="CV78" s="105">
        <v>3.5720000000000001</v>
      </c>
      <c r="CW78" s="105">
        <v>3.8940000000000001</v>
      </c>
      <c r="CX78" s="105">
        <v>3.9470000000000001</v>
      </c>
      <c r="CY78" s="105">
        <v>3.9969999999999999</v>
      </c>
      <c r="CZ78" s="105">
        <v>4.4020000000000001</v>
      </c>
      <c r="DA78" s="105">
        <v>4.2249999999999996</v>
      </c>
      <c r="DB78" s="105">
        <v>3.9279999999999999</v>
      </c>
      <c r="DC78" s="105">
        <v>4.0819999999999999</v>
      </c>
      <c r="DD78" s="105">
        <v>4.1639999999999997</v>
      </c>
      <c r="DE78" s="105">
        <v>4.1879999999999997</v>
      </c>
      <c r="DF78" s="105">
        <v>4.0010000000000003</v>
      </c>
      <c r="DG78" s="105">
        <v>3.802</v>
      </c>
      <c r="DH78" s="115">
        <v>3.3615089999999999</v>
      </c>
      <c r="DI78" s="115">
        <v>3.6337410000000001</v>
      </c>
      <c r="DJ78" s="115">
        <v>4.2303490000000004</v>
      </c>
      <c r="DK78" s="115">
        <v>3.5147949999999999</v>
      </c>
      <c r="DL78" s="115">
        <v>3.6703350000000001</v>
      </c>
      <c r="DM78" s="115">
        <v>4.2031429999999999</v>
      </c>
    </row>
    <row r="79" spans="1:117">
      <c r="A79" s="1">
        <f t="shared" si="12"/>
        <v>77</v>
      </c>
      <c r="B79" s="2"/>
      <c r="C79" s="4">
        <v>13</v>
      </c>
      <c r="D79" s="4">
        <f t="shared" si="8"/>
        <v>1016</v>
      </c>
      <c r="E79" s="4" t="s">
        <v>310</v>
      </c>
      <c r="F79" s="4">
        <v>3</v>
      </c>
      <c r="G79" s="4" t="s">
        <v>11</v>
      </c>
      <c r="H79" s="4" t="s">
        <v>17</v>
      </c>
      <c r="I79" s="4"/>
      <c r="J79" s="5">
        <v>96.1</v>
      </c>
      <c r="K79" s="68"/>
      <c r="L79" s="99">
        <v>1.1099999999999999</v>
      </c>
      <c r="M79" s="7" t="s">
        <v>260</v>
      </c>
      <c r="N79" s="3" t="s">
        <v>205</v>
      </c>
      <c r="O79" s="6">
        <v>1.319</v>
      </c>
      <c r="P79" s="6">
        <v>1.181</v>
      </c>
      <c r="Q79" s="6">
        <v>1.6279999999999999</v>
      </c>
      <c r="R79" s="54"/>
      <c r="S79" s="6">
        <v>1.1539999999999999</v>
      </c>
      <c r="T79" s="54"/>
      <c r="U79" s="54"/>
      <c r="V79" s="54"/>
      <c r="W79" s="54"/>
      <c r="X79" s="54"/>
      <c r="Y79" s="6">
        <v>1.3939999999999999</v>
      </c>
      <c r="Z79" s="6">
        <v>1.407</v>
      </c>
      <c r="AA79" s="6">
        <v>1.33</v>
      </c>
      <c r="AB79" s="6">
        <v>1.1879999999999999</v>
      </c>
      <c r="AC79" s="6">
        <v>1.1379999999999999</v>
      </c>
      <c r="AD79" s="54"/>
      <c r="AE79" s="54"/>
      <c r="AF79" s="103">
        <v>1.0580000000000001</v>
      </c>
      <c r="AG79" s="103">
        <v>1.054</v>
      </c>
      <c r="AH79" s="103">
        <v>1.0362</v>
      </c>
      <c r="AI79" s="103">
        <v>1.028</v>
      </c>
      <c r="AJ79" s="103">
        <v>0.97399999999999998</v>
      </c>
      <c r="AK79" s="103">
        <v>1.0840000000000001</v>
      </c>
      <c r="AL79" s="103">
        <v>1.1100000000000001</v>
      </c>
      <c r="AM79" s="103">
        <v>1.1040000000000001</v>
      </c>
      <c r="AN79" s="103">
        <v>1.109</v>
      </c>
      <c r="AO79" s="103">
        <v>1.044</v>
      </c>
      <c r="AP79" s="103">
        <v>1.149</v>
      </c>
      <c r="AQ79" s="103">
        <v>1.0760000000000001</v>
      </c>
      <c r="AR79" s="103">
        <v>1.109</v>
      </c>
      <c r="AS79" s="103">
        <v>1.1539999999999999</v>
      </c>
      <c r="AT79" s="103">
        <v>1.143</v>
      </c>
      <c r="AU79" s="103">
        <v>1.0129999999999999</v>
      </c>
      <c r="AV79" s="103">
        <v>1.002</v>
      </c>
      <c r="AW79" s="103">
        <v>1.024</v>
      </c>
      <c r="AX79" s="103">
        <v>0.97299999999999998</v>
      </c>
      <c r="AY79" s="103">
        <v>1.0509999999999999</v>
      </c>
      <c r="AZ79" s="103">
        <v>1.0820000000000001</v>
      </c>
      <c r="BA79" s="103">
        <v>1.028</v>
      </c>
      <c r="BB79" s="103">
        <v>1.0089999999999999</v>
      </c>
      <c r="BC79" s="103">
        <v>0.92700000000000005</v>
      </c>
      <c r="BD79" s="103">
        <v>1.1000000000000001</v>
      </c>
      <c r="BE79" s="107"/>
      <c r="BF79" s="107"/>
      <c r="BG79" s="107"/>
      <c r="BH79" s="107"/>
      <c r="BI79" s="107"/>
      <c r="BJ79" s="107"/>
      <c r="BK79" s="107"/>
      <c r="BL79" s="107"/>
      <c r="BM79" s="107"/>
      <c r="BN79" s="103">
        <v>1.1140000000000001</v>
      </c>
      <c r="BO79" s="103">
        <v>1.036</v>
      </c>
      <c r="BP79" s="103">
        <v>1.083</v>
      </c>
      <c r="BQ79" s="87">
        <v>0.445683</v>
      </c>
      <c r="BR79" s="87">
        <v>0.63507599999999997</v>
      </c>
      <c r="BS79" s="87">
        <v>1.1013599999999999</v>
      </c>
      <c r="BT79" s="87">
        <v>0.62211499999999997</v>
      </c>
      <c r="BU79" s="87">
        <v>0.67859999999999998</v>
      </c>
      <c r="BV79" s="87">
        <v>1.0609299999999999</v>
      </c>
      <c r="BW79" s="105">
        <v>1.095</v>
      </c>
      <c r="BX79" s="105">
        <v>1.081</v>
      </c>
      <c r="BY79" s="105">
        <v>1.071</v>
      </c>
      <c r="BZ79" s="105">
        <v>1.079</v>
      </c>
      <c r="CA79" s="105">
        <v>1.0900000000000001</v>
      </c>
      <c r="CB79" s="105">
        <v>1.1200000000000001</v>
      </c>
      <c r="CC79" s="105">
        <v>1.1499999999999999</v>
      </c>
      <c r="CD79" s="105">
        <v>1.17</v>
      </c>
      <c r="CE79" s="105">
        <v>1.165</v>
      </c>
      <c r="CF79" s="105">
        <v>1.089</v>
      </c>
      <c r="CG79" s="105">
        <v>1.198</v>
      </c>
      <c r="CH79" s="105">
        <v>1.1379999999999999</v>
      </c>
      <c r="CI79" s="105">
        <v>1.175</v>
      </c>
      <c r="CJ79" s="105">
        <v>1.1910000000000001</v>
      </c>
      <c r="CK79" s="105">
        <v>1.179</v>
      </c>
      <c r="CL79" s="105">
        <v>1.1060000000000001</v>
      </c>
      <c r="CM79" s="105">
        <v>1.04</v>
      </c>
      <c r="CN79" s="105">
        <v>1.0780000000000001</v>
      </c>
      <c r="CO79" s="105">
        <v>1.2310000000000001</v>
      </c>
      <c r="CP79" s="105">
        <v>1.1359999999999999</v>
      </c>
      <c r="CQ79" s="105">
        <v>1.179</v>
      </c>
      <c r="CR79" s="105">
        <v>1.167</v>
      </c>
      <c r="CS79" s="105">
        <v>1.1919999999999999</v>
      </c>
      <c r="CT79" s="105">
        <v>1.1145</v>
      </c>
      <c r="CU79" s="105">
        <v>1.212</v>
      </c>
      <c r="CV79" s="105">
        <v>1.1319999999999999</v>
      </c>
      <c r="CW79" s="105">
        <v>1.1399999999999999</v>
      </c>
      <c r="CX79" s="105">
        <v>1.202</v>
      </c>
      <c r="CY79" s="105">
        <v>1.2190000000000001</v>
      </c>
      <c r="CZ79" s="105">
        <v>1.2370000000000001</v>
      </c>
      <c r="DA79" s="105">
        <v>1.2629999999999999</v>
      </c>
      <c r="DB79" s="105">
        <v>1.165</v>
      </c>
      <c r="DC79" s="105">
        <v>1.1639999999999999</v>
      </c>
      <c r="DD79" s="105">
        <v>1.1319999999999999</v>
      </c>
      <c r="DE79" s="105">
        <v>1.1459999999999999</v>
      </c>
      <c r="DF79" s="105">
        <v>1.0760000000000001</v>
      </c>
      <c r="DG79" s="105">
        <v>1.1240000000000001</v>
      </c>
      <c r="DH79" s="115">
        <v>0.49490000000000001</v>
      </c>
      <c r="DI79" s="115">
        <v>0.69627099999999997</v>
      </c>
      <c r="DJ79" s="115">
        <v>1.159146</v>
      </c>
      <c r="DK79" s="115">
        <v>0.69303300000000001</v>
      </c>
      <c r="DL79" s="115">
        <v>0.74535600000000002</v>
      </c>
      <c r="DM79" s="115">
        <v>1.1142639999999999</v>
      </c>
    </row>
    <row r="80" spans="1:117">
      <c r="A80" s="1">
        <f t="shared" si="12"/>
        <v>78</v>
      </c>
      <c r="B80" s="2"/>
      <c r="C80" s="4">
        <v>13</v>
      </c>
      <c r="D80" s="4">
        <f t="shared" si="8"/>
        <v>1016</v>
      </c>
      <c r="E80" s="4" t="s">
        <v>309</v>
      </c>
      <c r="F80" s="4">
        <v>3</v>
      </c>
      <c r="G80" s="4" t="s">
        <v>11</v>
      </c>
      <c r="H80" s="4" t="s">
        <v>17</v>
      </c>
      <c r="I80" s="4"/>
      <c r="J80" s="5">
        <v>96.4</v>
      </c>
      <c r="K80" s="68"/>
      <c r="L80" s="99">
        <v>2.1539999999999999</v>
      </c>
      <c r="M80" s="7" t="s">
        <v>260</v>
      </c>
      <c r="N80" s="3" t="s">
        <v>205</v>
      </c>
      <c r="O80" s="6">
        <v>2.3820000000000001</v>
      </c>
      <c r="P80" s="6">
        <v>2.2360000000000002</v>
      </c>
      <c r="Q80" s="6">
        <v>2.6349999999999998</v>
      </c>
      <c r="R80" s="54"/>
      <c r="S80" s="6">
        <v>2.1949999999999998</v>
      </c>
      <c r="T80" s="54"/>
      <c r="U80" s="54"/>
      <c r="V80" s="54"/>
      <c r="W80" s="54"/>
      <c r="X80" s="54"/>
      <c r="Y80" s="6">
        <v>2.399</v>
      </c>
      <c r="Z80" s="6">
        <v>2.4020000000000001</v>
      </c>
      <c r="AA80" s="6">
        <v>2.347</v>
      </c>
      <c r="AB80" s="6">
        <v>2.21</v>
      </c>
      <c r="AC80" s="6">
        <v>2.198</v>
      </c>
      <c r="AD80" s="54"/>
      <c r="AE80" s="54"/>
      <c r="AF80" s="103">
        <v>1.996</v>
      </c>
      <c r="AG80" s="103">
        <v>2.0350000000000001</v>
      </c>
      <c r="AH80" s="103">
        <v>2.0099999999999998</v>
      </c>
      <c r="AI80" s="103">
        <v>1.976</v>
      </c>
      <c r="AJ80" s="103">
        <v>1.722</v>
      </c>
      <c r="AK80" s="103">
        <v>2.012</v>
      </c>
      <c r="AL80" s="103">
        <v>2.0259999999999998</v>
      </c>
      <c r="AM80" s="103">
        <v>2.1059999999999999</v>
      </c>
      <c r="AN80" s="103">
        <v>2.1480000000000001</v>
      </c>
      <c r="AO80" s="103">
        <v>2.0699999999999998</v>
      </c>
      <c r="AP80" s="103">
        <v>2.1829999999999998</v>
      </c>
      <c r="AQ80" s="103">
        <v>2.1640000000000001</v>
      </c>
      <c r="AR80" s="103">
        <v>2.1840000000000002</v>
      </c>
      <c r="AS80" s="103">
        <v>2.1840000000000002</v>
      </c>
      <c r="AT80" s="103">
        <v>2.1779999999999999</v>
      </c>
      <c r="AU80" s="103">
        <v>1.9630000000000001</v>
      </c>
      <c r="AV80" s="103">
        <v>1.996</v>
      </c>
      <c r="AW80" s="103">
        <v>1.988</v>
      </c>
      <c r="AX80" s="103">
        <v>1.77</v>
      </c>
      <c r="AY80" s="103">
        <v>2.0299999999999998</v>
      </c>
      <c r="AZ80" s="103">
        <v>2.08</v>
      </c>
      <c r="BA80" s="103">
        <v>1.9910000000000001</v>
      </c>
      <c r="BB80" s="103">
        <v>1.976</v>
      </c>
      <c r="BC80" s="103">
        <v>1.829</v>
      </c>
      <c r="BD80" s="103">
        <v>2.0710000000000002</v>
      </c>
      <c r="BE80" s="107"/>
      <c r="BF80" s="107"/>
      <c r="BG80" s="107"/>
      <c r="BH80" s="107"/>
      <c r="BI80" s="107"/>
      <c r="BJ80" s="107"/>
      <c r="BK80" s="107"/>
      <c r="BL80" s="107"/>
      <c r="BM80" s="107"/>
      <c r="BN80" s="103">
        <v>2.1920000000000002</v>
      </c>
      <c r="BO80" s="103">
        <v>2.028</v>
      </c>
      <c r="BP80" s="103">
        <v>2.1269999999999998</v>
      </c>
      <c r="BQ80" s="87">
        <v>1.438572</v>
      </c>
      <c r="BR80" s="87">
        <v>1.6481110000000001</v>
      </c>
      <c r="BS80" s="87">
        <v>2.9812820000000002</v>
      </c>
      <c r="BT80" s="87">
        <v>1.591809</v>
      </c>
      <c r="BU80" s="87">
        <v>1.678572</v>
      </c>
      <c r="BV80" s="87">
        <v>2.9577230000000001</v>
      </c>
      <c r="BW80" s="105">
        <v>2.1150000000000002</v>
      </c>
      <c r="BX80" s="105">
        <v>2.1339999999999999</v>
      </c>
      <c r="BY80" s="105">
        <v>2.121</v>
      </c>
      <c r="BZ80" s="105">
        <v>2.1259999999999999</v>
      </c>
      <c r="CA80" s="105">
        <v>2.0960000000000001</v>
      </c>
      <c r="CB80" s="105">
        <v>2.1419999999999999</v>
      </c>
      <c r="CC80" s="105">
        <v>2.161</v>
      </c>
      <c r="CD80" s="105">
        <v>2.2669999999999999</v>
      </c>
      <c r="CE80" s="105">
        <v>2.2810000000000001</v>
      </c>
      <c r="CF80" s="105">
        <v>2.1970000000000001</v>
      </c>
      <c r="CG80" s="105">
        <v>2.2879999999999998</v>
      </c>
      <c r="CH80" s="105">
        <v>2.278</v>
      </c>
      <c r="CI80" s="105">
        <v>2.3050000000000002</v>
      </c>
      <c r="CJ80" s="105">
        <v>2.3029999999999999</v>
      </c>
      <c r="CK80" s="105">
        <v>2.2949999999999999</v>
      </c>
      <c r="CL80" s="105">
        <v>2.1739999999999999</v>
      </c>
      <c r="CM80" s="105">
        <v>2.1019999999999999</v>
      </c>
      <c r="CN80" s="105">
        <v>2.137</v>
      </c>
      <c r="CO80" s="105">
        <v>2.2480000000000002</v>
      </c>
      <c r="CP80" s="105">
        <v>2.2240000000000002</v>
      </c>
      <c r="CQ80" s="105">
        <v>2.2629999999999999</v>
      </c>
      <c r="CR80" s="105">
        <v>2.2559999999999998</v>
      </c>
      <c r="CS80" s="105">
        <v>2.2869999999999999</v>
      </c>
      <c r="CT80" s="105">
        <v>2.206</v>
      </c>
      <c r="CU80" s="105">
        <v>2.2650000000000001</v>
      </c>
      <c r="CV80" s="105">
        <v>2.1920000000000002</v>
      </c>
      <c r="CW80" s="105">
        <v>2.1989999999999998</v>
      </c>
      <c r="CX80" s="105">
        <v>2.2669999999999999</v>
      </c>
      <c r="CY80" s="105">
        <v>2.8239999999999998</v>
      </c>
      <c r="CZ80" s="105">
        <v>2.298</v>
      </c>
      <c r="DA80" s="105">
        <v>2.3250000000000002</v>
      </c>
      <c r="DB80" s="105">
        <v>2.2719999999999998</v>
      </c>
      <c r="DC80" s="105">
        <v>2.2029999999999998</v>
      </c>
      <c r="DD80" s="105">
        <v>2.1819999999999999</v>
      </c>
      <c r="DE80" s="105">
        <v>2.282</v>
      </c>
      <c r="DF80" s="105">
        <v>2.149</v>
      </c>
      <c r="DG80" s="105">
        <v>2.2320000000000002</v>
      </c>
      <c r="DH80" s="115">
        <v>1.5503130000000001</v>
      </c>
      <c r="DI80" s="115">
        <v>1.7779799999999999</v>
      </c>
      <c r="DJ80" s="115">
        <v>3.0635919999999999</v>
      </c>
      <c r="DK80" s="115">
        <v>1.751925</v>
      </c>
      <c r="DL80" s="115">
        <v>1.821895</v>
      </c>
      <c r="DM80" s="115">
        <v>3.0347300000000001</v>
      </c>
    </row>
    <row r="81" spans="1:117">
      <c r="A81" s="1">
        <f t="shared" si="12"/>
        <v>79</v>
      </c>
      <c r="B81" s="2"/>
      <c r="C81" s="4">
        <v>13</v>
      </c>
      <c r="D81" s="4">
        <f t="shared" si="8"/>
        <v>1016</v>
      </c>
      <c r="E81" s="4" t="s">
        <v>378</v>
      </c>
      <c r="F81" s="4">
        <v>3</v>
      </c>
      <c r="G81" s="4" t="s">
        <v>14</v>
      </c>
      <c r="H81" s="4"/>
      <c r="I81" s="4"/>
      <c r="J81" s="5">
        <v>96.8</v>
      </c>
      <c r="K81" s="68"/>
      <c r="L81" s="99">
        <v>3.1690000000000005</v>
      </c>
      <c r="M81" s="7" t="s">
        <v>260</v>
      </c>
      <c r="N81" s="3" t="s">
        <v>205</v>
      </c>
      <c r="O81" s="6">
        <v>3.2749999999999999</v>
      </c>
      <c r="P81" s="6">
        <v>3.1379999999999999</v>
      </c>
      <c r="Q81" s="6">
        <v>3.573</v>
      </c>
      <c r="R81" s="54"/>
      <c r="S81" s="6">
        <v>3.1789999999999998</v>
      </c>
      <c r="T81" s="54"/>
      <c r="U81" s="54"/>
      <c r="V81" s="54"/>
      <c r="W81" s="54"/>
      <c r="X81" s="54"/>
      <c r="Y81" s="6">
        <v>3.456</v>
      </c>
      <c r="Z81" s="6">
        <v>3.3809999999999998</v>
      </c>
      <c r="AA81" s="6">
        <v>3.3</v>
      </c>
      <c r="AB81" s="6">
        <v>3.3340000000000001</v>
      </c>
      <c r="AC81" s="6">
        <v>3.1920000000000002</v>
      </c>
      <c r="AD81" s="54"/>
      <c r="AE81" s="54"/>
      <c r="AF81" s="103">
        <v>3.1240000000000001</v>
      </c>
      <c r="AG81" s="103">
        <v>3.3010000000000002</v>
      </c>
      <c r="AH81" s="103">
        <v>3.1059999999999999</v>
      </c>
      <c r="AI81" s="103">
        <v>3.2970000000000002</v>
      </c>
      <c r="AJ81" s="103">
        <v>3.63</v>
      </c>
      <c r="AK81" s="103">
        <v>2.4449999999999998</v>
      </c>
      <c r="AL81" s="103">
        <v>2.5139999999999998</v>
      </c>
      <c r="AM81" s="103">
        <v>3.2709999999999999</v>
      </c>
      <c r="AN81" s="103">
        <v>3.5369999999999999</v>
      </c>
      <c r="AO81" s="103">
        <v>3.8690000000000002</v>
      </c>
      <c r="AP81" s="103">
        <v>2.7869999999999999</v>
      </c>
      <c r="AQ81" s="103">
        <v>3.2280000000000002</v>
      </c>
      <c r="AR81" s="103">
        <v>3.2829999999999999</v>
      </c>
      <c r="AS81" s="103">
        <v>3.734</v>
      </c>
      <c r="AT81" s="103">
        <v>3.726</v>
      </c>
      <c r="AU81" s="103">
        <v>3.3639999999999999</v>
      </c>
      <c r="AV81" s="103">
        <v>3.052</v>
      </c>
      <c r="AW81" s="103">
        <v>3.1890000000000001</v>
      </c>
      <c r="AX81" s="103">
        <v>3.5230000000000001</v>
      </c>
      <c r="AY81" s="103">
        <v>3.629</v>
      </c>
      <c r="AZ81" s="103">
        <v>3.1819999999999999</v>
      </c>
      <c r="BA81" s="103">
        <v>3.843</v>
      </c>
      <c r="BB81" s="103">
        <v>3.9079999999999999</v>
      </c>
      <c r="BC81" s="103">
        <v>3.9079999999999999</v>
      </c>
      <c r="BD81" s="103">
        <v>2.964</v>
      </c>
      <c r="BE81" s="107"/>
      <c r="BF81" s="107"/>
      <c r="BG81" s="107"/>
      <c r="BH81" s="107"/>
      <c r="BI81" s="107"/>
      <c r="BJ81" s="107"/>
      <c r="BK81" s="107"/>
      <c r="BL81" s="107"/>
      <c r="BM81" s="107"/>
      <c r="BN81" s="103">
        <v>3.8239999999999998</v>
      </c>
      <c r="BO81" s="103">
        <v>3.524</v>
      </c>
      <c r="BP81" s="103">
        <v>3.367</v>
      </c>
      <c r="BQ81" s="87">
        <v>2.804192</v>
      </c>
      <c r="BR81" s="87">
        <v>3.0629140000000001</v>
      </c>
      <c r="BS81" s="87">
        <v>3.7405249999999999</v>
      </c>
      <c r="BT81" s="87">
        <v>2.9574820000000002</v>
      </c>
      <c r="BU81" s="87">
        <v>3.098824</v>
      </c>
      <c r="BV81" s="87">
        <v>3.7138080000000002</v>
      </c>
      <c r="BW81" s="105">
        <v>3.1930000000000001</v>
      </c>
      <c r="BX81" s="105">
        <v>3.3069999999999999</v>
      </c>
      <c r="BY81" s="105">
        <v>3.109</v>
      </c>
      <c r="BZ81" s="105">
        <v>3.3010000000000002</v>
      </c>
      <c r="CA81" s="105">
        <v>3.64</v>
      </c>
      <c r="CB81" s="105">
        <v>2.4489999999999998</v>
      </c>
      <c r="CC81" s="105">
        <v>2.5169999999999999</v>
      </c>
      <c r="CD81" s="105">
        <v>3.2749999999999999</v>
      </c>
      <c r="CE81" s="105">
        <v>3.5409999999999999</v>
      </c>
      <c r="CF81" s="105">
        <v>3.879</v>
      </c>
      <c r="CG81" s="105">
        <v>2.7930000000000001</v>
      </c>
      <c r="CH81" s="105">
        <v>3.2349999999999999</v>
      </c>
      <c r="CI81" s="105">
        <v>3.29</v>
      </c>
      <c r="CJ81" s="105">
        <v>3.7370000000000001</v>
      </c>
      <c r="CK81" s="105">
        <v>3.7290000000000001</v>
      </c>
      <c r="CL81" s="105">
        <v>3.367</v>
      </c>
      <c r="CM81" s="105">
        <v>3.0529999999999999</v>
      </c>
      <c r="CN81" s="105">
        <v>3.1909999999999998</v>
      </c>
      <c r="CO81" s="105">
        <v>3.528</v>
      </c>
      <c r="CP81" s="105">
        <v>3.6320000000000001</v>
      </c>
      <c r="CQ81" s="105">
        <v>3.1880000000000002</v>
      </c>
      <c r="CR81" s="105">
        <v>3.8479999999999999</v>
      </c>
      <c r="CS81" s="105">
        <v>3.9140000000000001</v>
      </c>
      <c r="CT81" s="105">
        <v>3.9129999999999998</v>
      </c>
      <c r="CU81" s="105">
        <v>2.9750000000000001</v>
      </c>
      <c r="CV81" s="105">
        <v>3.1469999999999998</v>
      </c>
      <c r="CW81" s="105">
        <v>3.448</v>
      </c>
      <c r="CX81" s="105">
        <v>3.4780000000000002</v>
      </c>
      <c r="CY81" s="105">
        <v>3.4510000000000001</v>
      </c>
      <c r="CZ81" s="105">
        <v>3.8740000000000001</v>
      </c>
      <c r="DA81" s="105">
        <v>3.7050000000000001</v>
      </c>
      <c r="DB81" s="105">
        <v>3.3969999999999998</v>
      </c>
      <c r="DC81" s="105">
        <v>3.5590000000000002</v>
      </c>
      <c r="DD81" s="105">
        <v>3.6360000000000001</v>
      </c>
      <c r="DE81" s="105">
        <v>3.8260000000000001</v>
      </c>
      <c r="DF81" s="105">
        <v>3.5270000000000001</v>
      </c>
      <c r="DG81" s="105">
        <v>3.3679999999999999</v>
      </c>
      <c r="DH81" s="115">
        <v>2.8074370000000002</v>
      </c>
      <c r="DI81" s="115">
        <v>3.0660790000000002</v>
      </c>
      <c r="DJ81" s="115">
        <v>3.7424520000000001</v>
      </c>
      <c r="DK81" s="115">
        <v>2.9615330000000002</v>
      </c>
      <c r="DL81" s="115">
        <v>3.1021990000000002</v>
      </c>
      <c r="DM81" s="115">
        <v>3.715576</v>
      </c>
    </row>
    <row r="82" spans="1:117">
      <c r="A82" s="1">
        <f t="shared" si="12"/>
        <v>80</v>
      </c>
      <c r="B82" s="2"/>
      <c r="C82" s="4">
        <v>13</v>
      </c>
      <c r="D82" s="4">
        <f t="shared" si="8"/>
        <v>1016</v>
      </c>
      <c r="E82" s="4" t="s">
        <v>376</v>
      </c>
      <c r="F82" s="4">
        <v>3</v>
      </c>
      <c r="G82" s="4" t="s">
        <v>14</v>
      </c>
      <c r="H82" s="4"/>
      <c r="I82" s="4"/>
      <c r="J82" s="5">
        <v>96.8</v>
      </c>
      <c r="K82" s="68"/>
      <c r="L82" s="99">
        <v>3.6930000000000001</v>
      </c>
      <c r="M82" s="7" t="s">
        <v>260</v>
      </c>
      <c r="N82" s="3" t="s">
        <v>205</v>
      </c>
      <c r="O82" s="6">
        <v>3.7610000000000001</v>
      </c>
      <c r="P82" s="6">
        <v>3.6429999999999998</v>
      </c>
      <c r="Q82" s="6">
        <v>4.05</v>
      </c>
      <c r="R82" s="54"/>
      <c r="S82" s="6">
        <v>3.7</v>
      </c>
      <c r="T82" s="54"/>
      <c r="U82" s="54"/>
      <c r="V82" s="54"/>
      <c r="W82" s="54"/>
      <c r="X82" s="54"/>
      <c r="Y82" s="6">
        <v>3.9569999999999999</v>
      </c>
      <c r="Z82" s="6">
        <v>3.8780000000000001</v>
      </c>
      <c r="AA82" s="6">
        <v>3.7989999999999999</v>
      </c>
      <c r="AB82" s="6">
        <v>3.8380000000000001</v>
      </c>
      <c r="AC82" s="6">
        <v>3.7010000000000001</v>
      </c>
      <c r="AD82" s="54"/>
      <c r="AE82" s="54"/>
      <c r="AF82" s="103">
        <v>3.5470000000000002</v>
      </c>
      <c r="AG82" s="103">
        <v>3.6739999999999999</v>
      </c>
      <c r="AH82" s="103">
        <v>3.492</v>
      </c>
      <c r="AI82" s="103">
        <v>3.6970000000000001</v>
      </c>
      <c r="AJ82" s="103">
        <v>4.0830000000000002</v>
      </c>
      <c r="AK82" s="103">
        <v>2.7290000000000001</v>
      </c>
      <c r="AL82" s="103">
        <v>2.786</v>
      </c>
      <c r="AM82" s="103">
        <v>3.633</v>
      </c>
      <c r="AN82" s="103">
        <v>3.8570000000000002</v>
      </c>
      <c r="AO82" s="103">
        <v>4.3650000000000002</v>
      </c>
      <c r="AP82" s="103">
        <v>3.2050000000000001</v>
      </c>
      <c r="AQ82" s="103">
        <v>3.6320000000000001</v>
      </c>
      <c r="AR82" s="103">
        <v>3.677</v>
      </c>
      <c r="AS82" s="103">
        <v>4.0709999999999997</v>
      </c>
      <c r="AT82" s="103">
        <v>4.0659999999999998</v>
      </c>
      <c r="AU82" s="103">
        <v>3.83</v>
      </c>
      <c r="AV82" s="103">
        <v>3.5419999999999998</v>
      </c>
      <c r="AW82" s="103">
        <v>3.605</v>
      </c>
      <c r="AX82" s="103">
        <v>4.0549999999999997</v>
      </c>
      <c r="AY82" s="103">
        <v>4.0739999999999998</v>
      </c>
      <c r="AZ82" s="103">
        <v>3.7069999999999999</v>
      </c>
      <c r="BA82" s="103">
        <v>4.3680000000000003</v>
      </c>
      <c r="BB82" s="103">
        <v>4.4180000000000001</v>
      </c>
      <c r="BC82" s="103">
        <v>4.4020000000000001</v>
      </c>
      <c r="BD82" s="103">
        <v>3.3969999999999998</v>
      </c>
      <c r="BE82" s="107"/>
      <c r="BF82" s="107"/>
      <c r="BG82" s="107"/>
      <c r="BH82" s="107"/>
      <c r="BI82" s="107"/>
      <c r="BJ82" s="107"/>
      <c r="BK82" s="107"/>
      <c r="BL82" s="107"/>
      <c r="BM82" s="107"/>
      <c r="BN82" s="103">
        <v>4.2759999999999998</v>
      </c>
      <c r="BO82" s="103">
        <v>3.9969999999999999</v>
      </c>
      <c r="BP82" s="103">
        <v>3.8220000000000001</v>
      </c>
      <c r="BQ82" s="87">
        <v>3.3131840000000001</v>
      </c>
      <c r="BR82" s="87">
        <v>3.5931690000000001</v>
      </c>
      <c r="BS82" s="87">
        <v>4.2097740000000003</v>
      </c>
      <c r="BT82" s="87">
        <v>3.4616910000000001</v>
      </c>
      <c r="BU82" s="87">
        <v>3.6287889999999998</v>
      </c>
      <c r="BV82" s="87">
        <v>4.1829939999999999</v>
      </c>
      <c r="BW82" s="105">
        <v>3.5489999999999999</v>
      </c>
      <c r="BX82" s="105">
        <v>3.6789999999999998</v>
      </c>
      <c r="BY82" s="105">
        <v>3.4940000000000002</v>
      </c>
      <c r="BZ82" s="105">
        <v>3.7</v>
      </c>
      <c r="CA82" s="105">
        <v>4.0910000000000002</v>
      </c>
      <c r="CB82" s="105">
        <v>2.726</v>
      </c>
      <c r="CC82" s="105">
        <v>2.7879999999999998</v>
      </c>
      <c r="CD82" s="105">
        <v>3.637</v>
      </c>
      <c r="CE82" s="105">
        <v>3.86</v>
      </c>
      <c r="CF82" s="105">
        <v>4.3710000000000004</v>
      </c>
      <c r="CG82" s="105">
        <v>3.2120000000000002</v>
      </c>
      <c r="CH82" s="105">
        <v>3.6379999999999999</v>
      </c>
      <c r="CI82" s="105">
        <v>3.6829999999999998</v>
      </c>
      <c r="CJ82" s="105">
        <v>4.0739999999999998</v>
      </c>
      <c r="CK82" s="105">
        <v>4.069</v>
      </c>
      <c r="CL82" s="105">
        <v>3.8330000000000002</v>
      </c>
      <c r="CM82" s="105">
        <v>3.5430000000000001</v>
      </c>
      <c r="CN82" s="105">
        <v>3.6070000000000002</v>
      </c>
      <c r="CO82" s="105">
        <v>4.0599999999999996</v>
      </c>
      <c r="CP82" s="105">
        <v>4.077</v>
      </c>
      <c r="CQ82" s="105">
        <v>3.7109999999999999</v>
      </c>
      <c r="CR82" s="105">
        <v>4.3710000000000004</v>
      </c>
      <c r="CS82" s="105">
        <v>4.4219999999999997</v>
      </c>
      <c r="CT82" s="105">
        <v>4.4059999999999997</v>
      </c>
      <c r="CU82" s="105">
        <v>3.4079999999999999</v>
      </c>
      <c r="CV82" s="105">
        <v>3.5720000000000001</v>
      </c>
      <c r="CW82" s="105">
        <v>3.8759999999999999</v>
      </c>
      <c r="CX82" s="105">
        <v>3.9319999999999999</v>
      </c>
      <c r="CY82" s="105">
        <v>3.9929999999999999</v>
      </c>
      <c r="CZ82" s="105">
        <v>4.38</v>
      </c>
      <c r="DA82" s="105">
        <v>4.2069999999999999</v>
      </c>
      <c r="DB82" s="105">
        <v>3.927</v>
      </c>
      <c r="DC82" s="105">
        <v>4.077</v>
      </c>
      <c r="DD82" s="105">
        <v>4.1630000000000003</v>
      </c>
      <c r="DE82" s="105">
        <v>4.2779999999999996</v>
      </c>
      <c r="DF82" s="105">
        <v>3.9990000000000001</v>
      </c>
      <c r="DG82" s="105">
        <v>3.823</v>
      </c>
      <c r="DH82" s="115">
        <v>3.3160059999999998</v>
      </c>
      <c r="DI82" s="115">
        <v>3.5957979999999998</v>
      </c>
      <c r="DJ82" s="115">
        <v>4.2109810000000003</v>
      </c>
      <c r="DK82" s="115">
        <v>3.4653619999999998</v>
      </c>
      <c r="DL82" s="115">
        <v>3.631643</v>
      </c>
      <c r="DM82" s="115">
        <v>4.1840640000000002</v>
      </c>
    </row>
    <row r="83" spans="1:117">
      <c r="A83" s="1">
        <f t="shared" si="12"/>
        <v>81</v>
      </c>
      <c r="B83" s="31" t="s">
        <v>272</v>
      </c>
      <c r="C83" s="4">
        <v>10</v>
      </c>
      <c r="D83" s="4">
        <f t="shared" si="8"/>
        <v>1016</v>
      </c>
      <c r="E83" s="4" t="s">
        <v>223</v>
      </c>
      <c r="F83" s="4">
        <v>1</v>
      </c>
      <c r="G83" s="4" t="s">
        <v>11</v>
      </c>
      <c r="H83" s="4" t="s">
        <v>17</v>
      </c>
      <c r="I83" s="4"/>
      <c r="J83" s="5">
        <v>88.4</v>
      </c>
      <c r="K83" s="63">
        <v>0.29299999999999998</v>
      </c>
      <c r="L83" s="99">
        <v>3.5670000000000006</v>
      </c>
      <c r="M83" s="7" t="s">
        <v>113</v>
      </c>
      <c r="N83" s="3" t="s">
        <v>205</v>
      </c>
      <c r="O83" s="74">
        <v>3.5379999999999998</v>
      </c>
      <c r="P83" s="74">
        <v>3.4830000000000001</v>
      </c>
      <c r="Q83" s="74">
        <v>3.9380000000000002</v>
      </c>
      <c r="R83" s="54"/>
      <c r="S83" s="76">
        <v>3.738</v>
      </c>
      <c r="T83" s="74">
        <v>3.5760000000000001</v>
      </c>
      <c r="U83" s="74">
        <v>3.5670000000000002</v>
      </c>
      <c r="V83" s="74">
        <v>3.5979999999999999</v>
      </c>
      <c r="W83" s="22">
        <v>3.5350000000000001</v>
      </c>
      <c r="X83" s="77"/>
      <c r="Y83" s="74">
        <v>3.6120000000000001</v>
      </c>
      <c r="Z83" s="74">
        <v>3.74</v>
      </c>
      <c r="AA83" s="74">
        <v>3.653</v>
      </c>
      <c r="AB83" s="74">
        <v>3.3759999999999999</v>
      </c>
      <c r="AC83" s="74">
        <v>3.3130000000000002</v>
      </c>
      <c r="AD83" s="74">
        <v>3.4180000000000001</v>
      </c>
      <c r="AE83" s="74">
        <f t="shared" ref="AE83:AE90" si="13">SUM(AC83:AD83)/2</f>
        <v>3.3654999999999999</v>
      </c>
      <c r="AF83" s="107"/>
      <c r="AG83" s="107"/>
      <c r="AH83" s="107"/>
      <c r="AI83" s="107"/>
      <c r="AJ83" s="107"/>
      <c r="AK83" s="107"/>
      <c r="AL83" s="107"/>
      <c r="AM83" s="107"/>
      <c r="AN83" s="107"/>
      <c r="AO83" s="107"/>
      <c r="AP83" s="107"/>
      <c r="AQ83" s="107"/>
      <c r="AR83" s="107"/>
      <c r="AS83" s="107"/>
      <c r="AT83" s="107"/>
      <c r="AU83" s="107"/>
      <c r="AV83" s="107"/>
      <c r="AW83" s="107"/>
      <c r="AX83" s="107"/>
      <c r="AY83" s="107"/>
      <c r="AZ83" s="107"/>
      <c r="BA83" s="107"/>
      <c r="BB83" s="107"/>
      <c r="BC83" s="107"/>
      <c r="BD83" s="107"/>
      <c r="BE83" s="107"/>
      <c r="BF83" s="107"/>
      <c r="BG83" s="107"/>
      <c r="BH83" s="107"/>
      <c r="BI83" s="107"/>
      <c r="BJ83" s="107"/>
      <c r="BK83" s="107"/>
      <c r="BL83" s="107"/>
      <c r="BM83" s="107"/>
      <c r="BN83" s="107"/>
      <c r="BO83" s="107"/>
      <c r="BP83" s="107"/>
      <c r="BQ83" s="107"/>
      <c r="BR83" s="107"/>
      <c r="BS83" s="107"/>
      <c r="BT83" s="107"/>
      <c r="BU83" s="107"/>
      <c r="BV83" s="107"/>
      <c r="BW83" s="107"/>
      <c r="BX83" s="107"/>
      <c r="BY83" s="107"/>
      <c r="BZ83" s="107"/>
      <c r="CA83" s="107"/>
      <c r="CB83" s="107"/>
      <c r="CC83" s="107"/>
      <c r="CD83" s="107"/>
      <c r="CE83" s="107"/>
      <c r="CF83" s="107"/>
      <c r="CG83" s="107"/>
      <c r="CH83" s="107"/>
      <c r="CI83" s="107"/>
      <c r="CJ83" s="107"/>
      <c r="CK83" s="107"/>
      <c r="CL83" s="107"/>
      <c r="CM83" s="107"/>
      <c r="CN83" s="107"/>
      <c r="CO83" s="107"/>
      <c r="CP83" s="107"/>
      <c r="CQ83" s="107"/>
      <c r="CR83" s="107"/>
      <c r="CS83" s="107"/>
      <c r="CT83" s="107"/>
      <c r="CU83" s="107"/>
      <c r="CV83" s="107"/>
      <c r="CW83" s="107"/>
      <c r="CX83" s="107"/>
      <c r="CY83" s="107"/>
      <c r="CZ83" s="107"/>
      <c r="DA83" s="107"/>
      <c r="DB83" s="107"/>
      <c r="DC83" s="107"/>
      <c r="DD83" s="107"/>
      <c r="DE83" s="107"/>
      <c r="DF83" s="107"/>
      <c r="DG83" s="107"/>
      <c r="DH83" s="107"/>
      <c r="DI83" s="107"/>
      <c r="DJ83" s="107"/>
      <c r="DK83" s="107"/>
      <c r="DL83" s="107"/>
      <c r="DM83" s="107"/>
    </row>
    <row r="84" spans="1:117">
      <c r="A84" s="1">
        <f t="shared" si="12"/>
        <v>82</v>
      </c>
      <c r="B84" s="2"/>
      <c r="C84" s="4">
        <v>10</v>
      </c>
      <c r="D84" s="4">
        <f t="shared" si="8"/>
        <v>1016</v>
      </c>
      <c r="E84" s="4" t="s">
        <v>150</v>
      </c>
      <c r="F84" s="4">
        <v>1</v>
      </c>
      <c r="G84" s="4" t="s">
        <v>11</v>
      </c>
      <c r="H84" s="4" t="s">
        <v>12</v>
      </c>
      <c r="I84" s="4"/>
      <c r="J84" s="5">
        <v>83.7</v>
      </c>
      <c r="K84" s="63">
        <v>0</v>
      </c>
      <c r="L84" s="99">
        <v>3.8990000000000005</v>
      </c>
      <c r="M84" s="7" t="s">
        <v>113</v>
      </c>
      <c r="N84" s="3" t="s">
        <v>205</v>
      </c>
      <c r="O84" s="74">
        <v>4.03</v>
      </c>
      <c r="P84" s="74">
        <v>3.8119999999999998</v>
      </c>
      <c r="Q84" s="74">
        <v>4.431</v>
      </c>
      <c r="R84" s="74">
        <v>3.9390000000000001</v>
      </c>
      <c r="S84" s="76">
        <v>4.282</v>
      </c>
      <c r="T84" s="74">
        <v>4.0609999999999999</v>
      </c>
      <c r="U84" s="74">
        <v>4.048</v>
      </c>
      <c r="V84" s="74">
        <v>3.9980000000000002</v>
      </c>
      <c r="W84" s="22">
        <v>3.863</v>
      </c>
      <c r="X84" s="77"/>
      <c r="Y84" s="74">
        <v>4.202</v>
      </c>
      <c r="Z84" s="74">
        <v>4.3600000000000003</v>
      </c>
      <c r="AA84" s="74">
        <v>4.1870000000000003</v>
      </c>
      <c r="AB84" s="74">
        <v>3.9329999999999998</v>
      </c>
      <c r="AC84" s="74">
        <v>3.653</v>
      </c>
      <c r="AD84" s="74">
        <v>4.2430000000000003</v>
      </c>
      <c r="AE84" s="74">
        <f t="shared" si="13"/>
        <v>3.9480000000000004</v>
      </c>
      <c r="AF84" s="107"/>
      <c r="AG84" s="107"/>
      <c r="AH84" s="107"/>
      <c r="AI84" s="107"/>
      <c r="AJ84" s="107"/>
      <c r="AK84" s="107"/>
      <c r="AL84" s="107"/>
      <c r="AM84" s="107"/>
      <c r="AN84" s="107"/>
      <c r="AO84" s="107"/>
      <c r="AP84" s="107"/>
      <c r="AQ84" s="107"/>
      <c r="AR84" s="107"/>
      <c r="AS84" s="107"/>
      <c r="AT84" s="107"/>
      <c r="AU84" s="107"/>
      <c r="AV84" s="107"/>
      <c r="AW84" s="107"/>
      <c r="AX84" s="107"/>
      <c r="AY84" s="107"/>
      <c r="AZ84" s="107"/>
      <c r="BA84" s="107"/>
      <c r="BB84" s="107"/>
      <c r="BC84" s="107"/>
      <c r="BD84" s="107"/>
      <c r="BE84" s="107"/>
      <c r="BF84" s="107"/>
      <c r="BG84" s="107"/>
      <c r="BH84" s="107"/>
      <c r="BI84" s="107"/>
      <c r="BJ84" s="107"/>
      <c r="BK84" s="107"/>
      <c r="BL84" s="107"/>
      <c r="BM84" s="107"/>
      <c r="BN84" s="107"/>
      <c r="BO84" s="107"/>
      <c r="BP84" s="107"/>
      <c r="BQ84" s="107"/>
      <c r="BR84" s="107"/>
      <c r="BS84" s="107"/>
      <c r="BT84" s="107"/>
      <c r="BU84" s="107"/>
      <c r="BV84" s="107"/>
      <c r="BW84" s="107"/>
      <c r="BX84" s="107"/>
      <c r="BY84" s="107"/>
      <c r="BZ84" s="107"/>
      <c r="CA84" s="107"/>
      <c r="CB84" s="107"/>
      <c r="CC84" s="107"/>
      <c r="CD84" s="107"/>
      <c r="CE84" s="107"/>
      <c r="CF84" s="107"/>
      <c r="CG84" s="107"/>
      <c r="CH84" s="107"/>
      <c r="CI84" s="107"/>
      <c r="CJ84" s="107"/>
      <c r="CK84" s="107"/>
      <c r="CL84" s="107"/>
      <c r="CM84" s="107"/>
      <c r="CN84" s="107"/>
      <c r="CO84" s="107"/>
      <c r="CP84" s="107"/>
      <c r="CQ84" s="107"/>
      <c r="CR84" s="107"/>
      <c r="CS84" s="107"/>
      <c r="CT84" s="107"/>
      <c r="CU84" s="107"/>
      <c r="CV84" s="107"/>
      <c r="CW84" s="107"/>
      <c r="CX84" s="107"/>
      <c r="CY84" s="107"/>
      <c r="CZ84" s="107"/>
      <c r="DA84" s="107"/>
      <c r="DB84" s="107"/>
      <c r="DC84" s="107"/>
      <c r="DD84" s="107"/>
      <c r="DE84" s="107"/>
      <c r="DF84" s="107"/>
      <c r="DG84" s="107"/>
      <c r="DH84" s="107"/>
      <c r="DI84" s="107"/>
      <c r="DJ84" s="107"/>
      <c r="DK84" s="107"/>
      <c r="DL84" s="107"/>
      <c r="DM84" s="107"/>
    </row>
    <row r="85" spans="1:117">
      <c r="A85" s="1">
        <f t="shared" si="12"/>
        <v>83</v>
      </c>
      <c r="B85" s="2"/>
      <c r="C85" s="4">
        <v>10</v>
      </c>
      <c r="D85" s="4">
        <f t="shared" si="8"/>
        <v>1016</v>
      </c>
      <c r="E85" s="4" t="s">
        <v>120</v>
      </c>
      <c r="F85" s="4">
        <v>1</v>
      </c>
      <c r="G85" s="4" t="s">
        <v>11</v>
      </c>
      <c r="H85" s="4" t="s">
        <v>17</v>
      </c>
      <c r="I85" s="4"/>
      <c r="J85" s="5">
        <v>87.1</v>
      </c>
      <c r="K85" s="68"/>
      <c r="L85" s="99">
        <v>3.9600000000000004</v>
      </c>
      <c r="M85" s="7" t="s">
        <v>113</v>
      </c>
      <c r="N85" s="3" t="s">
        <v>205</v>
      </c>
      <c r="O85" s="74">
        <v>4.117</v>
      </c>
      <c r="P85" s="74">
        <v>3.9369999999999998</v>
      </c>
      <c r="Q85" s="74">
        <v>4.5060000000000002</v>
      </c>
      <c r="R85" s="74">
        <v>3.6960000000000002</v>
      </c>
      <c r="S85" s="76">
        <v>4.2089999999999996</v>
      </c>
      <c r="T85" s="74">
        <v>4.0289999999999999</v>
      </c>
      <c r="U85" s="74">
        <v>4.03</v>
      </c>
      <c r="V85" s="74">
        <v>4.0129999999999999</v>
      </c>
      <c r="W85" s="22">
        <v>3.91</v>
      </c>
      <c r="X85" s="77"/>
      <c r="Y85" s="74">
        <v>4.2190000000000003</v>
      </c>
      <c r="Z85" s="74">
        <v>4.2140000000000004</v>
      </c>
      <c r="AA85" s="74">
        <v>4.1219999999999999</v>
      </c>
      <c r="AB85" s="74">
        <v>3.9740000000000002</v>
      </c>
      <c r="AC85" s="74">
        <v>3.9369999999999998</v>
      </c>
      <c r="AD85" s="74">
        <v>3.9119999999999999</v>
      </c>
      <c r="AE85" s="74">
        <f t="shared" si="13"/>
        <v>3.9245000000000001</v>
      </c>
      <c r="AF85" s="107"/>
      <c r="AG85" s="107"/>
      <c r="AH85" s="107"/>
      <c r="AI85" s="107"/>
      <c r="AJ85" s="107"/>
      <c r="AK85" s="107"/>
      <c r="AL85" s="107"/>
      <c r="AM85" s="107"/>
      <c r="AN85" s="107"/>
      <c r="AO85" s="107"/>
      <c r="AP85" s="107"/>
      <c r="AQ85" s="107"/>
      <c r="AR85" s="107"/>
      <c r="AS85" s="107"/>
      <c r="AT85" s="107"/>
      <c r="AU85" s="107"/>
      <c r="AV85" s="107"/>
      <c r="AW85" s="107"/>
      <c r="AX85" s="107"/>
      <c r="AY85" s="107"/>
      <c r="AZ85" s="107"/>
      <c r="BA85" s="107"/>
      <c r="BB85" s="107"/>
      <c r="BC85" s="107"/>
      <c r="BD85" s="107"/>
      <c r="BE85" s="107"/>
      <c r="BF85" s="107"/>
      <c r="BG85" s="107"/>
      <c r="BH85" s="107"/>
      <c r="BI85" s="107"/>
      <c r="BJ85" s="107"/>
      <c r="BK85" s="107"/>
      <c r="BL85" s="107"/>
      <c r="BM85" s="107"/>
      <c r="BN85" s="107"/>
      <c r="BO85" s="107"/>
      <c r="BP85" s="107"/>
      <c r="BQ85" s="107"/>
      <c r="BR85" s="107"/>
      <c r="BS85" s="107"/>
      <c r="BT85" s="107"/>
      <c r="BU85" s="107"/>
      <c r="BV85" s="107"/>
      <c r="BW85" s="107"/>
      <c r="BX85" s="107"/>
      <c r="BY85" s="107"/>
      <c r="BZ85" s="107"/>
      <c r="CA85" s="107"/>
      <c r="CB85" s="107"/>
      <c r="CC85" s="107"/>
      <c r="CD85" s="107"/>
      <c r="CE85" s="107"/>
      <c r="CF85" s="107"/>
      <c r="CG85" s="107"/>
      <c r="CH85" s="107"/>
      <c r="CI85" s="107"/>
      <c r="CJ85" s="107"/>
      <c r="CK85" s="107"/>
      <c r="CL85" s="107"/>
      <c r="CM85" s="107"/>
      <c r="CN85" s="107"/>
      <c r="CO85" s="107"/>
      <c r="CP85" s="107"/>
      <c r="CQ85" s="107"/>
      <c r="CR85" s="107"/>
      <c r="CS85" s="107"/>
      <c r="CT85" s="107"/>
      <c r="CU85" s="107"/>
      <c r="CV85" s="107"/>
      <c r="CW85" s="107"/>
      <c r="CX85" s="107"/>
      <c r="CY85" s="107"/>
      <c r="CZ85" s="107"/>
      <c r="DA85" s="107"/>
      <c r="DB85" s="107"/>
      <c r="DC85" s="107"/>
      <c r="DD85" s="107"/>
      <c r="DE85" s="107"/>
      <c r="DF85" s="107"/>
      <c r="DG85" s="107"/>
      <c r="DH85" s="107"/>
      <c r="DI85" s="107"/>
      <c r="DJ85" s="107"/>
      <c r="DK85" s="107"/>
      <c r="DL85" s="107"/>
      <c r="DM85" s="107"/>
    </row>
    <row r="86" spans="1:117">
      <c r="A86" s="1">
        <f t="shared" si="12"/>
        <v>84</v>
      </c>
      <c r="B86" s="2"/>
      <c r="C86" s="4">
        <v>10</v>
      </c>
      <c r="D86" s="4">
        <f t="shared" si="8"/>
        <v>1016</v>
      </c>
      <c r="E86" s="4" t="s">
        <v>219</v>
      </c>
      <c r="F86" s="4">
        <v>1</v>
      </c>
      <c r="G86" s="4" t="s">
        <v>11</v>
      </c>
      <c r="H86" s="4" t="s">
        <v>12</v>
      </c>
      <c r="I86" s="4"/>
      <c r="J86" s="5">
        <v>81.3</v>
      </c>
      <c r="K86" s="68"/>
      <c r="L86" s="99">
        <v>4.3379999999999992</v>
      </c>
      <c r="M86" s="7" t="s">
        <v>113</v>
      </c>
      <c r="N86" s="3" t="s">
        <v>205</v>
      </c>
      <c r="O86" s="74">
        <v>4.5490000000000004</v>
      </c>
      <c r="P86" s="74">
        <v>4.3289999999999997</v>
      </c>
      <c r="Q86" s="74">
        <v>4.8620000000000001</v>
      </c>
      <c r="R86" s="74">
        <v>4.415</v>
      </c>
      <c r="S86" s="76">
        <v>4.7450000000000001</v>
      </c>
      <c r="T86" s="74">
        <v>4.54</v>
      </c>
      <c r="U86" s="74">
        <v>4.524</v>
      </c>
      <c r="V86" s="74">
        <v>4.45</v>
      </c>
      <c r="W86" s="22">
        <v>4.3090000000000002</v>
      </c>
      <c r="X86" s="77"/>
      <c r="Y86" s="74">
        <v>4.6150000000000002</v>
      </c>
      <c r="Z86" s="74">
        <v>4.8079999999999998</v>
      </c>
      <c r="AA86" s="74">
        <v>4.6609999999999996</v>
      </c>
      <c r="AB86" s="74">
        <v>4.3470000000000004</v>
      </c>
      <c r="AC86" s="74">
        <v>4.1239999999999997</v>
      </c>
      <c r="AD86" s="74">
        <v>4.6929999999999996</v>
      </c>
      <c r="AE86" s="74">
        <f t="shared" si="13"/>
        <v>4.4085000000000001</v>
      </c>
      <c r="AF86" s="107"/>
      <c r="AG86" s="107"/>
      <c r="AH86" s="107"/>
      <c r="AI86" s="107"/>
      <c r="AJ86" s="107"/>
      <c r="AK86" s="107"/>
      <c r="AL86" s="107"/>
      <c r="AM86" s="107"/>
      <c r="AN86" s="107"/>
      <c r="AO86" s="107"/>
      <c r="AP86" s="107"/>
      <c r="AQ86" s="107"/>
      <c r="AR86" s="107"/>
      <c r="AS86" s="107"/>
      <c r="AT86" s="107"/>
      <c r="AU86" s="107"/>
      <c r="AV86" s="107"/>
      <c r="AW86" s="107"/>
      <c r="AX86" s="107"/>
      <c r="AY86" s="107"/>
      <c r="AZ86" s="107"/>
      <c r="BA86" s="107"/>
      <c r="BB86" s="107"/>
      <c r="BC86" s="107"/>
      <c r="BD86" s="107"/>
      <c r="BE86" s="107"/>
      <c r="BF86" s="107"/>
      <c r="BG86" s="107"/>
      <c r="BH86" s="107"/>
      <c r="BI86" s="107"/>
      <c r="BJ86" s="107"/>
      <c r="BK86" s="107"/>
      <c r="BL86" s="107"/>
      <c r="BM86" s="107"/>
      <c r="BN86" s="107"/>
      <c r="BO86" s="107"/>
      <c r="BP86" s="107"/>
      <c r="BQ86" s="107"/>
      <c r="BR86" s="107"/>
      <c r="BS86" s="107"/>
      <c r="BT86" s="107"/>
      <c r="BU86" s="107"/>
      <c r="BV86" s="107"/>
      <c r="BW86" s="107"/>
      <c r="BX86" s="107"/>
      <c r="BY86" s="107"/>
      <c r="BZ86" s="107"/>
      <c r="CA86" s="107"/>
      <c r="CB86" s="107"/>
      <c r="CC86" s="107"/>
      <c r="CD86" s="107"/>
      <c r="CE86" s="107"/>
      <c r="CF86" s="107"/>
      <c r="CG86" s="107"/>
      <c r="CH86" s="107"/>
      <c r="CI86" s="107"/>
      <c r="CJ86" s="107"/>
      <c r="CK86" s="107"/>
      <c r="CL86" s="107"/>
      <c r="CM86" s="107"/>
      <c r="CN86" s="107"/>
      <c r="CO86" s="107"/>
      <c r="CP86" s="107"/>
      <c r="CQ86" s="107"/>
      <c r="CR86" s="107"/>
      <c r="CS86" s="107"/>
      <c r="CT86" s="107"/>
      <c r="CU86" s="107"/>
      <c r="CV86" s="107"/>
      <c r="CW86" s="107"/>
      <c r="CX86" s="107"/>
      <c r="CY86" s="107"/>
      <c r="CZ86" s="107"/>
      <c r="DA86" s="107"/>
      <c r="DB86" s="107"/>
      <c r="DC86" s="107"/>
      <c r="DD86" s="107"/>
      <c r="DE86" s="107"/>
      <c r="DF86" s="107"/>
      <c r="DG86" s="107"/>
      <c r="DH86" s="107"/>
      <c r="DI86" s="107"/>
      <c r="DJ86" s="107"/>
      <c r="DK86" s="107"/>
      <c r="DL86" s="107"/>
      <c r="DM86" s="107"/>
    </row>
    <row r="87" spans="1:117">
      <c r="A87" s="1">
        <f t="shared" si="12"/>
        <v>85</v>
      </c>
      <c r="B87" s="2"/>
      <c r="C87" s="4">
        <v>10</v>
      </c>
      <c r="D87" s="4">
        <f t="shared" si="8"/>
        <v>1016</v>
      </c>
      <c r="E87" s="4" t="s">
        <v>177</v>
      </c>
      <c r="F87" s="4">
        <v>3</v>
      </c>
      <c r="G87" s="4" t="s">
        <v>11</v>
      </c>
      <c r="H87" s="4" t="s">
        <v>17</v>
      </c>
      <c r="I87" s="4"/>
      <c r="J87" s="5">
        <v>97.5</v>
      </c>
      <c r="K87" s="68"/>
      <c r="L87" s="99">
        <v>1.927</v>
      </c>
      <c r="M87" s="7" t="s">
        <v>158</v>
      </c>
      <c r="N87" s="3" t="s">
        <v>205</v>
      </c>
      <c r="O87" s="74">
        <v>2.2109999999999999</v>
      </c>
      <c r="P87" s="74">
        <v>2.0139999999999998</v>
      </c>
      <c r="Q87" s="74">
        <v>2.2370000000000001</v>
      </c>
      <c r="R87" s="74">
        <v>1.667</v>
      </c>
      <c r="S87" s="76">
        <v>1.879</v>
      </c>
      <c r="T87" s="77"/>
      <c r="U87" s="77"/>
      <c r="V87" s="77"/>
      <c r="W87" s="22">
        <v>1.927</v>
      </c>
      <c r="X87" s="77"/>
      <c r="Y87" s="74">
        <v>2.137</v>
      </c>
      <c r="Z87" s="74">
        <v>2.1720000000000002</v>
      </c>
      <c r="AA87" s="74">
        <v>2.12</v>
      </c>
      <c r="AB87" s="74">
        <v>1.9610000000000001</v>
      </c>
      <c r="AC87" s="74">
        <v>1.952</v>
      </c>
      <c r="AD87" s="74">
        <v>1.641</v>
      </c>
      <c r="AE87" s="74">
        <f t="shared" si="13"/>
        <v>1.7965</v>
      </c>
      <c r="AF87" s="107"/>
      <c r="AG87" s="107"/>
      <c r="AH87" s="107"/>
      <c r="AI87" s="107"/>
      <c r="AJ87" s="107"/>
      <c r="AK87" s="107"/>
      <c r="AL87" s="107"/>
      <c r="AM87" s="107"/>
      <c r="AN87" s="107"/>
      <c r="AO87" s="107"/>
      <c r="AP87" s="107"/>
      <c r="AQ87" s="107"/>
      <c r="AR87" s="107"/>
      <c r="AS87" s="107"/>
      <c r="AT87" s="107"/>
      <c r="AU87" s="107"/>
      <c r="AV87" s="107"/>
      <c r="AW87" s="107"/>
      <c r="AX87" s="107"/>
      <c r="AY87" s="107"/>
      <c r="AZ87" s="107"/>
      <c r="BA87" s="107"/>
      <c r="BB87" s="107"/>
      <c r="BC87" s="107"/>
      <c r="BD87" s="107"/>
      <c r="BE87" s="107"/>
      <c r="BF87" s="107"/>
      <c r="BG87" s="107"/>
      <c r="BH87" s="107"/>
      <c r="BI87" s="107"/>
      <c r="BJ87" s="107"/>
      <c r="BK87" s="107"/>
      <c r="BL87" s="107"/>
      <c r="BM87" s="107"/>
      <c r="BN87" s="107"/>
      <c r="BO87" s="107"/>
      <c r="BP87" s="107"/>
      <c r="BQ87" s="107"/>
      <c r="BR87" s="107"/>
      <c r="BS87" s="107"/>
      <c r="BT87" s="107"/>
      <c r="BU87" s="107"/>
      <c r="BV87" s="107"/>
      <c r="BW87" s="107"/>
      <c r="BX87" s="107"/>
      <c r="BY87" s="107"/>
      <c r="BZ87" s="107"/>
      <c r="CA87" s="107"/>
      <c r="CB87" s="107"/>
      <c r="CC87" s="107"/>
      <c r="CD87" s="107"/>
      <c r="CE87" s="107"/>
      <c r="CF87" s="107"/>
      <c r="CG87" s="107"/>
      <c r="CH87" s="107"/>
      <c r="CI87" s="107"/>
      <c r="CJ87" s="107"/>
      <c r="CK87" s="107"/>
      <c r="CL87" s="107"/>
      <c r="CM87" s="107"/>
      <c r="CN87" s="107"/>
      <c r="CO87" s="107"/>
      <c r="CP87" s="107"/>
      <c r="CQ87" s="107"/>
      <c r="CR87" s="107"/>
      <c r="CS87" s="107"/>
      <c r="CT87" s="107"/>
      <c r="CU87" s="107"/>
      <c r="CV87" s="107"/>
      <c r="CW87" s="107"/>
      <c r="CX87" s="107"/>
      <c r="CY87" s="107"/>
      <c r="CZ87" s="107"/>
      <c r="DA87" s="107"/>
      <c r="DB87" s="107"/>
      <c r="DC87" s="107"/>
      <c r="DD87" s="107"/>
      <c r="DE87" s="107"/>
      <c r="DF87" s="107"/>
      <c r="DG87" s="107"/>
      <c r="DH87" s="107"/>
      <c r="DI87" s="107"/>
      <c r="DJ87" s="107"/>
      <c r="DK87" s="107"/>
      <c r="DL87" s="107"/>
      <c r="DM87" s="107"/>
    </row>
    <row r="88" spans="1:117">
      <c r="A88" s="1">
        <f t="shared" si="12"/>
        <v>86</v>
      </c>
      <c r="B88" s="2"/>
      <c r="C88" s="4">
        <v>10</v>
      </c>
      <c r="D88" s="4">
        <f t="shared" si="8"/>
        <v>1016</v>
      </c>
      <c r="E88" s="4" t="s">
        <v>169</v>
      </c>
      <c r="F88" s="4">
        <v>3</v>
      </c>
      <c r="G88" s="4" t="s">
        <v>11</v>
      </c>
      <c r="H88" s="4" t="s">
        <v>17</v>
      </c>
      <c r="I88" s="4"/>
      <c r="J88" s="5">
        <v>97.3</v>
      </c>
      <c r="K88" s="68"/>
      <c r="L88" s="99">
        <v>3.7429999999999999</v>
      </c>
      <c r="M88" s="7" t="s">
        <v>158</v>
      </c>
      <c r="N88" s="3"/>
      <c r="O88" s="74">
        <v>4.0979999999999999</v>
      </c>
      <c r="P88" s="74">
        <v>3.8450000000000002</v>
      </c>
      <c r="Q88" s="74">
        <v>4.01</v>
      </c>
      <c r="R88" s="74">
        <v>3.5529999999999999</v>
      </c>
      <c r="S88" s="76">
        <v>3.758</v>
      </c>
      <c r="T88" s="78"/>
      <c r="U88" s="78"/>
      <c r="V88" s="78"/>
      <c r="W88" s="22">
        <v>3.7429999999999999</v>
      </c>
      <c r="X88" s="77"/>
      <c r="Y88" s="74">
        <v>3.9809999999999999</v>
      </c>
      <c r="Z88" s="74">
        <v>4.0229999999999997</v>
      </c>
      <c r="AA88" s="74">
        <v>3.972</v>
      </c>
      <c r="AB88" s="74">
        <v>3.8109999999999999</v>
      </c>
      <c r="AC88" s="74">
        <v>3.7869999999999999</v>
      </c>
      <c r="AD88" s="74">
        <v>3.4860000000000002</v>
      </c>
      <c r="AE88" s="74">
        <f t="shared" si="13"/>
        <v>3.6364999999999998</v>
      </c>
      <c r="AF88" s="107"/>
      <c r="AG88" s="107"/>
      <c r="AH88" s="107"/>
      <c r="AI88" s="107"/>
      <c r="AJ88" s="107"/>
      <c r="AK88" s="107"/>
      <c r="AL88" s="107"/>
      <c r="AM88" s="107"/>
      <c r="AN88" s="107"/>
      <c r="AO88" s="107"/>
      <c r="AP88" s="107"/>
      <c r="AQ88" s="107"/>
      <c r="AR88" s="107"/>
      <c r="AS88" s="107"/>
      <c r="AT88" s="107"/>
      <c r="AU88" s="107"/>
      <c r="AV88" s="107"/>
      <c r="AW88" s="107"/>
      <c r="AX88" s="107"/>
      <c r="AY88" s="107"/>
      <c r="AZ88" s="107"/>
      <c r="BA88" s="107"/>
      <c r="BB88" s="107"/>
      <c r="BC88" s="107"/>
      <c r="BD88" s="107"/>
      <c r="BE88" s="107"/>
      <c r="BF88" s="107"/>
      <c r="BG88" s="107"/>
      <c r="BH88" s="107"/>
      <c r="BI88" s="107"/>
      <c r="BJ88" s="107"/>
      <c r="BK88" s="107"/>
      <c r="BL88" s="107"/>
      <c r="BM88" s="107"/>
      <c r="BN88" s="107"/>
      <c r="BO88" s="107"/>
      <c r="BP88" s="107"/>
      <c r="BQ88" s="107"/>
      <c r="BR88" s="107"/>
      <c r="BS88" s="107"/>
      <c r="BT88" s="107"/>
      <c r="BU88" s="107"/>
      <c r="BV88" s="107"/>
      <c r="BW88" s="107"/>
      <c r="BX88" s="107"/>
      <c r="BY88" s="107"/>
      <c r="BZ88" s="107"/>
      <c r="CA88" s="107"/>
      <c r="CB88" s="107"/>
      <c r="CC88" s="107"/>
      <c r="CD88" s="107"/>
      <c r="CE88" s="107"/>
      <c r="CF88" s="107"/>
      <c r="CG88" s="107"/>
      <c r="CH88" s="107"/>
      <c r="CI88" s="107"/>
      <c r="CJ88" s="107"/>
      <c r="CK88" s="107"/>
      <c r="CL88" s="107"/>
      <c r="CM88" s="107"/>
      <c r="CN88" s="107"/>
      <c r="CO88" s="107"/>
      <c r="CP88" s="107"/>
      <c r="CQ88" s="107"/>
      <c r="CR88" s="107"/>
      <c r="CS88" s="107"/>
      <c r="CT88" s="107"/>
      <c r="CU88" s="107"/>
      <c r="CV88" s="107"/>
      <c r="CW88" s="107"/>
      <c r="CX88" s="107"/>
      <c r="CY88" s="107"/>
      <c r="CZ88" s="107"/>
      <c r="DA88" s="107"/>
      <c r="DB88" s="107"/>
      <c r="DC88" s="107"/>
      <c r="DD88" s="107"/>
      <c r="DE88" s="107"/>
      <c r="DF88" s="107"/>
      <c r="DG88" s="107"/>
      <c r="DH88" s="107"/>
      <c r="DI88" s="107"/>
      <c r="DJ88" s="107"/>
      <c r="DK88" s="107"/>
      <c r="DL88" s="107"/>
      <c r="DM88" s="107"/>
    </row>
    <row r="89" spans="1:117">
      <c r="A89" s="1">
        <f t="shared" si="12"/>
        <v>87</v>
      </c>
      <c r="B89" s="2"/>
      <c r="C89" s="4">
        <v>10</v>
      </c>
      <c r="D89" s="4">
        <f t="shared" si="8"/>
        <v>1016</v>
      </c>
      <c r="E89" s="4" t="s">
        <v>149</v>
      </c>
      <c r="F89" s="4">
        <v>3</v>
      </c>
      <c r="G89" s="4" t="s">
        <v>11</v>
      </c>
      <c r="H89" s="4" t="s">
        <v>12</v>
      </c>
      <c r="I89" s="4"/>
      <c r="J89" s="5">
        <v>94.9</v>
      </c>
      <c r="K89" s="68"/>
      <c r="L89" s="99">
        <v>3.7810000000000001</v>
      </c>
      <c r="M89" s="7" t="s">
        <v>158</v>
      </c>
      <c r="N89" s="3"/>
      <c r="O89" s="74">
        <v>3.9820000000000002</v>
      </c>
      <c r="P89" s="74">
        <v>3.69</v>
      </c>
      <c r="Q89" s="74">
        <v>4.2670000000000003</v>
      </c>
      <c r="R89" s="74">
        <v>3.839</v>
      </c>
      <c r="S89" s="76">
        <v>4.109</v>
      </c>
      <c r="T89" s="78"/>
      <c r="U89" s="78"/>
      <c r="V89" s="78"/>
      <c r="W89" s="22">
        <v>3.7810000000000001</v>
      </c>
      <c r="X89" s="77"/>
      <c r="Y89" s="74">
        <v>4.1150000000000002</v>
      </c>
      <c r="Z89" s="74">
        <v>4.2649999999999997</v>
      </c>
      <c r="AA89" s="74">
        <v>4.0810000000000004</v>
      </c>
      <c r="AB89" s="74">
        <v>3.86</v>
      </c>
      <c r="AC89" s="74">
        <v>3.5369999999999999</v>
      </c>
      <c r="AD89" s="74">
        <v>4.1040000000000001</v>
      </c>
      <c r="AE89" s="74">
        <f t="shared" si="13"/>
        <v>3.8205</v>
      </c>
      <c r="AF89" s="107"/>
      <c r="AG89" s="107"/>
      <c r="AH89" s="107"/>
      <c r="AI89" s="107"/>
      <c r="AJ89" s="107"/>
      <c r="AK89" s="107"/>
      <c r="AL89" s="107"/>
      <c r="AM89" s="107"/>
      <c r="AN89" s="107"/>
      <c r="AO89" s="107"/>
      <c r="AP89" s="107"/>
      <c r="AQ89" s="107"/>
      <c r="AR89" s="107"/>
      <c r="AS89" s="107"/>
      <c r="AT89" s="107"/>
      <c r="AU89" s="107"/>
      <c r="AV89" s="107"/>
      <c r="AW89" s="107"/>
      <c r="AX89" s="107"/>
      <c r="AY89" s="107"/>
      <c r="AZ89" s="107"/>
      <c r="BA89" s="107"/>
      <c r="BB89" s="107"/>
      <c r="BC89" s="107"/>
      <c r="BD89" s="107"/>
      <c r="BE89" s="107"/>
      <c r="BF89" s="107"/>
      <c r="BG89" s="107"/>
      <c r="BH89" s="107"/>
      <c r="BI89" s="107"/>
      <c r="BJ89" s="107"/>
      <c r="BK89" s="107"/>
      <c r="BL89" s="107"/>
      <c r="BM89" s="107"/>
      <c r="BN89" s="107"/>
      <c r="BO89" s="107"/>
      <c r="BP89" s="107"/>
      <c r="BQ89" s="107"/>
      <c r="BR89" s="107"/>
      <c r="BS89" s="107"/>
      <c r="BT89" s="107"/>
      <c r="BU89" s="107"/>
      <c r="BV89" s="107"/>
      <c r="BW89" s="107"/>
      <c r="BX89" s="107"/>
      <c r="BY89" s="107"/>
      <c r="BZ89" s="107"/>
      <c r="CA89" s="107"/>
      <c r="CB89" s="107"/>
      <c r="CC89" s="107"/>
      <c r="CD89" s="107"/>
      <c r="CE89" s="107"/>
      <c r="CF89" s="107"/>
      <c r="CG89" s="107"/>
      <c r="CH89" s="107"/>
      <c r="CI89" s="107"/>
      <c r="CJ89" s="107"/>
      <c r="CK89" s="107"/>
      <c r="CL89" s="107"/>
      <c r="CM89" s="107"/>
      <c r="CN89" s="107"/>
      <c r="CO89" s="107"/>
      <c r="CP89" s="107"/>
      <c r="CQ89" s="107"/>
      <c r="CR89" s="107"/>
      <c r="CS89" s="107"/>
      <c r="CT89" s="107"/>
      <c r="CU89" s="107"/>
      <c r="CV89" s="107"/>
      <c r="CW89" s="107"/>
      <c r="CX89" s="107"/>
      <c r="CY89" s="107"/>
      <c r="CZ89" s="107"/>
      <c r="DA89" s="107"/>
      <c r="DB89" s="107"/>
      <c r="DC89" s="107"/>
      <c r="DD89" s="107"/>
      <c r="DE89" s="107"/>
      <c r="DF89" s="107"/>
      <c r="DG89" s="107"/>
      <c r="DH89" s="107"/>
      <c r="DI89" s="107"/>
      <c r="DJ89" s="107"/>
      <c r="DK89" s="107"/>
      <c r="DL89" s="107"/>
      <c r="DM89" s="107"/>
    </row>
    <row r="90" spans="1:117">
      <c r="A90" s="1">
        <f t="shared" si="12"/>
        <v>88</v>
      </c>
      <c r="B90" s="2"/>
      <c r="C90" s="4">
        <v>10</v>
      </c>
      <c r="D90" s="4">
        <f t="shared" si="8"/>
        <v>1016</v>
      </c>
      <c r="E90" s="4" t="s">
        <v>221</v>
      </c>
      <c r="F90" s="4">
        <v>3</v>
      </c>
      <c r="G90" s="4" t="s">
        <v>11</v>
      </c>
      <c r="H90" s="4" t="s">
        <v>12</v>
      </c>
      <c r="I90" s="4"/>
      <c r="J90" s="5">
        <v>94.5</v>
      </c>
      <c r="K90" s="68"/>
      <c r="L90" s="99">
        <v>4.226</v>
      </c>
      <c r="M90" s="7" t="s">
        <v>158</v>
      </c>
      <c r="N90" s="3"/>
      <c r="O90" s="74">
        <v>4.452</v>
      </c>
      <c r="P90" s="74">
        <v>4.1909999999999998</v>
      </c>
      <c r="Q90" s="74">
        <v>4.6740000000000004</v>
      </c>
      <c r="R90" s="74">
        <v>4.3</v>
      </c>
      <c r="S90" s="79">
        <v>4.5449999999999999</v>
      </c>
      <c r="T90" s="78"/>
      <c r="U90" s="78"/>
      <c r="V90" s="78"/>
      <c r="W90" s="1">
        <v>4.226</v>
      </c>
      <c r="X90" s="77"/>
      <c r="Y90" s="74">
        <v>4.5119999999999996</v>
      </c>
      <c r="Z90" s="74">
        <v>4.694</v>
      </c>
      <c r="AA90" s="74">
        <v>4.5359999999999996</v>
      </c>
      <c r="AB90" s="74">
        <v>4.2610000000000001</v>
      </c>
      <c r="AC90" s="74">
        <v>3.992</v>
      </c>
      <c r="AD90" s="74">
        <v>4.5439999999999996</v>
      </c>
      <c r="AE90" s="74">
        <f t="shared" si="13"/>
        <v>4.2679999999999998</v>
      </c>
      <c r="AF90" s="107"/>
      <c r="AG90" s="107"/>
      <c r="AH90" s="107"/>
      <c r="AI90" s="107"/>
      <c r="AJ90" s="107"/>
      <c r="AK90" s="107"/>
      <c r="AL90" s="107"/>
      <c r="AM90" s="107"/>
      <c r="AN90" s="107"/>
      <c r="AO90" s="107"/>
      <c r="AP90" s="107"/>
      <c r="AQ90" s="107"/>
      <c r="AR90" s="107"/>
      <c r="AS90" s="107"/>
      <c r="AT90" s="107"/>
      <c r="AU90" s="107"/>
      <c r="AV90" s="107"/>
      <c r="AW90" s="107"/>
      <c r="AX90" s="107"/>
      <c r="AY90" s="107"/>
      <c r="AZ90" s="107"/>
      <c r="BA90" s="107"/>
      <c r="BB90" s="107"/>
      <c r="BC90" s="107"/>
      <c r="BD90" s="107"/>
      <c r="BE90" s="107"/>
      <c r="BF90" s="107"/>
      <c r="BG90" s="107"/>
      <c r="BH90" s="107"/>
      <c r="BI90" s="107"/>
      <c r="BJ90" s="107"/>
      <c r="BK90" s="107"/>
      <c r="BL90" s="107"/>
      <c r="BM90" s="107"/>
      <c r="BN90" s="107"/>
      <c r="BO90" s="107"/>
      <c r="BP90" s="107"/>
      <c r="BQ90" s="107"/>
      <c r="BR90" s="107"/>
      <c r="BS90" s="107"/>
      <c r="BT90" s="107"/>
      <c r="BU90" s="107"/>
      <c r="BV90" s="107"/>
      <c r="BW90" s="107"/>
      <c r="BX90" s="107"/>
      <c r="BY90" s="107"/>
      <c r="BZ90" s="107"/>
      <c r="CA90" s="107"/>
      <c r="CB90" s="107"/>
      <c r="CC90" s="107"/>
      <c r="CD90" s="107"/>
      <c r="CE90" s="107"/>
      <c r="CF90" s="107"/>
      <c r="CG90" s="107"/>
      <c r="CH90" s="107"/>
      <c r="CI90" s="107"/>
      <c r="CJ90" s="107"/>
      <c r="CK90" s="107"/>
      <c r="CL90" s="107"/>
      <c r="CM90" s="107"/>
      <c r="CN90" s="107"/>
      <c r="CO90" s="107"/>
      <c r="CP90" s="107"/>
      <c r="CQ90" s="107"/>
      <c r="CR90" s="107"/>
      <c r="CS90" s="107"/>
      <c r="CT90" s="107"/>
      <c r="CU90" s="107"/>
      <c r="CV90" s="107"/>
      <c r="CW90" s="107"/>
      <c r="CX90" s="107"/>
      <c r="CY90" s="107"/>
      <c r="CZ90" s="107"/>
      <c r="DA90" s="107"/>
      <c r="DB90" s="107"/>
      <c r="DC90" s="107"/>
      <c r="DD90" s="107"/>
      <c r="DE90" s="107"/>
      <c r="DF90" s="107"/>
      <c r="DG90" s="107"/>
      <c r="DH90" s="107"/>
      <c r="DI90" s="107"/>
      <c r="DJ90" s="107"/>
      <c r="DK90" s="107"/>
      <c r="DL90" s="107"/>
      <c r="DM90" s="107"/>
    </row>
    <row r="91" spans="1:117">
      <c r="A91" s="1">
        <f t="shared" si="12"/>
        <v>89</v>
      </c>
      <c r="B91" s="2" t="s">
        <v>379</v>
      </c>
      <c r="C91" s="4">
        <v>13</v>
      </c>
      <c r="D91" s="4">
        <f t="shared" si="8"/>
        <v>1016</v>
      </c>
      <c r="E91" s="4" t="s">
        <v>302</v>
      </c>
      <c r="F91" s="4">
        <v>1</v>
      </c>
      <c r="G91" s="4" t="s">
        <v>11</v>
      </c>
      <c r="H91" s="4" t="s">
        <v>17</v>
      </c>
      <c r="I91" s="4"/>
      <c r="J91" s="5">
        <v>86.3</v>
      </c>
      <c r="K91" s="68"/>
      <c r="L91" s="99">
        <v>2.7169999999999996</v>
      </c>
      <c r="M91" s="7" t="s">
        <v>113</v>
      </c>
      <c r="N91" s="3" t="s">
        <v>205</v>
      </c>
      <c r="O91" s="6">
        <v>2.6589999999999998</v>
      </c>
      <c r="P91" s="6">
        <v>2.7669999999999999</v>
      </c>
      <c r="Q91" s="6">
        <v>3.3759999999999999</v>
      </c>
      <c r="R91" s="54"/>
      <c r="S91" s="6">
        <v>2.9529999999999998</v>
      </c>
      <c r="T91" s="6">
        <v>2.82</v>
      </c>
      <c r="U91" s="6">
        <v>2.8340000000000001</v>
      </c>
      <c r="V91" s="6">
        <v>2.7989999999999999</v>
      </c>
      <c r="W91" s="6">
        <v>2.7080000000000002</v>
      </c>
      <c r="X91" s="54"/>
      <c r="Y91" s="6">
        <v>2.8929999999999998</v>
      </c>
      <c r="Z91" s="6">
        <v>2.9329999999999998</v>
      </c>
      <c r="AA91" s="6">
        <v>2.9929999999999999</v>
      </c>
      <c r="AB91" s="6">
        <v>2.6280000000000001</v>
      </c>
      <c r="AC91" s="6">
        <v>2.6749999999999998</v>
      </c>
      <c r="AD91" s="6">
        <v>2.82</v>
      </c>
      <c r="AE91" s="22">
        <f t="shared" ref="AE91:AE98" si="14">AVERAGE(AC91:AD91)</f>
        <v>2.7474999999999996</v>
      </c>
      <c r="AF91" s="103">
        <v>2.9</v>
      </c>
      <c r="AG91" s="103">
        <v>2.8959999999999999</v>
      </c>
      <c r="AH91" s="103">
        <v>2.923</v>
      </c>
      <c r="AI91" s="103">
        <v>3.0219999999999998</v>
      </c>
      <c r="AJ91" s="103">
        <v>3.206</v>
      </c>
      <c r="AK91" s="103">
        <v>3.008</v>
      </c>
      <c r="AL91" s="103">
        <v>3.032</v>
      </c>
      <c r="AM91" s="103">
        <v>3.2709999999999999</v>
      </c>
      <c r="AN91" s="103">
        <v>3.1070000000000002</v>
      </c>
      <c r="AO91" s="103">
        <v>2.9780000000000002</v>
      </c>
      <c r="AP91" s="103">
        <v>3.153</v>
      </c>
      <c r="AQ91" s="103">
        <v>3.17</v>
      </c>
      <c r="AR91" s="103">
        <v>3.2069999999999999</v>
      </c>
      <c r="AS91" s="103">
        <v>3.1739999999999999</v>
      </c>
      <c r="AT91" s="103">
        <v>3.1619999999999999</v>
      </c>
      <c r="AU91" s="103">
        <v>3.141</v>
      </c>
      <c r="AV91" s="103">
        <v>2.871</v>
      </c>
      <c r="AW91" s="103">
        <v>3.008</v>
      </c>
      <c r="AX91" s="103">
        <v>3.427</v>
      </c>
      <c r="AY91" s="103">
        <v>3.1640000000000001</v>
      </c>
      <c r="AZ91" s="103">
        <v>3.2290000000000001</v>
      </c>
      <c r="BA91" s="103">
        <v>3.2789999999999999</v>
      </c>
      <c r="BB91" s="103">
        <v>3.3439999999999999</v>
      </c>
      <c r="BC91" s="103">
        <v>3.2890000000000001</v>
      </c>
      <c r="BD91" s="103">
        <v>3.254</v>
      </c>
      <c r="BE91" s="103">
        <v>2.7629999999999999</v>
      </c>
      <c r="BF91" s="103">
        <v>3.0870000000000002</v>
      </c>
      <c r="BG91" s="103">
        <v>3.0019999999999998</v>
      </c>
      <c r="BH91" s="103">
        <v>3.121</v>
      </c>
      <c r="BI91" s="103">
        <v>3.4209999999999998</v>
      </c>
      <c r="BJ91" s="103">
        <v>3.2189999999999999</v>
      </c>
      <c r="BK91" s="103">
        <v>1.865</v>
      </c>
      <c r="BL91" s="103">
        <v>2.7530000000000001</v>
      </c>
      <c r="BM91" s="103">
        <v>2.6629999999999998</v>
      </c>
      <c r="BN91" s="103">
        <v>3.1360000000000001</v>
      </c>
      <c r="BO91" s="103">
        <v>3.004</v>
      </c>
      <c r="BP91" s="103">
        <v>3.097</v>
      </c>
      <c r="BQ91" s="87">
        <v>2.4075639999999998</v>
      </c>
      <c r="BR91" s="87">
        <v>2.6788530000000002</v>
      </c>
      <c r="BS91" s="87">
        <v>3.3544269999999998</v>
      </c>
      <c r="BT91" s="87">
        <v>2.7808549999999999</v>
      </c>
      <c r="BU91" s="87">
        <v>2.7826390000000001</v>
      </c>
      <c r="BV91" s="87">
        <v>3.2279800000000001</v>
      </c>
      <c r="BW91" s="105">
        <v>2.927</v>
      </c>
      <c r="BX91" s="105">
        <v>2.9220000000000002</v>
      </c>
      <c r="BY91" s="105">
        <v>2.95</v>
      </c>
      <c r="BZ91" s="105">
        <v>3.0510000000000002</v>
      </c>
      <c r="CA91" s="105">
        <v>3.2370000000000001</v>
      </c>
      <c r="CB91" s="105">
        <v>3.04</v>
      </c>
      <c r="CC91" s="105">
        <v>3.0649999999999999</v>
      </c>
      <c r="CD91" s="105">
        <v>3.3079999999999998</v>
      </c>
      <c r="CE91" s="105">
        <v>3.1549999999999998</v>
      </c>
      <c r="CF91" s="105">
        <v>3.0169999999999999</v>
      </c>
      <c r="CG91" s="105">
        <v>3.198</v>
      </c>
      <c r="CH91" s="105">
        <v>3.214</v>
      </c>
      <c r="CI91" s="105">
        <v>3.2509999999999999</v>
      </c>
      <c r="CJ91" s="105">
        <v>3.206</v>
      </c>
      <c r="CK91" s="105">
        <v>3.1930000000000001</v>
      </c>
      <c r="CL91" s="105">
        <v>3.1840000000000002</v>
      </c>
      <c r="CM91" s="105">
        <v>2.9009999999999998</v>
      </c>
      <c r="CN91" s="105">
        <v>3.04</v>
      </c>
      <c r="CO91" s="105">
        <v>3.5070000000000001</v>
      </c>
      <c r="CP91" s="105">
        <v>3.2069999999999999</v>
      </c>
      <c r="CQ91" s="105">
        <v>3.2829999999999999</v>
      </c>
      <c r="CR91" s="105">
        <v>3.3370000000000002</v>
      </c>
      <c r="CS91" s="105">
        <v>3.4159999999999999</v>
      </c>
      <c r="CT91" s="105">
        <v>3.3620000000000001</v>
      </c>
      <c r="CU91" s="105">
        <v>3.3119999999999998</v>
      </c>
      <c r="CV91" s="105">
        <v>2.794</v>
      </c>
      <c r="CW91" s="105">
        <v>3.1219999999999999</v>
      </c>
      <c r="CX91" s="105">
        <v>3.0590000000000002</v>
      </c>
      <c r="CY91" s="105">
        <v>3.1989999999999998</v>
      </c>
      <c r="CZ91" s="105">
        <v>3.5</v>
      </c>
      <c r="DA91" s="105">
        <v>3.3069999999999999</v>
      </c>
      <c r="DB91" s="105">
        <v>1.958</v>
      </c>
      <c r="DC91" s="105">
        <v>2.8530000000000002</v>
      </c>
      <c r="DD91" s="105">
        <v>2.7730000000000001</v>
      </c>
      <c r="DE91" s="105">
        <v>3.1680000000000001</v>
      </c>
      <c r="DF91" s="105">
        <v>3.0329999999999999</v>
      </c>
      <c r="DG91" s="105">
        <v>3.13</v>
      </c>
      <c r="DH91" s="115">
        <v>2.443711</v>
      </c>
      <c r="DI91" s="115">
        <v>2.7164229999999998</v>
      </c>
      <c r="DJ91" s="115">
        <v>3.3887659999999999</v>
      </c>
      <c r="DK91" s="115">
        <v>2.8205580000000001</v>
      </c>
      <c r="DL91" s="115">
        <v>2.8215349999999999</v>
      </c>
      <c r="DM91" s="115">
        <v>3.261212</v>
      </c>
    </row>
    <row r="92" spans="1:117">
      <c r="A92" s="1">
        <f t="shared" si="12"/>
        <v>90</v>
      </c>
      <c r="B92" s="2"/>
      <c r="C92" s="4">
        <v>13</v>
      </c>
      <c r="D92" s="4">
        <f t="shared" si="8"/>
        <v>1016</v>
      </c>
      <c r="E92" s="4" t="s">
        <v>377</v>
      </c>
      <c r="F92" s="4">
        <v>1</v>
      </c>
      <c r="G92" s="4" t="s">
        <v>11</v>
      </c>
      <c r="H92" s="4" t="s">
        <v>12</v>
      </c>
      <c r="I92" s="4"/>
      <c r="J92" s="5">
        <v>85.9</v>
      </c>
      <c r="K92" s="68"/>
      <c r="L92" s="99">
        <v>3.9990000000000006</v>
      </c>
      <c r="M92" s="7" t="s">
        <v>113</v>
      </c>
      <c r="N92" s="3" t="s">
        <v>205</v>
      </c>
      <c r="O92" s="6">
        <v>3.9670000000000001</v>
      </c>
      <c r="P92" s="6">
        <v>3.8180000000000001</v>
      </c>
      <c r="Q92" s="6">
        <v>4.508</v>
      </c>
      <c r="R92" s="54"/>
      <c r="S92" s="6">
        <v>4.3330000000000002</v>
      </c>
      <c r="T92" s="6">
        <v>4.1180000000000003</v>
      </c>
      <c r="U92" s="6">
        <v>4.1100000000000003</v>
      </c>
      <c r="V92" s="6">
        <v>4.1180000000000003</v>
      </c>
      <c r="W92" s="6">
        <v>3.9580000000000002</v>
      </c>
      <c r="X92" s="54"/>
      <c r="Y92" s="6">
        <v>4.2380000000000004</v>
      </c>
      <c r="Z92" s="6">
        <v>4.3140000000000001</v>
      </c>
      <c r="AA92" s="6">
        <v>4.1639999999999997</v>
      </c>
      <c r="AB92" s="6">
        <v>3.9649999999999999</v>
      </c>
      <c r="AC92" s="6">
        <v>3.74</v>
      </c>
      <c r="AD92" s="6">
        <v>4.524</v>
      </c>
      <c r="AE92" s="22">
        <f t="shared" si="14"/>
        <v>4.1319999999999997</v>
      </c>
      <c r="AF92" s="103">
        <v>3.5310000000000001</v>
      </c>
      <c r="AG92" s="103">
        <v>3.5750000000000002</v>
      </c>
      <c r="AH92" s="103">
        <v>3.7349999999999999</v>
      </c>
      <c r="AI92" s="103">
        <v>3.8969999999999998</v>
      </c>
      <c r="AJ92" s="103">
        <v>4.17</v>
      </c>
      <c r="AK92" s="103">
        <v>3.7629999999999999</v>
      </c>
      <c r="AL92" s="103">
        <v>3.7839999999999998</v>
      </c>
      <c r="AM92" s="103">
        <v>4.4740000000000002</v>
      </c>
      <c r="AN92" s="103">
        <v>4.234</v>
      </c>
      <c r="AO92" s="103">
        <v>4.0449999999999999</v>
      </c>
      <c r="AP92" s="103">
        <v>4.4400000000000004</v>
      </c>
      <c r="AQ92" s="103">
        <v>4.3659999999999997</v>
      </c>
      <c r="AR92" s="103">
        <v>4.4530000000000003</v>
      </c>
      <c r="AS92" s="103">
        <v>4.1459999999999999</v>
      </c>
      <c r="AT92" s="103">
        <v>4.1369999999999996</v>
      </c>
      <c r="AU92" s="103">
        <v>4.2329999999999997</v>
      </c>
      <c r="AV92" s="103">
        <v>3.5569999999999999</v>
      </c>
      <c r="AW92" s="103">
        <v>3.952</v>
      </c>
      <c r="AX92" s="103">
        <v>4.8410000000000002</v>
      </c>
      <c r="AY92" s="103">
        <v>4.2119999999999997</v>
      </c>
      <c r="AZ92" s="103">
        <v>4.3789999999999996</v>
      </c>
      <c r="BA92" s="103">
        <v>4.4089999999999998</v>
      </c>
      <c r="BB92" s="103">
        <v>4.492</v>
      </c>
      <c r="BC92" s="103">
        <v>4.4119999999999999</v>
      </c>
      <c r="BD92" s="103">
        <v>4.37</v>
      </c>
      <c r="BE92" s="103">
        <v>3.766</v>
      </c>
      <c r="BF92" s="103">
        <v>4.2149999999999999</v>
      </c>
      <c r="BG92" s="103">
        <v>4.258</v>
      </c>
      <c r="BH92" s="103">
        <v>4.399</v>
      </c>
      <c r="BI92" s="103">
        <v>4.7850000000000001</v>
      </c>
      <c r="BJ92" s="103">
        <v>4.5910000000000002</v>
      </c>
      <c r="BK92" s="103">
        <v>2.6019999999999999</v>
      </c>
      <c r="BL92" s="103">
        <v>4.077</v>
      </c>
      <c r="BM92" s="103">
        <v>4.0339999999999998</v>
      </c>
      <c r="BN92" s="103">
        <v>4.2039999999999997</v>
      </c>
      <c r="BO92" s="103">
        <v>3.948</v>
      </c>
      <c r="BP92" s="103">
        <v>4.2720000000000002</v>
      </c>
      <c r="BQ92" s="87">
        <v>3.4261689999999998</v>
      </c>
      <c r="BR92" s="87">
        <v>3.8387009999999999</v>
      </c>
      <c r="BS92" s="87">
        <v>4.7389510000000001</v>
      </c>
      <c r="BT92" s="87">
        <v>4.0245990000000003</v>
      </c>
      <c r="BU92" s="87">
        <v>4.0143079999999998</v>
      </c>
      <c r="BV92" s="87">
        <v>4.5098900000000004</v>
      </c>
      <c r="BW92" s="105">
        <v>3.5350000000000001</v>
      </c>
      <c r="BX92" s="105">
        <v>3.58</v>
      </c>
      <c r="BY92" s="105">
        <v>3.742</v>
      </c>
      <c r="BZ92" s="105">
        <v>3.9049999999999998</v>
      </c>
      <c r="CA92" s="105">
        <v>4.1829999999999998</v>
      </c>
      <c r="CB92" s="105">
        <v>3.7730000000000001</v>
      </c>
      <c r="CC92" s="105">
        <v>3.7949999999999999</v>
      </c>
      <c r="CD92" s="105">
        <v>4.49</v>
      </c>
      <c r="CE92" s="105">
        <v>4.2519999999999998</v>
      </c>
      <c r="CF92" s="105">
        <v>4.0650000000000004</v>
      </c>
      <c r="CG92" s="105">
        <v>4.468</v>
      </c>
      <c r="CH92" s="105">
        <v>4.3940000000000001</v>
      </c>
      <c r="CI92" s="105">
        <v>4.47</v>
      </c>
      <c r="CJ92" s="105">
        <v>4.1580000000000004</v>
      </c>
      <c r="CK92" s="105">
        <v>4.149</v>
      </c>
      <c r="CL92" s="105">
        <v>4.2469999999999999</v>
      </c>
      <c r="CM92" s="105">
        <v>3.5630000000000002</v>
      </c>
      <c r="CN92" s="105">
        <v>3.9609999999999999</v>
      </c>
      <c r="CO92" s="105">
        <v>4.8710000000000004</v>
      </c>
      <c r="CP92" s="105">
        <v>4.2249999999999996</v>
      </c>
      <c r="CQ92" s="105">
        <v>4.3970000000000002</v>
      </c>
      <c r="CR92" s="105">
        <v>4.4279999999999999</v>
      </c>
      <c r="CS92" s="105">
        <v>4.5140000000000002</v>
      </c>
      <c r="CT92" s="105">
        <v>4.4340000000000002</v>
      </c>
      <c r="CU92" s="105">
        <v>4.4029999999999996</v>
      </c>
      <c r="CV92" s="105">
        <v>3.774</v>
      </c>
      <c r="CW92" s="105">
        <v>4.2300000000000004</v>
      </c>
      <c r="CX92" s="105">
        <v>4.2770000000000001</v>
      </c>
      <c r="CY92" s="105">
        <v>4.4240000000000004</v>
      </c>
      <c r="CZ92" s="105">
        <v>4.8179999999999996</v>
      </c>
      <c r="DA92" s="105">
        <v>4.6210000000000004</v>
      </c>
      <c r="DB92" s="105">
        <v>2.593</v>
      </c>
      <c r="DC92" s="105">
        <v>4.0970000000000004</v>
      </c>
      <c r="DD92" s="105">
        <v>4.0529999999999999</v>
      </c>
      <c r="DE92" s="105">
        <v>4.2140000000000004</v>
      </c>
      <c r="DF92" s="105">
        <v>3.9550000000000001</v>
      </c>
      <c r="DG92" s="105">
        <v>4.282</v>
      </c>
      <c r="DH92" s="115">
        <v>3.4370440000000002</v>
      </c>
      <c r="DI92" s="115">
        <v>3.8504809999999998</v>
      </c>
      <c r="DJ92" s="115">
        <v>4.7500359999999997</v>
      </c>
      <c r="DK92" s="115">
        <v>4.0381070000000001</v>
      </c>
      <c r="DL92" s="115">
        <v>4.0269870000000001</v>
      </c>
      <c r="DM92" s="115">
        <v>4.5199809999999996</v>
      </c>
    </row>
    <row r="93" spans="1:117">
      <c r="A93" s="1">
        <f t="shared" si="12"/>
        <v>91</v>
      </c>
      <c r="B93" s="2"/>
      <c r="C93" s="4">
        <v>13</v>
      </c>
      <c r="D93" s="4">
        <f t="shared" si="8"/>
        <v>1016</v>
      </c>
      <c r="E93" s="4" t="s">
        <v>375</v>
      </c>
      <c r="F93" s="4">
        <v>1</v>
      </c>
      <c r="G93" s="4" t="s">
        <v>11</v>
      </c>
      <c r="H93" s="4" t="s">
        <v>12</v>
      </c>
      <c r="I93" s="4"/>
      <c r="J93" s="5">
        <v>86.7</v>
      </c>
      <c r="K93" s="68"/>
      <c r="L93" s="99">
        <v>4.1079999999999997</v>
      </c>
      <c r="M93" s="7" t="s">
        <v>113</v>
      </c>
      <c r="N93" s="3" t="s">
        <v>205</v>
      </c>
      <c r="O93" s="6">
        <v>3.9830000000000001</v>
      </c>
      <c r="P93" s="6">
        <v>3.9580000000000002</v>
      </c>
      <c r="Q93" s="6">
        <v>4.5739999999999998</v>
      </c>
      <c r="R93" s="54"/>
      <c r="S93" s="6">
        <v>4.3940000000000001</v>
      </c>
      <c r="T93" s="6">
        <v>4.2140000000000004</v>
      </c>
      <c r="U93" s="6">
        <v>4.2069999999999999</v>
      </c>
      <c r="V93" s="6">
        <v>4.2149999999999999</v>
      </c>
      <c r="W93" s="6">
        <v>4.0730000000000004</v>
      </c>
      <c r="X93" s="54"/>
      <c r="Y93" s="6">
        <v>4.3099999999999996</v>
      </c>
      <c r="Z93" s="6">
        <v>4.3979999999999997</v>
      </c>
      <c r="AA93" s="6">
        <v>4.2679999999999998</v>
      </c>
      <c r="AB93" s="6">
        <v>4.0449999999999999</v>
      </c>
      <c r="AC93" s="6">
        <v>3.8559999999999999</v>
      </c>
      <c r="AD93" s="6">
        <v>4.5179999999999998</v>
      </c>
      <c r="AE93" s="22">
        <f t="shared" si="14"/>
        <v>4.1869999999999994</v>
      </c>
      <c r="AF93" s="103">
        <v>3.6110000000000002</v>
      </c>
      <c r="AG93" s="103">
        <v>3.6659999999999999</v>
      </c>
      <c r="AH93" s="103">
        <v>3.8210000000000002</v>
      </c>
      <c r="AI93" s="103">
        <v>3.9470000000000001</v>
      </c>
      <c r="AJ93" s="103">
        <v>4.2</v>
      </c>
      <c r="AK93" s="103">
        <v>3.7789999999999999</v>
      </c>
      <c r="AL93" s="103">
        <v>3.8010000000000002</v>
      </c>
      <c r="AM93" s="103">
        <v>4.4800000000000004</v>
      </c>
      <c r="AN93" s="103">
        <v>4.2569999999999997</v>
      </c>
      <c r="AO93" s="103">
        <v>4.09</v>
      </c>
      <c r="AP93" s="103">
        <v>4.4160000000000004</v>
      </c>
      <c r="AQ93" s="103">
        <v>4.3440000000000003</v>
      </c>
      <c r="AR93" s="103">
        <v>4.4320000000000004</v>
      </c>
      <c r="AS93" s="103">
        <v>4.1580000000000004</v>
      </c>
      <c r="AT93" s="103">
        <v>4.149</v>
      </c>
      <c r="AU93" s="103">
        <v>4.2789999999999999</v>
      </c>
      <c r="AV93" s="103">
        <v>3.6829999999999998</v>
      </c>
      <c r="AW93" s="103">
        <v>4.0209999999999999</v>
      </c>
      <c r="AX93" s="103">
        <v>4.8289999999999997</v>
      </c>
      <c r="AY93" s="103">
        <v>4.2439999999999998</v>
      </c>
      <c r="AZ93" s="103">
        <v>4.3959999999999999</v>
      </c>
      <c r="BA93" s="103">
        <v>4.4290000000000003</v>
      </c>
      <c r="BB93" s="103">
        <v>4.5039999999999996</v>
      </c>
      <c r="BC93" s="103">
        <v>4.4160000000000004</v>
      </c>
      <c r="BD93" s="103">
        <v>4.3579999999999997</v>
      </c>
      <c r="BE93" s="103">
        <v>3.85</v>
      </c>
      <c r="BF93" s="103">
        <v>4.2430000000000003</v>
      </c>
      <c r="BG93" s="103">
        <v>4.2759999999999998</v>
      </c>
      <c r="BH93" s="103">
        <v>4.4320000000000004</v>
      </c>
      <c r="BI93" s="103">
        <v>4.7709999999999999</v>
      </c>
      <c r="BJ93" s="103">
        <v>4.5880000000000001</v>
      </c>
      <c r="BK93" s="103">
        <v>2.742</v>
      </c>
      <c r="BL93" s="103">
        <v>4.1159999999999997</v>
      </c>
      <c r="BM93" s="103">
        <v>4.0659999999999998</v>
      </c>
      <c r="BN93" s="103">
        <v>4.2430000000000003</v>
      </c>
      <c r="BO93" s="103">
        <v>4.0119999999999996</v>
      </c>
      <c r="BP93" s="103">
        <v>4.2960000000000003</v>
      </c>
      <c r="BQ93" s="87">
        <v>3.5343019999999998</v>
      </c>
      <c r="BR93" s="87">
        <v>3.9325830000000002</v>
      </c>
      <c r="BS93" s="87">
        <v>4.7961130000000001</v>
      </c>
      <c r="BT93" s="87">
        <v>4.1010530000000003</v>
      </c>
      <c r="BU93" s="87">
        <v>4.0976429999999997</v>
      </c>
      <c r="BV93" s="87">
        <v>4.5780279999999998</v>
      </c>
      <c r="BW93" s="105">
        <v>3.6160000000000001</v>
      </c>
      <c r="BX93" s="105">
        <v>3.6709999999999998</v>
      </c>
      <c r="BY93" s="105">
        <v>3.8279999999999998</v>
      </c>
      <c r="BZ93" s="105">
        <v>3.956</v>
      </c>
      <c r="CA93" s="105">
        <v>4.2130000000000001</v>
      </c>
      <c r="CB93" s="105">
        <v>3.79</v>
      </c>
      <c r="CC93" s="105">
        <v>3.8119999999999998</v>
      </c>
      <c r="CD93" s="105">
        <v>4.4960000000000004</v>
      </c>
      <c r="CE93" s="105">
        <v>4.2750000000000004</v>
      </c>
      <c r="CF93" s="105">
        <v>4.1109999999999998</v>
      </c>
      <c r="CG93" s="105">
        <v>4.4429999999999996</v>
      </c>
      <c r="CH93" s="105">
        <v>4.3710000000000004</v>
      </c>
      <c r="CI93" s="105">
        <v>4.4489999999999998</v>
      </c>
      <c r="CJ93" s="105">
        <v>4.1710000000000003</v>
      </c>
      <c r="CK93" s="105">
        <v>4.1619999999999999</v>
      </c>
      <c r="CL93" s="105">
        <v>4.2930000000000001</v>
      </c>
      <c r="CM93" s="105">
        <v>3.6890000000000001</v>
      </c>
      <c r="CN93" s="105">
        <v>4.03</v>
      </c>
      <c r="CO93" s="105">
        <v>4.8579999999999997</v>
      </c>
      <c r="CP93" s="105">
        <v>4.2569999999999997</v>
      </c>
      <c r="CQ93" s="105">
        <v>4.4139999999999997</v>
      </c>
      <c r="CR93" s="105">
        <v>4.4480000000000004</v>
      </c>
      <c r="CS93" s="105">
        <v>4.5259999999999998</v>
      </c>
      <c r="CT93" s="105">
        <v>4.4370000000000003</v>
      </c>
      <c r="CU93" s="105">
        <v>4.3890000000000002</v>
      </c>
      <c r="CV93" s="105">
        <v>3.8620000000000001</v>
      </c>
      <c r="CW93" s="105">
        <v>4.2590000000000003</v>
      </c>
      <c r="CX93" s="105">
        <v>4.3</v>
      </c>
      <c r="CY93" s="105">
        <v>4.46</v>
      </c>
      <c r="CZ93" s="105">
        <v>4.8040000000000003</v>
      </c>
      <c r="DA93" s="105">
        <v>4.6230000000000002</v>
      </c>
      <c r="DB93" s="105">
        <v>2.7440000000000002</v>
      </c>
      <c r="DC93" s="105">
        <v>4.141</v>
      </c>
      <c r="DD93" s="105">
        <v>4.0910000000000002</v>
      </c>
      <c r="DE93" s="105">
        <v>4.2519999999999998</v>
      </c>
      <c r="DF93" s="105">
        <v>4.0190000000000001</v>
      </c>
      <c r="DG93" s="105">
        <v>4.3070000000000004</v>
      </c>
      <c r="DH93" s="115">
        <v>3.5456880000000002</v>
      </c>
      <c r="DI93" s="115">
        <v>3.94455</v>
      </c>
      <c r="DJ93" s="115">
        <v>4.8074469999999998</v>
      </c>
      <c r="DK93" s="115">
        <v>4.1144679999999996</v>
      </c>
      <c r="DL93" s="115">
        <v>4.110322</v>
      </c>
      <c r="DM93" s="115">
        <v>4.5883380000000002</v>
      </c>
    </row>
    <row r="94" spans="1:117">
      <c r="A94" s="1">
        <f t="shared" si="12"/>
        <v>92</v>
      </c>
      <c r="B94" s="2"/>
      <c r="C94" s="4">
        <v>13</v>
      </c>
      <c r="D94" s="4">
        <f t="shared" si="8"/>
        <v>1016</v>
      </c>
      <c r="E94" s="4" t="s">
        <v>304</v>
      </c>
      <c r="F94" s="4">
        <v>1</v>
      </c>
      <c r="G94" s="4" t="s">
        <v>11</v>
      </c>
      <c r="H94" s="4" t="s">
        <v>17</v>
      </c>
      <c r="I94" s="4"/>
      <c r="J94" s="5">
        <v>84.4</v>
      </c>
      <c r="K94" s="63">
        <v>0.55000000000000004</v>
      </c>
      <c r="L94" s="99">
        <v>4.4779999999999989</v>
      </c>
      <c r="M94" s="7" t="s">
        <v>113</v>
      </c>
      <c r="N94" s="3" t="s">
        <v>205</v>
      </c>
      <c r="O94" s="6">
        <v>4.3659999999999997</v>
      </c>
      <c r="P94" s="6">
        <v>4.476</v>
      </c>
      <c r="Q94" s="6">
        <v>5.1429999999999998</v>
      </c>
      <c r="R94" s="54"/>
      <c r="S94" s="6">
        <v>4.7889999999999997</v>
      </c>
      <c r="T94" s="6">
        <v>4.6100000000000003</v>
      </c>
      <c r="U94" s="6">
        <v>4.5949999999999998</v>
      </c>
      <c r="V94" s="6">
        <v>4.5780000000000003</v>
      </c>
      <c r="W94" s="6">
        <v>4.452</v>
      </c>
      <c r="X94" s="54"/>
      <c r="Y94" s="6">
        <v>4.6550000000000002</v>
      </c>
      <c r="Z94" s="6">
        <v>4.7510000000000003</v>
      </c>
      <c r="AA94" s="6">
        <v>4.665</v>
      </c>
      <c r="AB94" s="6">
        <v>4.3899999999999997</v>
      </c>
      <c r="AC94" s="6">
        <v>4.3259999999999996</v>
      </c>
      <c r="AD94" s="6">
        <v>4.6150000000000002</v>
      </c>
      <c r="AE94" s="22">
        <f t="shared" si="14"/>
        <v>4.4704999999999995</v>
      </c>
      <c r="AF94" s="103">
        <v>4.4569999999999999</v>
      </c>
      <c r="AG94" s="103">
        <v>4.4790000000000001</v>
      </c>
      <c r="AH94" s="103">
        <v>4.5389999999999997</v>
      </c>
      <c r="AI94" s="103">
        <v>4.6680000000000001</v>
      </c>
      <c r="AJ94" s="103">
        <v>4.8620000000000001</v>
      </c>
      <c r="AK94" s="103">
        <v>4.6360000000000001</v>
      </c>
      <c r="AL94" s="103">
        <v>4.6509999999999998</v>
      </c>
      <c r="AM94" s="103">
        <v>4.9649999999999999</v>
      </c>
      <c r="AN94" s="103">
        <v>4.8659999999999997</v>
      </c>
      <c r="AO94" s="103">
        <v>4.7169999999999996</v>
      </c>
      <c r="AP94" s="103">
        <v>4.8979999999999997</v>
      </c>
      <c r="AQ94" s="103">
        <v>4.9189999999999996</v>
      </c>
      <c r="AR94" s="103">
        <v>4.944</v>
      </c>
      <c r="AS94" s="103">
        <v>4.8600000000000003</v>
      </c>
      <c r="AT94" s="103">
        <v>4.8520000000000003</v>
      </c>
      <c r="AU94" s="103">
        <v>4.8890000000000002</v>
      </c>
      <c r="AV94" s="103">
        <v>4.5179999999999998</v>
      </c>
      <c r="AW94" s="103">
        <v>4.6840000000000002</v>
      </c>
      <c r="AX94" s="103">
        <v>5.218</v>
      </c>
      <c r="AY94" s="103">
        <v>4.9080000000000004</v>
      </c>
      <c r="AZ94" s="103">
        <v>4.9829999999999997</v>
      </c>
      <c r="BA94" s="103">
        <v>5.07</v>
      </c>
      <c r="BB94" s="103">
        <v>5.1630000000000003</v>
      </c>
      <c r="BC94" s="103">
        <v>5.1310000000000002</v>
      </c>
      <c r="BD94" s="103">
        <v>5.0220000000000002</v>
      </c>
      <c r="BE94" s="103">
        <v>4.4329999999999998</v>
      </c>
      <c r="BF94" s="103">
        <v>4.7850000000000001</v>
      </c>
      <c r="BG94" s="103">
        <v>4.7160000000000002</v>
      </c>
      <c r="BH94" s="103">
        <v>4.8869999999999996</v>
      </c>
      <c r="BI94" s="103">
        <v>5.2089999999999996</v>
      </c>
      <c r="BJ94" s="103">
        <v>4.976</v>
      </c>
      <c r="BK94" s="103">
        <v>3.5819999999999999</v>
      </c>
      <c r="BL94" s="103">
        <v>4.5599999999999996</v>
      </c>
      <c r="BM94" s="103">
        <v>4.4809999999999999</v>
      </c>
      <c r="BN94" s="103">
        <v>4.8029999999999999</v>
      </c>
      <c r="BO94" s="103">
        <v>4.6310000000000002</v>
      </c>
      <c r="BP94" s="103">
        <v>4.7560000000000002</v>
      </c>
      <c r="BQ94" s="87">
        <v>4.066338</v>
      </c>
      <c r="BR94" s="87">
        <v>4.3889300000000002</v>
      </c>
      <c r="BS94" s="87">
        <v>5.3657209999999997</v>
      </c>
      <c r="BT94" s="87">
        <v>4.4995649999999996</v>
      </c>
      <c r="BU94" s="87">
        <v>4.5061280000000004</v>
      </c>
      <c r="BV94" s="87">
        <v>5.2359179999999999</v>
      </c>
      <c r="BW94" s="105">
        <v>4.6310000000000002</v>
      </c>
      <c r="BX94" s="105">
        <v>4.6559999999999997</v>
      </c>
      <c r="BY94" s="105">
        <v>4.7190000000000003</v>
      </c>
      <c r="BZ94" s="105">
        <v>4.8540000000000001</v>
      </c>
      <c r="CA94" s="105">
        <v>5.0430000000000001</v>
      </c>
      <c r="CB94" s="105">
        <v>4.819</v>
      </c>
      <c r="CC94" s="105">
        <v>4.8360000000000003</v>
      </c>
      <c r="CD94" s="105">
        <v>5.16</v>
      </c>
      <c r="CE94" s="105">
        <v>5.0789999999999997</v>
      </c>
      <c r="CF94" s="105">
        <v>4.93</v>
      </c>
      <c r="CG94" s="105">
        <v>5.1189999999999998</v>
      </c>
      <c r="CH94" s="105">
        <v>5.1369999999999996</v>
      </c>
      <c r="CI94" s="105">
        <v>5.1630000000000003</v>
      </c>
      <c r="CJ94" s="105">
        <v>5.0510000000000002</v>
      </c>
      <c r="CK94" s="105">
        <v>5.0449999999999999</v>
      </c>
      <c r="CL94" s="105">
        <v>5.1020000000000003</v>
      </c>
      <c r="CM94" s="105">
        <v>4.7119999999999997</v>
      </c>
      <c r="CN94" s="105">
        <v>4.8780000000000001</v>
      </c>
      <c r="CO94" s="105">
        <v>5.4589999999999996</v>
      </c>
      <c r="CP94" s="105">
        <v>5.1230000000000002</v>
      </c>
      <c r="CQ94" s="105">
        <v>5.2080000000000002</v>
      </c>
      <c r="CR94" s="105">
        <v>5.3</v>
      </c>
      <c r="CS94" s="105">
        <v>5.4020000000000001</v>
      </c>
      <c r="CT94" s="105">
        <v>5.3760000000000003</v>
      </c>
      <c r="CU94" s="105">
        <v>5.2670000000000003</v>
      </c>
      <c r="CV94" s="105">
        <v>4.5529999999999999</v>
      </c>
      <c r="CW94" s="105">
        <v>4.9480000000000004</v>
      </c>
      <c r="CX94" s="105">
        <v>4.8600000000000003</v>
      </c>
      <c r="CY94" s="105">
        <v>5.0709999999999997</v>
      </c>
      <c r="CZ94" s="105">
        <v>5.423</v>
      </c>
      <c r="DA94" s="105">
        <v>5.1580000000000004</v>
      </c>
      <c r="DB94" s="105">
        <v>3.6459999999999999</v>
      </c>
      <c r="DC94" s="105">
        <v>4.72</v>
      </c>
      <c r="DD94" s="105">
        <v>4.6369999999999996</v>
      </c>
      <c r="DE94" s="105">
        <v>4.992</v>
      </c>
      <c r="DF94" s="105">
        <v>4.8150000000000004</v>
      </c>
      <c r="DG94" s="105">
        <v>4.9489999999999998</v>
      </c>
      <c r="DH94" s="115">
        <v>4.2835580000000002</v>
      </c>
      <c r="DI94" s="115">
        <v>4.609451</v>
      </c>
      <c r="DJ94" s="115">
        <v>5.5418200000000004</v>
      </c>
      <c r="DK94" s="115">
        <v>4.7211379999999998</v>
      </c>
      <c r="DL94" s="115">
        <v>4.7276119999999997</v>
      </c>
      <c r="DM94" s="115">
        <v>5.4096219999999997</v>
      </c>
    </row>
    <row r="95" spans="1:117">
      <c r="A95" s="1">
        <f t="shared" si="12"/>
        <v>93</v>
      </c>
      <c r="B95" s="2"/>
      <c r="C95" s="4">
        <v>13</v>
      </c>
      <c r="D95" s="4">
        <f t="shared" si="8"/>
        <v>1016</v>
      </c>
      <c r="E95" s="4" t="s">
        <v>310</v>
      </c>
      <c r="F95" s="4">
        <v>3</v>
      </c>
      <c r="G95" s="4" t="s">
        <v>11</v>
      </c>
      <c r="H95" s="4" t="s">
        <v>17</v>
      </c>
      <c r="I95" s="4"/>
      <c r="J95" s="5">
        <v>95.7</v>
      </c>
      <c r="K95" s="68"/>
      <c r="L95" s="99">
        <v>2.9360000000000004</v>
      </c>
      <c r="M95" s="7" t="s">
        <v>260</v>
      </c>
      <c r="N95" s="3" t="s">
        <v>205</v>
      </c>
      <c r="O95" s="6">
        <v>3.1779999999999999</v>
      </c>
      <c r="P95" s="6">
        <v>3.0059999999999998</v>
      </c>
      <c r="Q95" s="6">
        <v>3.4910000000000001</v>
      </c>
      <c r="R95" s="54"/>
      <c r="S95" s="6">
        <v>3.0870000000000002</v>
      </c>
      <c r="T95" s="54"/>
      <c r="U95" s="54"/>
      <c r="V95" s="54"/>
      <c r="W95" s="54"/>
      <c r="X95" s="54"/>
      <c r="Y95" s="6">
        <v>3.3450000000000002</v>
      </c>
      <c r="Z95" s="6">
        <v>3.3820000000000001</v>
      </c>
      <c r="AA95" s="6">
        <v>3.2559999999999998</v>
      </c>
      <c r="AB95" s="6">
        <v>3.109</v>
      </c>
      <c r="AC95" s="6">
        <v>2.9209999999999998</v>
      </c>
      <c r="AD95" s="6">
        <v>2.8929999999999998</v>
      </c>
      <c r="AE95" s="22">
        <f t="shared" si="14"/>
        <v>2.907</v>
      </c>
      <c r="AF95" s="103">
        <v>2.6779999999999999</v>
      </c>
      <c r="AG95" s="103">
        <v>2.6989999999999998</v>
      </c>
      <c r="AH95" s="103">
        <v>2.7040000000000002</v>
      </c>
      <c r="AI95" s="103">
        <v>2.7690000000000001</v>
      </c>
      <c r="AJ95" s="103">
        <v>2.847</v>
      </c>
      <c r="AK95" s="103">
        <v>2.8359999999999999</v>
      </c>
      <c r="AL95" s="103">
        <v>2.859</v>
      </c>
      <c r="AM95" s="103">
        <v>3.024</v>
      </c>
      <c r="AN95" s="103">
        <v>2.88</v>
      </c>
      <c r="AO95" s="103">
        <v>2.8050000000000002</v>
      </c>
      <c r="AP95" s="103">
        <v>2.9649999999999999</v>
      </c>
      <c r="AQ95" s="103">
        <v>2.952</v>
      </c>
      <c r="AR95" s="103">
        <v>2.988</v>
      </c>
      <c r="AS95" s="103">
        <v>2.9740000000000002</v>
      </c>
      <c r="AT95" s="103">
        <v>2.9609999999999999</v>
      </c>
      <c r="AU95" s="103">
        <v>2.8730000000000002</v>
      </c>
      <c r="AV95" s="103">
        <v>2.661</v>
      </c>
      <c r="AW95" s="103">
        <v>2.77</v>
      </c>
      <c r="AX95" s="103">
        <v>3.0750000000000002</v>
      </c>
      <c r="AY95" s="103">
        <v>2.9159999999999999</v>
      </c>
      <c r="AZ95" s="103">
        <v>3.0030000000000001</v>
      </c>
      <c r="BA95" s="103">
        <v>3.0030000000000001</v>
      </c>
      <c r="BB95" s="103">
        <v>3.0510000000000002</v>
      </c>
      <c r="BC95" s="103">
        <v>2.952</v>
      </c>
      <c r="BD95" s="103">
        <v>2.9910000000000001</v>
      </c>
      <c r="BE95" s="107"/>
      <c r="BF95" s="107"/>
      <c r="BG95" s="107"/>
      <c r="BH95" s="107"/>
      <c r="BI95" s="107"/>
      <c r="BJ95" s="107"/>
      <c r="BK95" s="107"/>
      <c r="BL95" s="107"/>
      <c r="BM95" s="107"/>
      <c r="BN95" s="103">
        <v>2.9489999999999998</v>
      </c>
      <c r="BO95" s="103">
        <v>2.7789999999999999</v>
      </c>
      <c r="BP95" s="103">
        <v>2.8980000000000001</v>
      </c>
      <c r="BQ95" s="87">
        <v>2.152466</v>
      </c>
      <c r="BR95" s="87">
        <v>2.411816</v>
      </c>
      <c r="BS95" s="87">
        <v>3.0597300000000001</v>
      </c>
      <c r="BT95" s="87">
        <v>2.501792</v>
      </c>
      <c r="BU95" s="87">
        <v>2.5078830000000001</v>
      </c>
      <c r="BV95" s="87">
        <v>2.9415360000000002</v>
      </c>
      <c r="BW95" s="105">
        <v>2.7050000000000001</v>
      </c>
      <c r="BX95" s="105">
        <v>2.7120000000000002</v>
      </c>
      <c r="BY95" s="105">
        <v>2.7309999999999999</v>
      </c>
      <c r="BZ95" s="105">
        <v>2.8069999999999999</v>
      </c>
      <c r="CA95" s="105">
        <v>2.9209999999999998</v>
      </c>
      <c r="CB95" s="105">
        <v>2.8639999999999999</v>
      </c>
      <c r="CC95" s="105">
        <v>2.8879999999999999</v>
      </c>
      <c r="CD95" s="105">
        <v>3.0739999999999998</v>
      </c>
      <c r="CE95" s="105">
        <v>2.9220000000000002</v>
      </c>
      <c r="CF95" s="105">
        <v>2.8380000000000001</v>
      </c>
      <c r="CG95" s="105">
        <v>3.0019999999999998</v>
      </c>
      <c r="CH95" s="105">
        <v>2.9969999999999999</v>
      </c>
      <c r="CI95" s="105">
        <v>3.0369999999999999</v>
      </c>
      <c r="CJ95" s="105">
        <v>3.0030000000000001</v>
      </c>
      <c r="CK95" s="105">
        <v>2.99</v>
      </c>
      <c r="CL95" s="105">
        <v>2.9340000000000002</v>
      </c>
      <c r="CM95" s="105">
        <v>2.6850000000000001</v>
      </c>
      <c r="CN95" s="105">
        <v>2.8079999999999998</v>
      </c>
      <c r="CO95" s="105">
        <v>3.2170000000000001</v>
      </c>
      <c r="CP95" s="105">
        <v>2.97</v>
      </c>
      <c r="CQ95" s="105">
        <v>3.0640000000000001</v>
      </c>
      <c r="CR95" s="105">
        <v>3.085</v>
      </c>
      <c r="CS95" s="105">
        <v>3.1560000000000001</v>
      </c>
      <c r="CT95" s="105">
        <v>3.0710000000000002</v>
      </c>
      <c r="CU95" s="105">
        <v>3.056</v>
      </c>
      <c r="CV95" s="105">
        <v>2.8370000000000002</v>
      </c>
      <c r="CW95" s="105">
        <v>2.9860000000000002</v>
      </c>
      <c r="CX95" s="105">
        <v>3.09</v>
      </c>
      <c r="CY95" s="105">
        <v>3.15</v>
      </c>
      <c r="CZ95" s="105">
        <v>3.294</v>
      </c>
      <c r="DA95" s="105">
        <v>3.278</v>
      </c>
      <c r="DB95" s="105">
        <v>2.6160000000000001</v>
      </c>
      <c r="DC95" s="105">
        <v>3.0649999999999999</v>
      </c>
      <c r="DD95" s="105">
        <v>3.0419999999999998</v>
      </c>
      <c r="DE95" s="105">
        <v>2.9740000000000002</v>
      </c>
      <c r="DF95" s="105">
        <v>2.8090000000000002</v>
      </c>
      <c r="DG95" s="105">
        <v>2.9279999999999999</v>
      </c>
      <c r="DH95" s="115">
        <v>2.1891050000000001</v>
      </c>
      <c r="DI95" s="115">
        <v>2.4548610000000002</v>
      </c>
      <c r="DJ95" s="115">
        <v>3.1056879999999998</v>
      </c>
      <c r="DK95" s="115">
        <v>2.5504180000000001</v>
      </c>
      <c r="DL95" s="115">
        <v>2.5550259999999998</v>
      </c>
      <c r="DM95" s="115">
        <v>2.9833020000000001</v>
      </c>
    </row>
    <row r="96" spans="1:117">
      <c r="A96" s="1">
        <f t="shared" si="12"/>
        <v>94</v>
      </c>
      <c r="B96" s="2"/>
      <c r="C96" s="4">
        <v>13</v>
      </c>
      <c r="D96" s="4">
        <f t="shared" si="8"/>
        <v>1016</v>
      </c>
      <c r="E96" s="4" t="s">
        <v>309</v>
      </c>
      <c r="F96" s="4">
        <v>3</v>
      </c>
      <c r="G96" s="4" t="s">
        <v>11</v>
      </c>
      <c r="H96" s="4" t="s">
        <v>17</v>
      </c>
      <c r="I96" s="4"/>
      <c r="J96" s="5">
        <v>96.1</v>
      </c>
      <c r="K96" s="68"/>
      <c r="L96" s="99">
        <v>3.649</v>
      </c>
      <c r="M96" s="7" t="s">
        <v>260</v>
      </c>
      <c r="N96" s="3" t="s">
        <v>205</v>
      </c>
      <c r="O96" s="6">
        <v>3.9319999999999999</v>
      </c>
      <c r="P96" s="6">
        <v>3.7469999999999999</v>
      </c>
      <c r="Q96" s="6">
        <v>4.2169999999999996</v>
      </c>
      <c r="R96" s="54"/>
      <c r="S96" s="6">
        <v>3.7810000000000001</v>
      </c>
      <c r="T96" s="54"/>
      <c r="U96" s="54"/>
      <c r="V96" s="54"/>
      <c r="W96" s="54"/>
      <c r="X96" s="54"/>
      <c r="Y96" s="6">
        <v>4.0220000000000002</v>
      </c>
      <c r="Z96" s="6">
        <v>4.0419999999999998</v>
      </c>
      <c r="AA96" s="6">
        <v>3.9449999999999998</v>
      </c>
      <c r="AB96" s="6">
        <v>3.7970000000000002</v>
      </c>
      <c r="AC96" s="6">
        <v>3.6829999999999998</v>
      </c>
      <c r="AD96" s="6">
        <v>3.569</v>
      </c>
      <c r="AE96" s="22">
        <f t="shared" si="14"/>
        <v>3.6259999999999999</v>
      </c>
      <c r="AF96" s="103">
        <v>3.3180000000000001</v>
      </c>
      <c r="AG96" s="103">
        <v>3.359</v>
      </c>
      <c r="AH96" s="103">
        <v>3.3610000000000002</v>
      </c>
      <c r="AI96" s="103">
        <v>3.395</v>
      </c>
      <c r="AJ96" s="103">
        <v>3.3740000000000001</v>
      </c>
      <c r="AK96" s="103">
        <v>3.4990000000000001</v>
      </c>
      <c r="AL96" s="103">
        <v>3.5150000000000001</v>
      </c>
      <c r="AM96" s="103">
        <v>3.6419999999999999</v>
      </c>
      <c r="AN96" s="103">
        <v>3.5579999999999998</v>
      </c>
      <c r="AO96" s="103">
        <v>3.5070000000000001</v>
      </c>
      <c r="AP96" s="103">
        <v>3.6560000000000001</v>
      </c>
      <c r="AQ96" s="103">
        <v>3.64</v>
      </c>
      <c r="AR96" s="103">
        <v>3.6680000000000001</v>
      </c>
      <c r="AS96" s="103">
        <v>3.6480000000000001</v>
      </c>
      <c r="AT96" s="103">
        <v>3.64</v>
      </c>
      <c r="AU96" s="103">
        <v>3.4860000000000002</v>
      </c>
      <c r="AV96" s="103">
        <v>3.3519999999999999</v>
      </c>
      <c r="AW96" s="103">
        <v>3.4079999999999999</v>
      </c>
      <c r="AX96" s="103">
        <v>3.556</v>
      </c>
      <c r="AY96" s="103">
        <v>3.5449999999999999</v>
      </c>
      <c r="AZ96" s="103">
        <v>3.653</v>
      </c>
      <c r="BA96" s="103">
        <v>3.6160000000000001</v>
      </c>
      <c r="BB96" s="103">
        <v>3.6739999999999999</v>
      </c>
      <c r="BC96" s="103">
        <v>3.548</v>
      </c>
      <c r="BD96" s="103">
        <v>3.6269999999999998</v>
      </c>
      <c r="BE96" s="107"/>
      <c r="BF96" s="107"/>
      <c r="BG96" s="107"/>
      <c r="BH96" s="107"/>
      <c r="BI96" s="107"/>
      <c r="BJ96" s="107"/>
      <c r="BK96" s="107"/>
      <c r="BL96" s="107"/>
      <c r="BM96" s="107"/>
      <c r="BN96" s="103">
        <v>3.6440000000000001</v>
      </c>
      <c r="BO96" s="103">
        <v>3.43</v>
      </c>
      <c r="BP96" s="103">
        <v>3.5579999999999998</v>
      </c>
      <c r="BQ96" s="87">
        <v>2.8260489999999998</v>
      </c>
      <c r="BR96" s="87">
        <v>3.0906069999999999</v>
      </c>
      <c r="BS96" s="87">
        <v>4.17164</v>
      </c>
      <c r="BT96" s="87">
        <v>3.1406830000000001</v>
      </c>
      <c r="BU96" s="87">
        <v>3.1715840000000002</v>
      </c>
      <c r="BV96" s="87">
        <v>4.0730449999999996</v>
      </c>
      <c r="BW96" s="105">
        <v>3.4129999999999998</v>
      </c>
      <c r="BX96" s="105">
        <v>3.4420000000000002</v>
      </c>
      <c r="BY96" s="105">
        <v>3.4569999999999999</v>
      </c>
      <c r="BZ96" s="105">
        <v>3.5169999999999999</v>
      </c>
      <c r="CA96" s="105">
        <v>3.5910000000000002</v>
      </c>
      <c r="CB96" s="105">
        <v>3.589</v>
      </c>
      <c r="CC96" s="105">
        <v>3.609</v>
      </c>
      <c r="CD96" s="105">
        <v>3.78</v>
      </c>
      <c r="CE96" s="105">
        <v>3.6709999999999998</v>
      </c>
      <c r="CF96" s="105">
        <v>3.6</v>
      </c>
      <c r="CG96" s="105">
        <v>3.7549999999999999</v>
      </c>
      <c r="CH96" s="105">
        <v>3.7450000000000001</v>
      </c>
      <c r="CI96" s="105">
        <v>3.7810000000000001</v>
      </c>
      <c r="CJ96" s="105">
        <v>3.7469999999999999</v>
      </c>
      <c r="CK96" s="105">
        <v>3.7360000000000002</v>
      </c>
      <c r="CL96" s="105">
        <v>3.6349999999999998</v>
      </c>
      <c r="CM96" s="105">
        <v>3.4289999999999998</v>
      </c>
      <c r="CN96" s="105">
        <v>3.5249999999999999</v>
      </c>
      <c r="CO96" s="105">
        <v>3.835</v>
      </c>
      <c r="CP96" s="105">
        <v>3.6779999999999999</v>
      </c>
      <c r="CQ96" s="105">
        <v>3.778</v>
      </c>
      <c r="CR96" s="105">
        <v>3.78</v>
      </c>
      <c r="CS96" s="105">
        <v>3.8540000000000001</v>
      </c>
      <c r="CT96" s="105">
        <v>3.7549999999999999</v>
      </c>
      <c r="CU96" s="105">
        <v>3.7559999999999998</v>
      </c>
      <c r="CV96" s="105">
        <v>3.593</v>
      </c>
      <c r="CW96" s="105">
        <v>3.6880000000000002</v>
      </c>
      <c r="CX96" s="105">
        <v>3.8050000000000002</v>
      </c>
      <c r="CY96" s="105">
        <v>3.8450000000000002</v>
      </c>
      <c r="CZ96" s="105">
        <v>3.9449999999999998</v>
      </c>
      <c r="DA96" s="105">
        <v>3.9540000000000002</v>
      </c>
      <c r="DB96" s="105">
        <v>3.5150000000000001</v>
      </c>
      <c r="DC96" s="105">
        <v>3.7490000000000001</v>
      </c>
      <c r="DD96" s="105">
        <v>3.73</v>
      </c>
      <c r="DE96" s="105">
        <v>3.72</v>
      </c>
      <c r="DF96" s="105">
        <v>3.528</v>
      </c>
      <c r="DG96" s="105">
        <v>3.65</v>
      </c>
      <c r="DH96" s="115">
        <v>2.9139979999999999</v>
      </c>
      <c r="DI96" s="115">
        <v>3.190245</v>
      </c>
      <c r="DJ96" s="115">
        <v>4.2413179999999997</v>
      </c>
      <c r="DK96" s="115">
        <v>3.2563170000000001</v>
      </c>
      <c r="DL96" s="115">
        <v>3.2804359999999999</v>
      </c>
      <c r="DM96" s="115">
        <v>4.1369639999999999</v>
      </c>
    </row>
    <row r="97" spans="1:117">
      <c r="A97" s="1">
        <f t="shared" si="12"/>
        <v>95</v>
      </c>
      <c r="B97" s="2"/>
      <c r="C97" s="4">
        <v>13</v>
      </c>
      <c r="D97" s="4">
        <f t="shared" si="8"/>
        <v>1016</v>
      </c>
      <c r="E97" s="4" t="s">
        <v>378</v>
      </c>
      <c r="F97" s="4">
        <v>3</v>
      </c>
      <c r="G97" s="4" t="s">
        <v>11</v>
      </c>
      <c r="H97" s="4" t="s">
        <v>12</v>
      </c>
      <c r="I97" s="4"/>
      <c r="J97" s="5">
        <v>94.8</v>
      </c>
      <c r="K97" s="68"/>
      <c r="L97" s="99">
        <v>3.9919999999999991</v>
      </c>
      <c r="M97" s="7" t="s">
        <v>260</v>
      </c>
      <c r="N97" s="3" t="s">
        <v>205</v>
      </c>
      <c r="O97" s="6">
        <v>4.1390000000000002</v>
      </c>
      <c r="P97" s="6">
        <v>3.8140000000000001</v>
      </c>
      <c r="Q97" s="6">
        <v>4.4729999999999999</v>
      </c>
      <c r="R97" s="54"/>
      <c r="S97" s="6">
        <v>4.2949999999999999</v>
      </c>
      <c r="T97" s="54"/>
      <c r="U97" s="54"/>
      <c r="V97" s="54"/>
      <c r="W97" s="54"/>
      <c r="X97" s="54"/>
      <c r="Y97" s="6">
        <v>4.2850000000000001</v>
      </c>
      <c r="Z97" s="6">
        <v>4.3559999999999999</v>
      </c>
      <c r="AA97" s="6">
        <v>4.1879999999999997</v>
      </c>
      <c r="AB97" s="6">
        <v>4.024</v>
      </c>
      <c r="AC97" s="6">
        <v>3.74</v>
      </c>
      <c r="AD97" s="6">
        <v>4.4480000000000004</v>
      </c>
      <c r="AE97" s="22">
        <f t="shared" si="14"/>
        <v>4.0940000000000003</v>
      </c>
      <c r="AF97" s="103">
        <v>3.4209999999999998</v>
      </c>
      <c r="AG97" s="103">
        <v>3.4780000000000002</v>
      </c>
      <c r="AH97" s="103">
        <v>3.621</v>
      </c>
      <c r="AI97" s="103">
        <v>3.75</v>
      </c>
      <c r="AJ97" s="103">
        <v>3.9369999999999998</v>
      </c>
      <c r="AK97" s="103">
        <v>3.694</v>
      </c>
      <c r="AL97" s="103">
        <v>3.7149999999999999</v>
      </c>
      <c r="AM97" s="103">
        <v>4.3170000000000002</v>
      </c>
      <c r="AN97" s="103">
        <v>4.0940000000000003</v>
      </c>
      <c r="AO97" s="103">
        <v>3.9809999999999999</v>
      </c>
      <c r="AP97" s="103">
        <v>4.3090000000000002</v>
      </c>
      <c r="AQ97" s="103">
        <v>4.2380000000000004</v>
      </c>
      <c r="AR97" s="103">
        <v>4.335</v>
      </c>
      <c r="AS97" s="103">
        <v>4.0439999999999996</v>
      </c>
      <c r="AT97" s="103">
        <v>4.0339999999999998</v>
      </c>
      <c r="AU97" s="103">
        <v>4.0739999999999998</v>
      </c>
      <c r="AV97" s="103">
        <v>3.4510000000000001</v>
      </c>
      <c r="AW97" s="103">
        <v>3.8170000000000002</v>
      </c>
      <c r="AX97" s="103">
        <v>4.6150000000000002</v>
      </c>
      <c r="AY97" s="103">
        <v>4.069</v>
      </c>
      <c r="AZ97" s="103">
        <v>4.274</v>
      </c>
      <c r="BA97" s="103">
        <v>4.2560000000000002</v>
      </c>
      <c r="BB97" s="103">
        <v>4.3410000000000002</v>
      </c>
      <c r="BC97" s="103">
        <v>4.2160000000000002</v>
      </c>
      <c r="BD97" s="103">
        <v>4.2039999999999997</v>
      </c>
      <c r="BE97" s="107"/>
      <c r="BF97" s="107"/>
      <c r="BG97" s="107"/>
      <c r="BH97" s="107"/>
      <c r="BI97" s="107"/>
      <c r="BJ97" s="107"/>
      <c r="BK97" s="107"/>
      <c r="BL97" s="107"/>
      <c r="BM97" s="107"/>
      <c r="BN97" s="103">
        <v>4.109</v>
      </c>
      <c r="BO97" s="103">
        <v>3.8239999999999998</v>
      </c>
      <c r="BP97" s="103">
        <v>4.1660000000000004</v>
      </c>
      <c r="BQ97" s="87">
        <v>3.2718120000000002</v>
      </c>
      <c r="BR97" s="87">
        <v>3.6774</v>
      </c>
      <c r="BS97" s="87">
        <v>4.5936079999999997</v>
      </c>
      <c r="BT97" s="87">
        <v>3.8447619999999998</v>
      </c>
      <c r="BU97" s="87">
        <v>3.8450600000000001</v>
      </c>
      <c r="BV97" s="87">
        <v>4.3699089999999998</v>
      </c>
      <c r="BW97" s="105">
        <v>3.4369999999999998</v>
      </c>
      <c r="BX97" s="105">
        <v>3.49</v>
      </c>
      <c r="BY97" s="105">
        <v>3.6360000000000001</v>
      </c>
      <c r="BZ97" s="105">
        <v>3.7709999999999999</v>
      </c>
      <c r="CA97" s="105">
        <v>3.9860000000000002</v>
      </c>
      <c r="CB97" s="105">
        <v>3.702</v>
      </c>
      <c r="CC97" s="105">
        <v>3.7240000000000002</v>
      </c>
      <c r="CD97" s="105">
        <v>4.3440000000000003</v>
      </c>
      <c r="CE97" s="105">
        <v>4.1139999999999999</v>
      </c>
      <c r="CF97" s="105">
        <v>3.996</v>
      </c>
      <c r="CG97" s="105">
        <v>4.3360000000000003</v>
      </c>
      <c r="CH97" s="105">
        <v>4.2610000000000001</v>
      </c>
      <c r="CI97" s="105">
        <v>4.3529999999999998</v>
      </c>
      <c r="CJ97" s="105">
        <v>4.0570000000000004</v>
      </c>
      <c r="CK97" s="105">
        <v>4.0469999999999997</v>
      </c>
      <c r="CL97" s="105">
        <v>4.101</v>
      </c>
      <c r="CM97" s="105">
        <v>3.4620000000000002</v>
      </c>
      <c r="CN97" s="105">
        <v>3.8370000000000002</v>
      </c>
      <c r="CO97" s="105">
        <v>4.68</v>
      </c>
      <c r="CP97" s="105">
        <v>4.0910000000000002</v>
      </c>
      <c r="CQ97" s="105">
        <v>4.2930000000000001</v>
      </c>
      <c r="CR97" s="105">
        <v>4.2839999999999998</v>
      </c>
      <c r="CS97" s="105">
        <v>4.3730000000000002</v>
      </c>
      <c r="CT97" s="105">
        <v>4.2560000000000002</v>
      </c>
      <c r="CU97" s="105">
        <v>4.2320000000000002</v>
      </c>
      <c r="CV97" s="105">
        <v>3.7570000000000001</v>
      </c>
      <c r="CW97" s="105">
        <v>4.1109999999999998</v>
      </c>
      <c r="CX97" s="105">
        <v>4.22</v>
      </c>
      <c r="CY97" s="105">
        <v>4.335</v>
      </c>
      <c r="CZ97" s="105">
        <v>4.641</v>
      </c>
      <c r="DA97" s="105">
        <v>4.5209999999999999</v>
      </c>
      <c r="DB97" s="105">
        <v>2.863</v>
      </c>
      <c r="DC97" s="105">
        <v>4.109</v>
      </c>
      <c r="DD97" s="105">
        <v>4.0869999999999997</v>
      </c>
      <c r="DE97" s="105">
        <v>4.12</v>
      </c>
      <c r="DF97" s="105">
        <v>3.839</v>
      </c>
      <c r="DG97" s="105">
        <v>4.1890000000000001</v>
      </c>
      <c r="DH97" s="115">
        <v>3.2879800000000001</v>
      </c>
      <c r="DI97" s="115">
        <v>3.6959339999999998</v>
      </c>
      <c r="DJ97" s="115">
        <v>4.6118600000000001</v>
      </c>
      <c r="DK97" s="115">
        <v>3.8664269999999998</v>
      </c>
      <c r="DL97" s="115">
        <v>3.865405</v>
      </c>
      <c r="DM97" s="115">
        <v>4.3864799999999997</v>
      </c>
    </row>
    <row r="98" spans="1:117">
      <c r="A98" s="1">
        <f t="shared" si="12"/>
        <v>96</v>
      </c>
      <c r="B98" s="2"/>
      <c r="C98" s="4">
        <v>13</v>
      </c>
      <c r="D98" s="4">
        <f t="shared" si="8"/>
        <v>1016</v>
      </c>
      <c r="E98" s="4" t="s">
        <v>376</v>
      </c>
      <c r="F98" s="4">
        <v>3</v>
      </c>
      <c r="G98" s="4" t="s">
        <v>11</v>
      </c>
      <c r="H98" s="4" t="s">
        <v>12</v>
      </c>
      <c r="I98" s="4"/>
      <c r="J98" s="5">
        <v>95</v>
      </c>
      <c r="K98" s="68"/>
      <c r="L98" s="99">
        <v>4.08</v>
      </c>
      <c r="M98" s="7" t="s">
        <v>260</v>
      </c>
      <c r="N98" s="3" t="s">
        <v>205</v>
      </c>
      <c r="O98" s="6">
        <v>4.0940000000000003</v>
      </c>
      <c r="P98" s="6">
        <v>3.927</v>
      </c>
      <c r="Q98" s="6">
        <v>4.53</v>
      </c>
      <c r="R98" s="54"/>
      <c r="S98" s="6">
        <v>4.3440000000000003</v>
      </c>
      <c r="T98" s="54"/>
      <c r="U98" s="54"/>
      <c r="V98" s="54"/>
      <c r="W98" s="54"/>
      <c r="X98" s="54"/>
      <c r="Y98" s="6">
        <v>4.343</v>
      </c>
      <c r="Z98" s="6">
        <v>4.423</v>
      </c>
      <c r="AA98" s="6">
        <v>4.2709999999999999</v>
      </c>
      <c r="AB98" s="6">
        <v>4.0890000000000004</v>
      </c>
      <c r="AC98" s="6">
        <v>3.8340000000000001</v>
      </c>
      <c r="AD98" s="6">
        <v>4.4459999999999997</v>
      </c>
      <c r="AE98" s="22">
        <f t="shared" si="14"/>
        <v>4.1399999999999997</v>
      </c>
      <c r="AF98" s="103">
        <v>3.4740000000000002</v>
      </c>
      <c r="AG98" s="103">
        <v>3.55</v>
      </c>
      <c r="AH98" s="103">
        <v>3.6859999999999999</v>
      </c>
      <c r="AI98" s="103">
        <v>3.7839999999999998</v>
      </c>
      <c r="AJ98" s="103">
        <v>3.9590000000000001</v>
      </c>
      <c r="AK98" s="103">
        <v>3.6989999999999998</v>
      </c>
      <c r="AL98" s="103">
        <v>3.7210000000000001</v>
      </c>
      <c r="AM98" s="103">
        <v>4.3220000000000001</v>
      </c>
      <c r="AN98" s="103">
        <v>4.1100000000000003</v>
      </c>
      <c r="AO98" s="103">
        <v>4.3029999999999999</v>
      </c>
      <c r="AP98" s="103">
        <v>4.298</v>
      </c>
      <c r="AQ98" s="103">
        <v>4.2229999999999999</v>
      </c>
      <c r="AR98" s="103">
        <v>4.3159999999999998</v>
      </c>
      <c r="AS98" s="103">
        <v>4.048</v>
      </c>
      <c r="AT98" s="103">
        <v>4.0389999999999997</v>
      </c>
      <c r="AU98" s="103">
        <v>4.1109999999999998</v>
      </c>
      <c r="AV98" s="103">
        <v>3.5529999999999999</v>
      </c>
      <c r="AW98" s="103">
        <v>3.871</v>
      </c>
      <c r="AX98" s="103">
        <v>4.6070000000000002</v>
      </c>
      <c r="AY98" s="103">
        <v>4.0940000000000003</v>
      </c>
      <c r="AZ98" s="103">
        <v>4.2889999999999997</v>
      </c>
      <c r="BA98" s="103">
        <v>4.2709999999999999</v>
      </c>
      <c r="BB98" s="103">
        <v>4.3479999999999999</v>
      </c>
      <c r="BC98" s="103">
        <v>4.2140000000000004</v>
      </c>
      <c r="BD98" s="103">
        <v>4.1970000000000001</v>
      </c>
      <c r="BE98" s="107"/>
      <c r="BF98" s="107"/>
      <c r="BG98" s="107"/>
      <c r="BH98" s="107"/>
      <c r="BI98" s="107"/>
      <c r="BJ98" s="107"/>
      <c r="BK98" s="107"/>
      <c r="BL98" s="107"/>
      <c r="BM98" s="107"/>
      <c r="BN98" s="103">
        <v>4.1360000000000001</v>
      </c>
      <c r="BO98" s="103">
        <v>3.8690000000000002</v>
      </c>
      <c r="BP98" s="103">
        <v>4.181</v>
      </c>
      <c r="BQ98" s="87">
        <v>3.3600349999999999</v>
      </c>
      <c r="BR98" s="87">
        <v>3.7548300000000001</v>
      </c>
      <c r="BS98" s="87">
        <v>4.6346020000000001</v>
      </c>
      <c r="BT98" s="87">
        <v>3.909653</v>
      </c>
      <c r="BU98" s="87">
        <v>3.9144869999999998</v>
      </c>
      <c r="BV98" s="87">
        <v>4.4206079999999996</v>
      </c>
      <c r="BW98" s="105">
        <v>3.4929999999999999</v>
      </c>
      <c r="BX98" s="105">
        <v>3.5630000000000002</v>
      </c>
      <c r="BY98" s="105">
        <v>3.7029999999999998</v>
      </c>
      <c r="BZ98" s="105">
        <v>3.8069999999999999</v>
      </c>
      <c r="CA98" s="105">
        <v>4.01</v>
      </c>
      <c r="CB98" s="105">
        <v>3.7090000000000001</v>
      </c>
      <c r="CC98" s="105">
        <v>3.7309999999999999</v>
      </c>
      <c r="CD98" s="105">
        <v>4.3520000000000003</v>
      </c>
      <c r="CE98" s="105">
        <v>4.1349999999999998</v>
      </c>
      <c r="CF98" s="105">
        <v>4.048</v>
      </c>
      <c r="CG98" s="105">
        <v>4.3259999999999996</v>
      </c>
      <c r="CH98" s="105">
        <v>4.2489999999999997</v>
      </c>
      <c r="CI98" s="105">
        <v>4.3360000000000003</v>
      </c>
      <c r="CJ98" s="105">
        <v>4.0640000000000001</v>
      </c>
      <c r="CK98" s="105">
        <v>4.0549999999999997</v>
      </c>
      <c r="CL98" s="105">
        <v>4.1399999999999997</v>
      </c>
      <c r="CM98" s="105">
        <v>3.5659999999999998</v>
      </c>
      <c r="CN98" s="105">
        <v>3.8929999999999998</v>
      </c>
      <c r="CO98" s="105">
        <v>4.6749999999999998</v>
      </c>
      <c r="CP98" s="105">
        <v>4.1180000000000003</v>
      </c>
      <c r="CQ98" s="105">
        <v>4.3099999999999996</v>
      </c>
      <c r="CR98" s="105">
        <v>4.3019999999999996</v>
      </c>
      <c r="CS98" s="105">
        <v>4.383</v>
      </c>
      <c r="CT98" s="105">
        <v>4.2569999999999997</v>
      </c>
      <c r="CU98" s="105">
        <v>4.2279999999999998</v>
      </c>
      <c r="CV98" s="105">
        <v>3.806</v>
      </c>
      <c r="CW98" s="105">
        <v>4.1280000000000001</v>
      </c>
      <c r="CX98" s="105">
        <v>4.22</v>
      </c>
      <c r="CY98" s="105">
        <v>4.3570000000000002</v>
      </c>
      <c r="CZ98" s="105">
        <v>4.6349999999999998</v>
      </c>
      <c r="DA98" s="105">
        <v>4.5140000000000002</v>
      </c>
      <c r="DB98" s="105">
        <v>2.9119999999999999</v>
      </c>
      <c r="DC98" s="105">
        <v>4.1210000000000004</v>
      </c>
      <c r="DD98" s="105">
        <v>4.09</v>
      </c>
      <c r="DE98" s="105">
        <v>4.1479999999999997</v>
      </c>
      <c r="DF98" s="105">
        <v>3.8860000000000001</v>
      </c>
      <c r="DG98" s="105">
        <v>4.1970000000000001</v>
      </c>
      <c r="DH98" s="115">
        <v>3.3783409999999998</v>
      </c>
      <c r="DI98" s="115">
        <v>3.775658</v>
      </c>
      <c r="DJ98" s="115">
        <v>4.655081</v>
      </c>
      <c r="DK98" s="115">
        <v>3.9333049999999998</v>
      </c>
      <c r="DL98" s="115">
        <v>3.9371260000000001</v>
      </c>
      <c r="DM98" s="115">
        <v>4.4393339999999997</v>
      </c>
    </row>
    <row r="99" spans="1:117">
      <c r="A99" s="1">
        <f t="shared" si="12"/>
        <v>97</v>
      </c>
      <c r="B99" s="2" t="s">
        <v>414</v>
      </c>
      <c r="C99" s="4">
        <v>12</v>
      </c>
      <c r="D99" s="4">
        <f t="shared" si="8"/>
        <v>1016</v>
      </c>
      <c r="E99" s="4" t="s">
        <v>120</v>
      </c>
      <c r="F99" s="4">
        <v>1</v>
      </c>
      <c r="G99" s="4" t="s">
        <v>11</v>
      </c>
      <c r="H99" s="4" t="s">
        <v>17</v>
      </c>
      <c r="I99" s="4"/>
      <c r="J99" s="5">
        <v>84</v>
      </c>
      <c r="K99" s="68"/>
      <c r="L99" s="99">
        <v>1.5980000000000001</v>
      </c>
      <c r="M99" s="7" t="s">
        <v>158</v>
      </c>
      <c r="N99" s="3"/>
      <c r="O99" s="6">
        <v>1.8580000000000001</v>
      </c>
      <c r="P99" s="6">
        <v>1.6890000000000001</v>
      </c>
      <c r="Q99" s="6">
        <v>2.31</v>
      </c>
      <c r="R99" s="54"/>
      <c r="S99" s="4">
        <v>1.9179999999999999</v>
      </c>
      <c r="T99" s="6">
        <v>1.804</v>
      </c>
      <c r="U99" s="6">
        <v>1.802</v>
      </c>
      <c r="V99" s="6">
        <v>1.6910000000000001</v>
      </c>
      <c r="W99" s="54"/>
      <c r="X99" s="54"/>
      <c r="Y99" s="6">
        <v>2.0449999999999999</v>
      </c>
      <c r="Z99" s="6">
        <v>2.0659999999999998</v>
      </c>
      <c r="AA99" s="6">
        <v>1.9370000000000001</v>
      </c>
      <c r="AB99" s="6">
        <v>1.831</v>
      </c>
      <c r="AC99" s="6">
        <v>1.7390000000000001</v>
      </c>
      <c r="AD99" s="6">
        <v>1.2150000000000001</v>
      </c>
      <c r="AE99" s="6">
        <f>AVERAGE(AC99:AD99)</f>
        <v>1.4770000000000001</v>
      </c>
      <c r="AF99" s="107"/>
      <c r="AG99" s="107"/>
      <c r="AH99" s="107"/>
      <c r="AI99" s="107"/>
      <c r="AJ99" s="107"/>
      <c r="AK99" s="107"/>
      <c r="AL99" s="107"/>
      <c r="AM99" s="107"/>
      <c r="AN99" s="107"/>
      <c r="AO99" s="107"/>
      <c r="AP99" s="107"/>
      <c r="AQ99" s="107"/>
      <c r="AR99" s="107"/>
      <c r="AS99" s="107"/>
      <c r="AT99" s="107"/>
      <c r="AU99" s="107"/>
      <c r="AV99" s="107"/>
      <c r="AW99" s="107"/>
      <c r="AX99" s="107"/>
      <c r="AY99" s="107"/>
      <c r="AZ99" s="107"/>
      <c r="BA99" s="107"/>
      <c r="BB99" s="107"/>
      <c r="BC99" s="107"/>
      <c r="BD99" s="107"/>
      <c r="BE99" s="107"/>
      <c r="BF99" s="107"/>
      <c r="BG99" s="107"/>
      <c r="BH99" s="107"/>
      <c r="BI99" s="107"/>
      <c r="BJ99" s="107"/>
      <c r="BK99" s="107"/>
      <c r="BL99" s="107"/>
      <c r="BM99" s="107"/>
      <c r="BN99" s="107"/>
      <c r="BO99" s="107"/>
      <c r="BP99" s="107"/>
      <c r="BQ99" s="107"/>
      <c r="BR99" s="107"/>
      <c r="BS99" s="107"/>
      <c r="BT99" s="107"/>
      <c r="BU99" s="107"/>
      <c r="BV99" s="107"/>
      <c r="BW99" s="107"/>
      <c r="BX99" s="107"/>
      <c r="BY99" s="107"/>
      <c r="BZ99" s="107"/>
      <c r="CA99" s="107"/>
      <c r="CB99" s="107"/>
      <c r="CC99" s="107"/>
      <c r="CD99" s="107"/>
      <c r="CE99" s="107"/>
      <c r="CF99" s="107"/>
      <c r="CG99" s="107"/>
      <c r="CH99" s="107"/>
      <c r="CI99" s="107"/>
      <c r="CJ99" s="107"/>
      <c r="CK99" s="107"/>
      <c r="CL99" s="107"/>
      <c r="CM99" s="107"/>
      <c r="CN99" s="107"/>
      <c r="CO99" s="107"/>
      <c r="CP99" s="107"/>
      <c r="CQ99" s="107"/>
      <c r="CR99" s="107"/>
      <c r="CS99" s="107"/>
      <c r="CT99" s="107"/>
      <c r="CU99" s="107"/>
      <c r="CV99" s="107"/>
      <c r="CW99" s="107"/>
      <c r="CX99" s="107"/>
      <c r="CY99" s="107"/>
      <c r="CZ99" s="107"/>
      <c r="DA99" s="107"/>
      <c r="DB99" s="107"/>
      <c r="DC99" s="107"/>
      <c r="DD99" s="107"/>
      <c r="DE99" s="107"/>
      <c r="DF99" s="107"/>
      <c r="DG99" s="107"/>
      <c r="DH99" s="107"/>
      <c r="DI99" s="107"/>
      <c r="DJ99" s="107"/>
      <c r="DK99" s="107"/>
      <c r="DL99" s="107"/>
      <c r="DM99" s="107"/>
    </row>
    <row r="100" spans="1:117">
      <c r="A100" s="1">
        <f t="shared" si="12"/>
        <v>98</v>
      </c>
      <c r="B100" s="2"/>
      <c r="C100" s="4">
        <v>12</v>
      </c>
      <c r="D100" s="4">
        <f t="shared" si="8"/>
        <v>1016</v>
      </c>
      <c r="E100" s="4" t="s">
        <v>223</v>
      </c>
      <c r="F100" s="4">
        <v>1</v>
      </c>
      <c r="G100" s="4" t="s">
        <v>11</v>
      </c>
      <c r="H100" s="4" t="s">
        <v>17</v>
      </c>
      <c r="I100" s="4"/>
      <c r="J100" s="5">
        <v>85.2</v>
      </c>
      <c r="K100" s="63">
        <v>0.252</v>
      </c>
      <c r="L100" s="99">
        <v>2.9689999999999999</v>
      </c>
      <c r="M100" s="7" t="s">
        <v>158</v>
      </c>
      <c r="N100" s="3"/>
      <c r="O100" s="6">
        <v>3.036</v>
      </c>
      <c r="P100" s="6">
        <v>2.96</v>
      </c>
      <c r="Q100" s="6">
        <v>3.5</v>
      </c>
      <c r="R100" s="54"/>
      <c r="S100" s="4">
        <v>3.173</v>
      </c>
      <c r="T100" s="6">
        <v>3.0369999999999999</v>
      </c>
      <c r="U100" s="6">
        <v>3.0339999999999998</v>
      </c>
      <c r="V100" s="6">
        <v>3.0230000000000001</v>
      </c>
      <c r="W100" s="54"/>
      <c r="X100" s="54"/>
      <c r="Y100" s="6">
        <v>3.1549999999999998</v>
      </c>
      <c r="Z100" s="6">
        <v>3.21</v>
      </c>
      <c r="AA100" s="6">
        <v>3.121</v>
      </c>
      <c r="AB100" s="6">
        <v>2.948</v>
      </c>
      <c r="AC100" s="6">
        <v>2.8719999999999999</v>
      </c>
      <c r="AD100" s="6">
        <v>2.6640000000000001</v>
      </c>
      <c r="AE100" s="6">
        <f t="shared" ref="AE100:AE109" si="15">AVERAGE(AC100:AD100)</f>
        <v>2.7679999999999998</v>
      </c>
      <c r="AF100" s="107"/>
      <c r="AG100" s="107"/>
      <c r="AH100" s="107"/>
      <c r="AI100" s="107"/>
      <c r="AJ100" s="107"/>
      <c r="AK100" s="107"/>
      <c r="AL100" s="107"/>
      <c r="AM100" s="107"/>
      <c r="AN100" s="107"/>
      <c r="AO100" s="107"/>
      <c r="AP100" s="107"/>
      <c r="AQ100" s="107"/>
      <c r="AR100" s="107"/>
      <c r="AS100" s="107"/>
      <c r="AT100" s="107"/>
      <c r="AU100" s="107"/>
      <c r="AV100" s="107"/>
      <c r="AW100" s="107"/>
      <c r="AX100" s="107"/>
      <c r="AY100" s="107"/>
      <c r="AZ100" s="107"/>
      <c r="BA100" s="107"/>
      <c r="BB100" s="107"/>
      <c r="BC100" s="107"/>
      <c r="BD100" s="107"/>
      <c r="BE100" s="107"/>
      <c r="BF100" s="107"/>
      <c r="BG100" s="107"/>
      <c r="BH100" s="107"/>
      <c r="BI100" s="107"/>
      <c r="BJ100" s="107"/>
      <c r="BK100" s="107"/>
      <c r="BL100" s="107"/>
      <c r="BM100" s="107"/>
      <c r="BN100" s="107"/>
      <c r="BO100" s="107"/>
      <c r="BP100" s="107"/>
      <c r="BQ100" s="107"/>
      <c r="BR100" s="107"/>
      <c r="BS100" s="107"/>
      <c r="BT100" s="107"/>
      <c r="BU100" s="107"/>
      <c r="BV100" s="107"/>
      <c r="BW100" s="107"/>
      <c r="BX100" s="107"/>
      <c r="BY100" s="107"/>
      <c r="BZ100" s="107"/>
      <c r="CA100" s="107"/>
      <c r="CB100" s="107"/>
      <c r="CC100" s="107"/>
      <c r="CD100" s="107"/>
      <c r="CE100" s="107"/>
      <c r="CF100" s="107"/>
      <c r="CG100" s="107"/>
      <c r="CH100" s="107"/>
      <c r="CI100" s="107"/>
      <c r="CJ100" s="107"/>
      <c r="CK100" s="107"/>
      <c r="CL100" s="107"/>
      <c r="CM100" s="107"/>
      <c r="CN100" s="107"/>
      <c r="CO100" s="107"/>
      <c r="CP100" s="107"/>
      <c r="CQ100" s="107"/>
      <c r="CR100" s="107"/>
      <c r="CS100" s="107"/>
      <c r="CT100" s="107"/>
      <c r="CU100" s="107"/>
      <c r="CV100" s="107"/>
      <c r="CW100" s="107"/>
      <c r="CX100" s="107"/>
      <c r="CY100" s="107"/>
      <c r="CZ100" s="107"/>
      <c r="DA100" s="107"/>
      <c r="DB100" s="107"/>
      <c r="DC100" s="107"/>
      <c r="DD100" s="107"/>
      <c r="DE100" s="107"/>
      <c r="DF100" s="107"/>
      <c r="DG100" s="107"/>
      <c r="DH100" s="107"/>
      <c r="DI100" s="107"/>
      <c r="DJ100" s="107"/>
      <c r="DK100" s="107"/>
      <c r="DL100" s="107"/>
      <c r="DM100" s="107"/>
    </row>
    <row r="101" spans="1:117">
      <c r="A101" s="1">
        <f t="shared" si="12"/>
        <v>99</v>
      </c>
      <c r="B101" s="2"/>
      <c r="C101" s="4">
        <v>12</v>
      </c>
      <c r="D101" s="4">
        <f t="shared" si="8"/>
        <v>1016</v>
      </c>
      <c r="E101" s="4" t="s">
        <v>223</v>
      </c>
      <c r="F101" s="4">
        <v>1</v>
      </c>
      <c r="G101" s="4" t="s">
        <v>11</v>
      </c>
      <c r="H101" s="4" t="s">
        <v>17</v>
      </c>
      <c r="I101" s="4" t="s">
        <v>320</v>
      </c>
      <c r="J101" s="5">
        <v>54.5</v>
      </c>
      <c r="K101" s="63">
        <v>5.6000000000000001E-2</v>
      </c>
      <c r="L101" s="99">
        <v>3.2919999999999998</v>
      </c>
      <c r="M101" s="7" t="s">
        <v>415</v>
      </c>
      <c r="N101" s="3"/>
      <c r="O101" s="6">
        <v>4.82</v>
      </c>
      <c r="P101" s="6">
        <v>4.2699999999999996</v>
      </c>
      <c r="Q101" s="6">
        <v>5.0620000000000003</v>
      </c>
      <c r="R101" s="54"/>
      <c r="S101" s="6">
        <v>4.7069999999999999</v>
      </c>
      <c r="T101" s="6">
        <v>4.391</v>
      </c>
      <c r="U101" s="6">
        <v>4.3650000000000002</v>
      </c>
      <c r="V101" s="6">
        <v>4.1130000000000004</v>
      </c>
      <c r="W101" s="54"/>
      <c r="X101" s="54"/>
      <c r="Y101" s="6">
        <v>4.718</v>
      </c>
      <c r="Z101" s="6">
        <v>4.7220000000000004</v>
      </c>
      <c r="AA101" s="6">
        <v>4.5679999999999996</v>
      </c>
      <c r="AB101" s="6">
        <v>4.484</v>
      </c>
      <c r="AC101" s="6">
        <v>4.3099999999999996</v>
      </c>
      <c r="AD101" s="6">
        <v>2.762</v>
      </c>
      <c r="AE101" s="6">
        <f t="shared" si="15"/>
        <v>3.5359999999999996</v>
      </c>
      <c r="AF101" s="107"/>
      <c r="AG101" s="107"/>
      <c r="AH101" s="107"/>
      <c r="AI101" s="107"/>
      <c r="AJ101" s="107"/>
      <c r="AK101" s="107"/>
      <c r="AL101" s="107"/>
      <c r="AM101" s="107"/>
      <c r="AN101" s="107"/>
      <c r="AO101" s="107"/>
      <c r="AP101" s="107"/>
      <c r="AQ101" s="107"/>
      <c r="AR101" s="107"/>
      <c r="AS101" s="107"/>
      <c r="AT101" s="107"/>
      <c r="AU101" s="107"/>
      <c r="AV101" s="107"/>
      <c r="AW101" s="107"/>
      <c r="AX101" s="107"/>
      <c r="AY101" s="107"/>
      <c r="AZ101" s="107"/>
      <c r="BA101" s="107"/>
      <c r="BB101" s="107"/>
      <c r="BC101" s="107"/>
      <c r="BD101" s="107"/>
      <c r="BE101" s="107"/>
      <c r="BF101" s="107"/>
      <c r="BG101" s="107"/>
      <c r="BH101" s="107"/>
      <c r="BI101" s="107"/>
      <c r="BJ101" s="107"/>
      <c r="BK101" s="107"/>
      <c r="BL101" s="107"/>
      <c r="BM101" s="107"/>
      <c r="BN101" s="107"/>
      <c r="BO101" s="107"/>
      <c r="BP101" s="107"/>
      <c r="BQ101" s="107"/>
      <c r="BR101" s="107"/>
      <c r="BS101" s="107"/>
      <c r="BT101" s="107"/>
      <c r="BU101" s="107"/>
      <c r="BV101" s="107"/>
      <c r="BW101" s="107"/>
      <c r="BX101" s="107"/>
      <c r="BY101" s="107"/>
      <c r="BZ101" s="107"/>
      <c r="CA101" s="107"/>
      <c r="CB101" s="107"/>
      <c r="CC101" s="107"/>
      <c r="CD101" s="107"/>
      <c r="CE101" s="107"/>
      <c r="CF101" s="107"/>
      <c r="CG101" s="107"/>
      <c r="CH101" s="107"/>
      <c r="CI101" s="107"/>
      <c r="CJ101" s="107"/>
      <c r="CK101" s="107"/>
      <c r="CL101" s="107"/>
      <c r="CM101" s="107"/>
      <c r="CN101" s="107"/>
      <c r="CO101" s="107"/>
      <c r="CP101" s="107"/>
      <c r="CQ101" s="107"/>
      <c r="CR101" s="107"/>
      <c r="CS101" s="107"/>
      <c r="CT101" s="107"/>
      <c r="CU101" s="107"/>
      <c r="CV101" s="107"/>
      <c r="CW101" s="107"/>
      <c r="CX101" s="107"/>
      <c r="CY101" s="107"/>
      <c r="CZ101" s="107"/>
      <c r="DA101" s="107"/>
      <c r="DB101" s="107"/>
      <c r="DC101" s="107"/>
      <c r="DD101" s="107"/>
      <c r="DE101" s="107"/>
      <c r="DF101" s="107"/>
      <c r="DG101" s="107"/>
      <c r="DH101" s="107"/>
      <c r="DI101" s="107"/>
      <c r="DJ101" s="107"/>
      <c r="DK101" s="107"/>
      <c r="DL101" s="107"/>
      <c r="DM101" s="107"/>
    </row>
    <row r="102" spans="1:117">
      <c r="A102" s="1">
        <f t="shared" si="12"/>
        <v>100</v>
      </c>
      <c r="B102" s="2"/>
      <c r="C102" s="4">
        <v>12</v>
      </c>
      <c r="D102" s="4">
        <f t="shared" si="8"/>
        <v>1016</v>
      </c>
      <c r="E102" s="4" t="s">
        <v>177</v>
      </c>
      <c r="F102" s="4">
        <v>3</v>
      </c>
      <c r="G102" s="4" t="s">
        <v>11</v>
      </c>
      <c r="H102" s="4" t="s">
        <v>17</v>
      </c>
      <c r="I102" s="4"/>
      <c r="J102" s="5">
        <v>96.6</v>
      </c>
      <c r="K102" s="68"/>
      <c r="L102" s="99">
        <v>1.3310000000000002</v>
      </c>
      <c r="M102" s="7" t="s">
        <v>260</v>
      </c>
      <c r="N102" s="3" t="s">
        <v>205</v>
      </c>
      <c r="O102" s="6">
        <v>1.667</v>
      </c>
      <c r="P102" s="6">
        <v>1.4470000000000001</v>
      </c>
      <c r="Q102" s="6">
        <v>1.7849999999999999</v>
      </c>
      <c r="R102" s="54"/>
      <c r="S102" s="6">
        <v>1.29</v>
      </c>
      <c r="T102" s="54"/>
      <c r="U102" s="54"/>
      <c r="V102" s="54"/>
      <c r="W102" s="54"/>
      <c r="X102" s="54"/>
      <c r="Y102" s="6">
        <v>1.5960000000000001</v>
      </c>
      <c r="Z102" s="6">
        <v>1.591</v>
      </c>
      <c r="AA102" s="6">
        <v>1.542</v>
      </c>
      <c r="AB102" s="6">
        <v>1.429</v>
      </c>
      <c r="AC102" s="6">
        <v>1.46</v>
      </c>
      <c r="AD102" s="6">
        <v>0.92400000000000004</v>
      </c>
      <c r="AE102" s="6">
        <f t="shared" si="15"/>
        <v>1.1919999999999999</v>
      </c>
      <c r="AF102" s="107"/>
      <c r="AG102" s="107"/>
      <c r="AH102" s="107"/>
      <c r="AI102" s="107"/>
      <c r="AJ102" s="107"/>
      <c r="AK102" s="107"/>
      <c r="AL102" s="107"/>
      <c r="AM102" s="107"/>
      <c r="AN102" s="107"/>
      <c r="AO102" s="107"/>
      <c r="AP102" s="107"/>
      <c r="AQ102" s="107"/>
      <c r="AR102" s="107"/>
      <c r="AS102" s="107"/>
      <c r="AT102" s="107"/>
      <c r="AU102" s="107"/>
      <c r="AV102" s="107"/>
      <c r="AW102" s="107"/>
      <c r="AX102" s="107"/>
      <c r="AY102" s="107"/>
      <c r="AZ102" s="107"/>
      <c r="BA102" s="107"/>
      <c r="BB102" s="107"/>
      <c r="BC102" s="107"/>
      <c r="BD102" s="107"/>
      <c r="BE102" s="107"/>
      <c r="BF102" s="107"/>
      <c r="BG102" s="107"/>
      <c r="BH102" s="107"/>
      <c r="BI102" s="107"/>
      <c r="BJ102" s="107"/>
      <c r="BK102" s="107"/>
      <c r="BL102" s="107"/>
      <c r="BM102" s="107"/>
      <c r="BN102" s="107"/>
      <c r="BO102" s="107"/>
      <c r="BP102" s="107"/>
      <c r="BQ102" s="107"/>
      <c r="BR102" s="107"/>
      <c r="BS102" s="107"/>
      <c r="BT102" s="107"/>
      <c r="BU102" s="107"/>
      <c r="BV102" s="107"/>
      <c r="BW102" s="107"/>
      <c r="BX102" s="107"/>
      <c r="BY102" s="107"/>
      <c r="BZ102" s="107"/>
      <c r="CA102" s="107"/>
      <c r="CB102" s="107"/>
      <c r="CC102" s="107"/>
      <c r="CD102" s="107"/>
      <c r="CE102" s="107"/>
      <c r="CF102" s="107"/>
      <c r="CG102" s="107"/>
      <c r="CH102" s="107"/>
      <c r="CI102" s="107"/>
      <c r="CJ102" s="107"/>
      <c r="CK102" s="107"/>
      <c r="CL102" s="107"/>
      <c r="CM102" s="107"/>
      <c r="CN102" s="107"/>
      <c r="CO102" s="107"/>
      <c r="CP102" s="107"/>
      <c r="CQ102" s="107"/>
      <c r="CR102" s="107"/>
      <c r="CS102" s="107"/>
      <c r="CT102" s="107"/>
      <c r="CU102" s="107"/>
      <c r="CV102" s="107"/>
      <c r="CW102" s="107"/>
      <c r="CX102" s="107"/>
      <c r="CY102" s="107"/>
      <c r="CZ102" s="107"/>
      <c r="DA102" s="107"/>
      <c r="DB102" s="107"/>
      <c r="DC102" s="107"/>
      <c r="DD102" s="107"/>
      <c r="DE102" s="107"/>
      <c r="DF102" s="107"/>
      <c r="DG102" s="107"/>
      <c r="DH102" s="107"/>
      <c r="DI102" s="107"/>
      <c r="DJ102" s="107"/>
      <c r="DK102" s="107"/>
      <c r="DL102" s="107"/>
      <c r="DM102" s="107"/>
    </row>
    <row r="103" spans="1:117">
      <c r="A103" s="1">
        <f t="shared" si="12"/>
        <v>101</v>
      </c>
      <c r="B103" s="2"/>
      <c r="C103" s="4">
        <v>12</v>
      </c>
      <c r="D103" s="4">
        <f t="shared" si="8"/>
        <v>1016</v>
      </c>
      <c r="E103" s="4" t="s">
        <v>169</v>
      </c>
      <c r="F103" s="4">
        <v>3</v>
      </c>
      <c r="G103" s="4" t="s">
        <v>11</v>
      </c>
      <c r="H103" s="4" t="s">
        <v>17</v>
      </c>
      <c r="I103" s="4"/>
      <c r="J103" s="5">
        <v>96.5</v>
      </c>
      <c r="K103" s="68"/>
      <c r="L103" s="99">
        <v>1.4259999999999999</v>
      </c>
      <c r="M103" s="7" t="s">
        <v>260</v>
      </c>
      <c r="N103" s="3" t="s">
        <v>205</v>
      </c>
      <c r="O103" s="6">
        <v>1.675</v>
      </c>
      <c r="P103" s="6">
        <v>1.4570000000000001</v>
      </c>
      <c r="Q103" s="6">
        <v>1.83</v>
      </c>
      <c r="R103" s="54"/>
      <c r="S103" s="6">
        <v>1.421</v>
      </c>
      <c r="T103" s="54"/>
      <c r="U103" s="54"/>
      <c r="V103" s="54"/>
      <c r="W103" s="54"/>
      <c r="X103" s="54"/>
      <c r="Y103" s="6">
        <v>1.7470000000000001</v>
      </c>
      <c r="Z103" s="6">
        <v>1.7629999999999999</v>
      </c>
      <c r="AA103" s="6">
        <v>1.66</v>
      </c>
      <c r="AB103" s="6">
        <v>1.569</v>
      </c>
      <c r="AC103" s="6">
        <v>1.4419999999999999</v>
      </c>
      <c r="AD103" s="6">
        <v>1.0680000000000001</v>
      </c>
      <c r="AE103" s="6">
        <f t="shared" si="15"/>
        <v>1.2549999999999999</v>
      </c>
      <c r="AF103" s="107"/>
      <c r="AG103" s="107"/>
      <c r="AH103" s="107"/>
      <c r="AI103" s="107"/>
      <c r="AJ103" s="107"/>
      <c r="AK103" s="107"/>
      <c r="AL103" s="107"/>
      <c r="AM103" s="107"/>
      <c r="AN103" s="107"/>
      <c r="AO103" s="107"/>
      <c r="AP103" s="107"/>
      <c r="AQ103" s="107"/>
      <c r="AR103" s="107"/>
      <c r="AS103" s="107"/>
      <c r="AT103" s="107"/>
      <c r="AU103" s="107"/>
      <c r="AV103" s="107"/>
      <c r="AW103" s="107"/>
      <c r="AX103" s="107"/>
      <c r="AY103" s="107"/>
      <c r="AZ103" s="107"/>
      <c r="BA103" s="107"/>
      <c r="BB103" s="107"/>
      <c r="BC103" s="107"/>
      <c r="BD103" s="107"/>
      <c r="BE103" s="107"/>
      <c r="BF103" s="107"/>
      <c r="BG103" s="107"/>
      <c r="BH103" s="107"/>
      <c r="BI103" s="107"/>
      <c r="BJ103" s="107"/>
      <c r="BK103" s="107"/>
      <c r="BL103" s="107"/>
      <c r="BM103" s="107"/>
      <c r="BN103" s="107"/>
      <c r="BO103" s="107"/>
      <c r="BP103" s="107"/>
      <c r="BQ103" s="107"/>
      <c r="BR103" s="107"/>
      <c r="BS103" s="107"/>
      <c r="BT103" s="107"/>
      <c r="BU103" s="107"/>
      <c r="BV103" s="107"/>
      <c r="BW103" s="107"/>
      <c r="BX103" s="107"/>
      <c r="BY103" s="107"/>
      <c r="BZ103" s="107"/>
      <c r="CA103" s="107"/>
      <c r="CB103" s="107"/>
      <c r="CC103" s="107"/>
      <c r="CD103" s="107"/>
      <c r="CE103" s="107"/>
      <c r="CF103" s="107"/>
      <c r="CG103" s="107"/>
      <c r="CH103" s="107"/>
      <c r="CI103" s="107"/>
      <c r="CJ103" s="107"/>
      <c r="CK103" s="107"/>
      <c r="CL103" s="107"/>
      <c r="CM103" s="107"/>
      <c r="CN103" s="107"/>
      <c r="CO103" s="107"/>
      <c r="CP103" s="107"/>
      <c r="CQ103" s="107"/>
      <c r="CR103" s="107"/>
      <c r="CS103" s="107"/>
      <c r="CT103" s="107"/>
      <c r="CU103" s="107"/>
      <c r="CV103" s="107"/>
      <c r="CW103" s="107"/>
      <c r="CX103" s="107"/>
      <c r="CY103" s="107"/>
      <c r="CZ103" s="107"/>
      <c r="DA103" s="107"/>
      <c r="DB103" s="107"/>
      <c r="DC103" s="107"/>
      <c r="DD103" s="107"/>
      <c r="DE103" s="107"/>
      <c r="DF103" s="107"/>
      <c r="DG103" s="107"/>
      <c r="DH103" s="107"/>
      <c r="DI103" s="107"/>
      <c r="DJ103" s="107"/>
      <c r="DK103" s="107"/>
      <c r="DL103" s="107"/>
      <c r="DM103" s="107"/>
    </row>
    <row r="104" spans="1:117">
      <c r="A104" s="1">
        <f t="shared" si="12"/>
        <v>102</v>
      </c>
      <c r="B104" s="2"/>
      <c r="C104" s="4">
        <v>12</v>
      </c>
      <c r="D104" s="4">
        <f t="shared" si="8"/>
        <v>1016</v>
      </c>
      <c r="E104" s="4" t="s">
        <v>177</v>
      </c>
      <c r="F104" s="4">
        <v>3</v>
      </c>
      <c r="G104" s="4" t="s">
        <v>11</v>
      </c>
      <c r="H104" s="4" t="s">
        <v>17</v>
      </c>
      <c r="I104" s="4"/>
      <c r="J104" s="5">
        <v>95.7</v>
      </c>
      <c r="K104" s="68"/>
      <c r="L104" s="99">
        <v>3.0399999999999996</v>
      </c>
      <c r="M104" s="7" t="s">
        <v>260</v>
      </c>
      <c r="N104" s="3" t="s">
        <v>205</v>
      </c>
      <c r="O104" s="6">
        <v>3.3780000000000001</v>
      </c>
      <c r="P104" s="6">
        <v>3.2309999999999999</v>
      </c>
      <c r="Q104" s="6">
        <v>3.387</v>
      </c>
      <c r="R104" s="54"/>
      <c r="S104" s="6">
        <v>3.048</v>
      </c>
      <c r="T104" s="54"/>
      <c r="U104" s="54"/>
      <c r="V104" s="54"/>
      <c r="W104" s="54"/>
      <c r="X104" s="54"/>
      <c r="Y104" s="6">
        <v>3.2069999999999999</v>
      </c>
      <c r="Z104" s="6">
        <v>3.2130000000000001</v>
      </c>
      <c r="AA104" s="6">
        <v>3.218</v>
      </c>
      <c r="AB104" s="6">
        <v>3.0550000000000002</v>
      </c>
      <c r="AC104" s="6">
        <v>3.1880000000000002</v>
      </c>
      <c r="AD104" s="6">
        <v>2.2669999999999999</v>
      </c>
      <c r="AE104" s="6">
        <f t="shared" si="15"/>
        <v>2.7275</v>
      </c>
      <c r="AF104" s="107"/>
      <c r="AG104" s="107"/>
      <c r="AH104" s="107"/>
      <c r="AI104" s="107"/>
      <c r="AJ104" s="107"/>
      <c r="AK104" s="107"/>
      <c r="AL104" s="107"/>
      <c r="AM104" s="107"/>
      <c r="AN104" s="107"/>
      <c r="AO104" s="107"/>
      <c r="AP104" s="107"/>
      <c r="AQ104" s="107"/>
      <c r="AR104" s="107"/>
      <c r="AS104" s="107"/>
      <c r="AT104" s="107"/>
      <c r="AU104" s="107"/>
      <c r="AV104" s="107"/>
      <c r="AW104" s="107"/>
      <c r="AX104" s="107"/>
      <c r="AY104" s="107"/>
      <c r="AZ104" s="107"/>
      <c r="BA104" s="107"/>
      <c r="BB104" s="107"/>
      <c r="BC104" s="107"/>
      <c r="BD104" s="107"/>
      <c r="BE104" s="107"/>
      <c r="BF104" s="107"/>
      <c r="BG104" s="107"/>
      <c r="BH104" s="107"/>
      <c r="BI104" s="107"/>
      <c r="BJ104" s="107"/>
      <c r="BK104" s="107"/>
      <c r="BL104" s="107"/>
      <c r="BM104" s="107"/>
      <c r="BN104" s="107"/>
      <c r="BO104" s="107"/>
      <c r="BP104" s="107"/>
      <c r="BQ104" s="107"/>
      <c r="BR104" s="107"/>
      <c r="BS104" s="107"/>
      <c r="BT104" s="107"/>
      <c r="BU104" s="107"/>
      <c r="BV104" s="107"/>
      <c r="BW104" s="107"/>
      <c r="BX104" s="107"/>
      <c r="BY104" s="107"/>
      <c r="BZ104" s="107"/>
      <c r="CA104" s="107"/>
      <c r="CB104" s="107"/>
      <c r="CC104" s="107"/>
      <c r="CD104" s="107"/>
      <c r="CE104" s="107"/>
      <c r="CF104" s="107"/>
      <c r="CG104" s="107"/>
      <c r="CH104" s="107"/>
      <c r="CI104" s="107"/>
      <c r="CJ104" s="107"/>
      <c r="CK104" s="107"/>
      <c r="CL104" s="107"/>
      <c r="CM104" s="107"/>
      <c r="CN104" s="107"/>
      <c r="CO104" s="107"/>
      <c r="CP104" s="107"/>
      <c r="CQ104" s="107"/>
      <c r="CR104" s="107"/>
      <c r="CS104" s="107"/>
      <c r="CT104" s="107"/>
      <c r="CU104" s="107"/>
      <c r="CV104" s="107"/>
      <c r="CW104" s="107"/>
      <c r="CX104" s="107"/>
      <c r="CY104" s="107"/>
      <c r="CZ104" s="107"/>
      <c r="DA104" s="107"/>
      <c r="DB104" s="107"/>
      <c r="DC104" s="107"/>
      <c r="DD104" s="107"/>
      <c r="DE104" s="107"/>
      <c r="DF104" s="107"/>
      <c r="DG104" s="107"/>
      <c r="DH104" s="107"/>
      <c r="DI104" s="107"/>
      <c r="DJ104" s="107"/>
      <c r="DK104" s="107"/>
      <c r="DL104" s="107"/>
      <c r="DM104" s="107"/>
    </row>
    <row r="105" spans="1:117">
      <c r="A105" s="1">
        <f t="shared" si="12"/>
        <v>103</v>
      </c>
      <c r="B105" s="2"/>
      <c r="C105" s="4">
        <v>12</v>
      </c>
      <c r="D105" s="4">
        <f t="shared" si="8"/>
        <v>1016</v>
      </c>
      <c r="E105" s="4" t="s">
        <v>169</v>
      </c>
      <c r="F105" s="4">
        <v>3</v>
      </c>
      <c r="G105" s="4" t="s">
        <v>11</v>
      </c>
      <c r="H105" s="4" t="s">
        <v>17</v>
      </c>
      <c r="I105" s="4"/>
      <c r="J105" s="5">
        <v>96.6</v>
      </c>
      <c r="K105" s="68"/>
      <c r="L105" s="99">
        <v>3.5549999999999997</v>
      </c>
      <c r="M105" s="7" t="s">
        <v>260</v>
      </c>
      <c r="N105" s="3" t="s">
        <v>205</v>
      </c>
      <c r="O105" s="6">
        <v>3.835</v>
      </c>
      <c r="P105" s="6">
        <v>3.68</v>
      </c>
      <c r="Q105" s="6">
        <v>3.8719999999999999</v>
      </c>
      <c r="R105" s="54"/>
      <c r="S105" s="6">
        <v>3.552</v>
      </c>
      <c r="T105" s="54"/>
      <c r="U105" s="54"/>
      <c r="V105" s="54"/>
      <c r="W105" s="54"/>
      <c r="X105" s="54"/>
      <c r="Y105" s="6">
        <v>3.7120000000000002</v>
      </c>
      <c r="Z105" s="6">
        <v>3.7440000000000002</v>
      </c>
      <c r="AA105" s="6">
        <v>3.7250000000000001</v>
      </c>
      <c r="AB105" s="6">
        <v>3.552</v>
      </c>
      <c r="AC105" s="6">
        <v>3.6269999999999998</v>
      </c>
      <c r="AD105" s="6">
        <v>3.2080000000000002</v>
      </c>
      <c r="AE105" s="6">
        <f t="shared" si="15"/>
        <v>3.4175</v>
      </c>
      <c r="AF105" s="107"/>
      <c r="AG105" s="107"/>
      <c r="AH105" s="107"/>
      <c r="AI105" s="107"/>
      <c r="AJ105" s="107"/>
      <c r="AK105" s="107"/>
      <c r="AL105" s="107"/>
      <c r="AM105" s="107"/>
      <c r="AN105" s="107"/>
      <c r="AO105" s="107"/>
      <c r="AP105" s="107"/>
      <c r="AQ105" s="107"/>
      <c r="AR105" s="107"/>
      <c r="AS105" s="107"/>
      <c r="AT105" s="107"/>
      <c r="AU105" s="107"/>
      <c r="AV105" s="107"/>
      <c r="AW105" s="107"/>
      <c r="AX105" s="107"/>
      <c r="AY105" s="107"/>
      <c r="AZ105" s="107"/>
      <c r="BA105" s="107"/>
      <c r="BB105" s="107"/>
      <c r="BC105" s="107"/>
      <c r="BD105" s="107"/>
      <c r="BE105" s="107"/>
      <c r="BF105" s="107"/>
      <c r="BG105" s="107"/>
      <c r="BH105" s="107"/>
      <c r="BI105" s="107"/>
      <c r="BJ105" s="107"/>
      <c r="BK105" s="107"/>
      <c r="BL105" s="107"/>
      <c r="BM105" s="107"/>
      <c r="BN105" s="107"/>
      <c r="BO105" s="107"/>
      <c r="BP105" s="107"/>
      <c r="BQ105" s="107"/>
      <c r="BR105" s="107"/>
      <c r="BS105" s="107"/>
      <c r="BT105" s="107"/>
      <c r="BU105" s="107"/>
      <c r="BV105" s="107"/>
      <c r="BW105" s="107"/>
      <c r="BX105" s="107"/>
      <c r="BY105" s="107"/>
      <c r="BZ105" s="107"/>
      <c r="CA105" s="107"/>
      <c r="CB105" s="107"/>
      <c r="CC105" s="107"/>
      <c r="CD105" s="107"/>
      <c r="CE105" s="107"/>
      <c r="CF105" s="107"/>
      <c r="CG105" s="107"/>
      <c r="CH105" s="107"/>
      <c r="CI105" s="107"/>
      <c r="CJ105" s="107"/>
      <c r="CK105" s="107"/>
      <c r="CL105" s="107"/>
      <c r="CM105" s="107"/>
      <c r="CN105" s="107"/>
      <c r="CO105" s="107"/>
      <c r="CP105" s="107"/>
      <c r="CQ105" s="107"/>
      <c r="CR105" s="107"/>
      <c r="CS105" s="107"/>
      <c r="CT105" s="107"/>
      <c r="CU105" s="107"/>
      <c r="CV105" s="107"/>
      <c r="CW105" s="107"/>
      <c r="CX105" s="107"/>
      <c r="CY105" s="107"/>
      <c r="CZ105" s="107"/>
      <c r="DA105" s="107"/>
      <c r="DB105" s="107"/>
      <c r="DC105" s="107"/>
      <c r="DD105" s="107"/>
      <c r="DE105" s="107"/>
      <c r="DF105" s="107"/>
      <c r="DG105" s="107"/>
      <c r="DH105" s="107"/>
      <c r="DI105" s="107"/>
      <c r="DJ105" s="107"/>
      <c r="DK105" s="107"/>
      <c r="DL105" s="107"/>
      <c r="DM105" s="107"/>
    </row>
    <row r="106" spans="1:117">
      <c r="A106" s="1">
        <f t="shared" si="12"/>
        <v>104</v>
      </c>
      <c r="B106" s="2" t="s">
        <v>558</v>
      </c>
      <c r="C106" s="4">
        <v>12</v>
      </c>
      <c r="D106" s="4">
        <f t="shared" si="8"/>
        <v>1016</v>
      </c>
      <c r="E106" s="4" t="s">
        <v>160</v>
      </c>
      <c r="F106" s="4">
        <v>1</v>
      </c>
      <c r="G106" s="4" t="s">
        <v>11</v>
      </c>
      <c r="H106" s="4" t="s">
        <v>17</v>
      </c>
      <c r="I106" s="4"/>
      <c r="J106" s="5">
        <v>86.2</v>
      </c>
      <c r="K106" s="68"/>
      <c r="L106" s="99">
        <v>0.871</v>
      </c>
      <c r="M106" s="7" t="s">
        <v>158</v>
      </c>
      <c r="N106" s="3"/>
      <c r="O106" s="6">
        <v>0.871</v>
      </c>
      <c r="P106" s="6">
        <v>0.92200000000000004</v>
      </c>
      <c r="Q106" s="6">
        <v>1.448</v>
      </c>
      <c r="R106" s="54"/>
      <c r="S106" s="6">
        <v>0.84699999999999998</v>
      </c>
      <c r="T106" s="6">
        <v>0.91500000000000004</v>
      </c>
      <c r="U106" s="6">
        <v>0.92900000000000005</v>
      </c>
      <c r="V106" s="6">
        <v>0.86799999999999999</v>
      </c>
      <c r="W106" s="54"/>
      <c r="X106" s="54"/>
      <c r="Y106" s="6">
        <v>0.91700000000000004</v>
      </c>
      <c r="Z106" s="6">
        <v>0.96</v>
      </c>
      <c r="AA106" s="6">
        <v>0.94899999999999995</v>
      </c>
      <c r="AB106" s="6">
        <v>0.68799999999999994</v>
      </c>
      <c r="AC106" s="6">
        <v>0.84599999999999997</v>
      </c>
      <c r="AD106" s="6">
        <v>0.47299999999999998</v>
      </c>
      <c r="AE106" s="6">
        <f t="shared" si="15"/>
        <v>0.65949999999999998</v>
      </c>
      <c r="AF106" s="107"/>
      <c r="AG106" s="107"/>
      <c r="AH106" s="107"/>
      <c r="AI106" s="107"/>
      <c r="AJ106" s="107"/>
      <c r="AK106" s="107"/>
      <c r="AL106" s="107"/>
      <c r="AM106" s="107"/>
      <c r="AN106" s="107"/>
      <c r="AO106" s="107"/>
      <c r="AP106" s="107"/>
      <c r="AQ106" s="107"/>
      <c r="AR106" s="107"/>
      <c r="AS106" s="107"/>
      <c r="AT106" s="107"/>
      <c r="AU106" s="107"/>
      <c r="AV106" s="107"/>
      <c r="AW106" s="107"/>
      <c r="AX106" s="107"/>
      <c r="AY106" s="107"/>
      <c r="AZ106" s="107"/>
      <c r="BA106" s="107"/>
      <c r="BB106" s="107"/>
      <c r="BC106" s="107"/>
      <c r="BD106" s="107"/>
      <c r="BE106" s="107"/>
      <c r="BF106" s="107"/>
      <c r="BG106" s="107"/>
      <c r="BH106" s="107"/>
      <c r="BI106" s="107"/>
      <c r="BJ106" s="107"/>
      <c r="BK106" s="107"/>
      <c r="BL106" s="107"/>
      <c r="BM106" s="107"/>
      <c r="BN106" s="107"/>
      <c r="BO106" s="107"/>
      <c r="BP106" s="107"/>
      <c r="BQ106" s="107"/>
      <c r="BR106" s="107"/>
      <c r="BS106" s="107"/>
      <c r="BT106" s="107"/>
      <c r="BU106" s="107"/>
      <c r="BV106" s="107"/>
      <c r="BW106" s="107"/>
      <c r="BX106" s="107"/>
      <c r="BY106" s="107"/>
      <c r="BZ106" s="107"/>
      <c r="CA106" s="107"/>
      <c r="CB106" s="107"/>
      <c r="CC106" s="107"/>
      <c r="CD106" s="107"/>
      <c r="CE106" s="107"/>
      <c r="CF106" s="107"/>
      <c r="CG106" s="107"/>
      <c r="CH106" s="107"/>
      <c r="CI106" s="107"/>
      <c r="CJ106" s="107"/>
      <c r="CK106" s="107"/>
      <c r="CL106" s="107"/>
      <c r="CM106" s="107"/>
      <c r="CN106" s="107"/>
      <c r="CO106" s="107"/>
      <c r="CP106" s="107"/>
      <c r="CQ106" s="107"/>
      <c r="CR106" s="107"/>
      <c r="CS106" s="107"/>
      <c r="CT106" s="107"/>
      <c r="CU106" s="107"/>
      <c r="CV106" s="107"/>
      <c r="CW106" s="107"/>
      <c r="CX106" s="107"/>
      <c r="CY106" s="107"/>
      <c r="CZ106" s="107"/>
      <c r="DA106" s="107"/>
      <c r="DB106" s="107"/>
      <c r="DC106" s="107"/>
      <c r="DD106" s="107"/>
      <c r="DE106" s="107"/>
      <c r="DF106" s="107"/>
      <c r="DG106" s="107"/>
      <c r="DH106" s="107"/>
      <c r="DI106" s="107"/>
      <c r="DJ106" s="107"/>
      <c r="DK106" s="107"/>
      <c r="DL106" s="107"/>
      <c r="DM106" s="107"/>
    </row>
    <row r="107" spans="1:117">
      <c r="A107" s="1">
        <f t="shared" si="12"/>
        <v>105</v>
      </c>
      <c r="B107" s="2"/>
      <c r="C107" s="4">
        <v>12</v>
      </c>
      <c r="D107" s="4">
        <f t="shared" si="8"/>
        <v>1016</v>
      </c>
      <c r="E107" s="4" t="s">
        <v>162</v>
      </c>
      <c r="F107" s="4">
        <v>1</v>
      </c>
      <c r="G107" s="4" t="s">
        <v>11</v>
      </c>
      <c r="H107" s="4" t="s">
        <v>17</v>
      </c>
      <c r="I107" s="4"/>
      <c r="J107" s="5">
        <v>84</v>
      </c>
      <c r="K107" s="63">
        <v>0.28399999999999997</v>
      </c>
      <c r="L107" s="99">
        <v>2.6960000000000002</v>
      </c>
      <c r="M107" s="7" t="s">
        <v>158</v>
      </c>
      <c r="N107" s="3"/>
      <c r="O107" s="6">
        <v>2.73</v>
      </c>
      <c r="P107" s="6">
        <v>2.7789999999999999</v>
      </c>
      <c r="Q107" s="6">
        <v>3.2869999999999999</v>
      </c>
      <c r="R107" s="54"/>
      <c r="S107" s="6">
        <v>2.7949999999999999</v>
      </c>
      <c r="T107" s="6">
        <v>2.74</v>
      </c>
      <c r="U107" s="6">
        <v>2.7410000000000001</v>
      </c>
      <c r="V107" s="6">
        <v>2.7240000000000002</v>
      </c>
      <c r="W107" s="54"/>
      <c r="X107" s="54"/>
      <c r="Y107" s="6">
        <v>2.7149999999999999</v>
      </c>
      <c r="Z107" s="6">
        <v>2.8809999999999998</v>
      </c>
      <c r="AA107" s="6">
        <v>2.847</v>
      </c>
      <c r="AB107" s="6">
        <v>2.4969999999999999</v>
      </c>
      <c r="AC107" s="6">
        <v>2.5670000000000002</v>
      </c>
      <c r="AD107" s="6">
        <v>2.2250000000000001</v>
      </c>
      <c r="AE107" s="6">
        <f t="shared" si="15"/>
        <v>2.3959999999999999</v>
      </c>
      <c r="AF107" s="107"/>
      <c r="AG107" s="107"/>
      <c r="AH107" s="107"/>
      <c r="AI107" s="107"/>
      <c r="AJ107" s="107"/>
      <c r="AK107" s="107"/>
      <c r="AL107" s="107"/>
      <c r="AM107" s="107"/>
      <c r="AN107" s="107"/>
      <c r="AO107" s="107"/>
      <c r="AP107" s="107"/>
      <c r="AQ107" s="107"/>
      <c r="AR107" s="107"/>
      <c r="AS107" s="107"/>
      <c r="AT107" s="107"/>
      <c r="AU107" s="107"/>
      <c r="AV107" s="107"/>
      <c r="AW107" s="107"/>
      <c r="AX107" s="107"/>
      <c r="AY107" s="107"/>
      <c r="AZ107" s="107"/>
      <c r="BA107" s="107"/>
      <c r="BB107" s="107"/>
      <c r="BC107" s="107"/>
      <c r="BD107" s="107"/>
      <c r="BE107" s="107"/>
      <c r="BF107" s="107"/>
      <c r="BG107" s="107"/>
      <c r="BH107" s="107"/>
      <c r="BI107" s="107"/>
      <c r="BJ107" s="107"/>
      <c r="BK107" s="107"/>
      <c r="BL107" s="107"/>
      <c r="BM107" s="107"/>
      <c r="BN107" s="107"/>
      <c r="BO107" s="107"/>
      <c r="BP107" s="107"/>
      <c r="BQ107" s="107"/>
      <c r="BR107" s="107"/>
      <c r="BS107" s="107"/>
      <c r="BT107" s="107"/>
      <c r="BU107" s="107"/>
      <c r="BV107" s="107"/>
      <c r="BW107" s="107"/>
      <c r="BX107" s="107"/>
      <c r="BY107" s="107"/>
      <c r="BZ107" s="107"/>
      <c r="CA107" s="107"/>
      <c r="CB107" s="107"/>
      <c r="CC107" s="107"/>
      <c r="CD107" s="107"/>
      <c r="CE107" s="107"/>
      <c r="CF107" s="107"/>
      <c r="CG107" s="107"/>
      <c r="CH107" s="107"/>
      <c r="CI107" s="107"/>
      <c r="CJ107" s="107"/>
      <c r="CK107" s="107"/>
      <c r="CL107" s="107"/>
      <c r="CM107" s="107"/>
      <c r="CN107" s="107"/>
      <c r="CO107" s="107"/>
      <c r="CP107" s="107"/>
      <c r="CQ107" s="107"/>
      <c r="CR107" s="107"/>
      <c r="CS107" s="107"/>
      <c r="CT107" s="107"/>
      <c r="CU107" s="107"/>
      <c r="CV107" s="107"/>
      <c r="CW107" s="107"/>
      <c r="CX107" s="107"/>
      <c r="CY107" s="107"/>
      <c r="CZ107" s="107"/>
      <c r="DA107" s="107"/>
      <c r="DB107" s="107"/>
      <c r="DC107" s="107"/>
      <c r="DD107" s="107"/>
      <c r="DE107" s="107"/>
      <c r="DF107" s="107"/>
      <c r="DG107" s="107"/>
      <c r="DH107" s="107"/>
      <c r="DI107" s="107"/>
      <c r="DJ107" s="107"/>
      <c r="DK107" s="107"/>
      <c r="DL107" s="107"/>
      <c r="DM107" s="107"/>
    </row>
    <row r="108" spans="1:117">
      <c r="A108" s="1">
        <f t="shared" si="12"/>
        <v>106</v>
      </c>
      <c r="B108" s="2"/>
      <c r="C108" s="4">
        <v>12</v>
      </c>
      <c r="D108" s="4">
        <f t="shared" si="8"/>
        <v>1016</v>
      </c>
      <c r="E108" s="4" t="s">
        <v>166</v>
      </c>
      <c r="F108" s="4">
        <v>3</v>
      </c>
      <c r="G108" s="4" t="s">
        <v>11</v>
      </c>
      <c r="H108" s="4" t="s">
        <v>17</v>
      </c>
      <c r="I108" s="4"/>
      <c r="J108" s="5">
        <v>96.9</v>
      </c>
      <c r="K108" s="68"/>
      <c r="L108" s="99">
        <v>0.88000000000000012</v>
      </c>
      <c r="M108" s="7" t="s">
        <v>260</v>
      </c>
      <c r="N108" s="3" t="s">
        <v>205</v>
      </c>
      <c r="O108" s="6">
        <v>1.1619999999999999</v>
      </c>
      <c r="P108" s="6">
        <v>1.0329999999999999</v>
      </c>
      <c r="Q108" s="6">
        <v>1.38</v>
      </c>
      <c r="R108" s="54"/>
      <c r="S108" s="6">
        <v>0.66900000000000004</v>
      </c>
      <c r="T108" s="54"/>
      <c r="U108" s="54"/>
      <c r="V108" s="54"/>
      <c r="W108" s="54"/>
      <c r="X108" s="54"/>
      <c r="Y108" s="6">
        <v>1.018</v>
      </c>
      <c r="Z108" s="6">
        <v>1.0169999999999999</v>
      </c>
      <c r="AA108" s="6">
        <v>1.022</v>
      </c>
      <c r="AB108" s="6">
        <v>0.84</v>
      </c>
      <c r="AC108" s="6">
        <v>0.99099999999999999</v>
      </c>
      <c r="AD108" s="6">
        <v>0.34399999999999997</v>
      </c>
      <c r="AE108" s="6">
        <f t="shared" si="15"/>
        <v>0.66749999999999998</v>
      </c>
      <c r="AF108" s="107"/>
      <c r="AG108" s="107"/>
      <c r="AH108" s="107"/>
      <c r="AI108" s="107"/>
      <c r="AJ108" s="107"/>
      <c r="AK108" s="107"/>
      <c r="AL108" s="107"/>
      <c r="AM108" s="107"/>
      <c r="AN108" s="107"/>
      <c r="AO108" s="107"/>
      <c r="AP108" s="107"/>
      <c r="AQ108" s="107"/>
      <c r="AR108" s="107"/>
      <c r="AS108" s="107"/>
      <c r="AT108" s="107"/>
      <c r="AU108" s="107"/>
      <c r="AV108" s="107"/>
      <c r="AW108" s="107"/>
      <c r="AX108" s="107"/>
      <c r="AY108" s="107"/>
      <c r="AZ108" s="107"/>
      <c r="BA108" s="107"/>
      <c r="BB108" s="107"/>
      <c r="BC108" s="107"/>
      <c r="BD108" s="107"/>
      <c r="BE108" s="107"/>
      <c r="BF108" s="107"/>
      <c r="BG108" s="107"/>
      <c r="BH108" s="107"/>
      <c r="BI108" s="107"/>
      <c r="BJ108" s="107"/>
      <c r="BK108" s="107"/>
      <c r="BL108" s="107"/>
      <c r="BM108" s="107"/>
      <c r="BN108" s="107"/>
      <c r="BO108" s="107"/>
      <c r="BP108" s="107"/>
      <c r="BQ108" s="107"/>
      <c r="BR108" s="107"/>
      <c r="BS108" s="107"/>
      <c r="BT108" s="107"/>
      <c r="BU108" s="107"/>
      <c r="BV108" s="107"/>
      <c r="BW108" s="107"/>
      <c r="BX108" s="107"/>
      <c r="BY108" s="107"/>
      <c r="BZ108" s="107"/>
      <c r="CA108" s="107"/>
      <c r="CB108" s="107"/>
      <c r="CC108" s="107"/>
      <c r="CD108" s="107"/>
      <c r="CE108" s="107"/>
      <c r="CF108" s="107"/>
      <c r="CG108" s="107"/>
      <c r="CH108" s="107"/>
      <c r="CI108" s="107"/>
      <c r="CJ108" s="107"/>
      <c r="CK108" s="107"/>
      <c r="CL108" s="107"/>
      <c r="CM108" s="107"/>
      <c r="CN108" s="107"/>
      <c r="CO108" s="107"/>
      <c r="CP108" s="107"/>
      <c r="CQ108" s="107"/>
      <c r="CR108" s="107"/>
      <c r="CS108" s="107"/>
      <c r="CT108" s="107"/>
      <c r="CU108" s="107"/>
      <c r="CV108" s="107"/>
      <c r="CW108" s="107"/>
      <c r="CX108" s="107"/>
      <c r="CY108" s="107"/>
      <c r="CZ108" s="107"/>
      <c r="DA108" s="107"/>
      <c r="DB108" s="107"/>
      <c r="DC108" s="107"/>
      <c r="DD108" s="107"/>
      <c r="DE108" s="107"/>
      <c r="DF108" s="107"/>
      <c r="DG108" s="107"/>
      <c r="DH108" s="107"/>
      <c r="DI108" s="107"/>
      <c r="DJ108" s="107"/>
      <c r="DK108" s="107"/>
      <c r="DL108" s="107"/>
      <c r="DM108" s="107"/>
    </row>
    <row r="109" spans="1:117">
      <c r="A109" s="1">
        <f t="shared" si="12"/>
        <v>107</v>
      </c>
      <c r="B109" s="2"/>
      <c r="C109" s="4">
        <v>12</v>
      </c>
      <c r="D109" s="4">
        <f t="shared" si="8"/>
        <v>1016</v>
      </c>
      <c r="E109" s="4" t="s">
        <v>233</v>
      </c>
      <c r="F109" s="4">
        <v>3</v>
      </c>
      <c r="G109" s="4" t="s">
        <v>11</v>
      </c>
      <c r="H109" s="4" t="s">
        <v>17</v>
      </c>
      <c r="I109" s="4"/>
      <c r="J109" s="5">
        <v>95.8</v>
      </c>
      <c r="K109" s="68"/>
      <c r="L109" s="99">
        <v>1.093</v>
      </c>
      <c r="M109" s="7" t="s">
        <v>260</v>
      </c>
      <c r="N109" s="3" t="s">
        <v>205</v>
      </c>
      <c r="O109" s="6">
        <v>1.2330000000000001</v>
      </c>
      <c r="P109" s="6">
        <v>1.157</v>
      </c>
      <c r="Q109" s="4">
        <v>1.5620000000000001</v>
      </c>
      <c r="R109" s="54"/>
      <c r="S109" s="6">
        <v>0.99299999999999999</v>
      </c>
      <c r="T109" s="54"/>
      <c r="U109" s="54"/>
      <c r="V109" s="54"/>
      <c r="W109" s="54"/>
      <c r="X109" s="54"/>
      <c r="Y109" s="6">
        <v>1.2989999999999999</v>
      </c>
      <c r="Z109" s="6">
        <v>1.3520000000000001</v>
      </c>
      <c r="AA109" s="6">
        <v>1.286</v>
      </c>
      <c r="AB109" s="6">
        <v>1.0940000000000001</v>
      </c>
      <c r="AC109" s="6">
        <v>1.0720000000000001</v>
      </c>
      <c r="AD109" s="6">
        <v>0.58299999999999996</v>
      </c>
      <c r="AE109" s="6">
        <f t="shared" si="15"/>
        <v>0.82750000000000001</v>
      </c>
      <c r="AF109" s="107"/>
      <c r="AG109" s="107"/>
      <c r="AH109" s="107"/>
      <c r="AI109" s="107"/>
      <c r="AJ109" s="107"/>
      <c r="AK109" s="107"/>
      <c r="AL109" s="107"/>
      <c r="AM109" s="107"/>
      <c r="AN109" s="107"/>
      <c r="AO109" s="107"/>
      <c r="AP109" s="107"/>
      <c r="AQ109" s="107"/>
      <c r="AR109" s="107"/>
      <c r="AS109" s="107"/>
      <c r="AT109" s="107"/>
      <c r="AU109" s="107"/>
      <c r="AV109" s="107"/>
      <c r="AW109" s="107"/>
      <c r="AX109" s="107"/>
      <c r="AY109" s="107"/>
      <c r="AZ109" s="107"/>
      <c r="BA109" s="107"/>
      <c r="BB109" s="107"/>
      <c r="BC109" s="107"/>
      <c r="BD109" s="107"/>
      <c r="BE109" s="107"/>
      <c r="BF109" s="107"/>
      <c r="BG109" s="107"/>
      <c r="BH109" s="107"/>
      <c r="BI109" s="107"/>
      <c r="BJ109" s="107"/>
      <c r="BK109" s="107"/>
      <c r="BL109" s="107"/>
      <c r="BM109" s="107"/>
      <c r="BN109" s="107"/>
      <c r="BO109" s="107"/>
      <c r="BP109" s="107"/>
      <c r="BQ109" s="107"/>
      <c r="BR109" s="107"/>
      <c r="BS109" s="107"/>
      <c r="BT109" s="107"/>
      <c r="BU109" s="107"/>
      <c r="BV109" s="107"/>
      <c r="BW109" s="107"/>
      <c r="BX109" s="107"/>
      <c r="BY109" s="107"/>
      <c r="BZ109" s="107"/>
      <c r="CA109" s="107"/>
      <c r="CB109" s="107"/>
      <c r="CC109" s="107"/>
      <c r="CD109" s="107"/>
      <c r="CE109" s="107"/>
      <c r="CF109" s="107"/>
      <c r="CG109" s="107"/>
      <c r="CH109" s="107"/>
      <c r="CI109" s="107"/>
      <c r="CJ109" s="107"/>
      <c r="CK109" s="107"/>
      <c r="CL109" s="107"/>
      <c r="CM109" s="107"/>
      <c r="CN109" s="107"/>
      <c r="CO109" s="107"/>
      <c r="CP109" s="107"/>
      <c r="CQ109" s="107"/>
      <c r="CR109" s="107"/>
      <c r="CS109" s="107"/>
      <c r="CT109" s="107"/>
      <c r="CU109" s="107"/>
      <c r="CV109" s="107"/>
      <c r="CW109" s="107"/>
      <c r="CX109" s="107"/>
      <c r="CY109" s="107"/>
      <c r="CZ109" s="107"/>
      <c r="DA109" s="107"/>
      <c r="DB109" s="107"/>
      <c r="DC109" s="107"/>
      <c r="DD109" s="107"/>
      <c r="DE109" s="107"/>
      <c r="DF109" s="107"/>
      <c r="DG109" s="107"/>
      <c r="DH109" s="107"/>
      <c r="DI109" s="107"/>
      <c r="DJ109" s="107"/>
      <c r="DK109" s="107"/>
      <c r="DL109" s="107"/>
      <c r="DM109" s="107"/>
    </row>
    <row r="110" spans="1:117">
      <c r="A110" s="1">
        <f t="shared" si="12"/>
        <v>108</v>
      </c>
      <c r="B110" s="2" t="s">
        <v>380</v>
      </c>
      <c r="C110" s="4">
        <v>15</v>
      </c>
      <c r="D110" s="4">
        <f t="shared" si="8"/>
        <v>1016</v>
      </c>
      <c r="E110" s="4" t="s">
        <v>137</v>
      </c>
      <c r="F110" s="4">
        <v>1</v>
      </c>
      <c r="G110" s="4" t="s">
        <v>11</v>
      </c>
      <c r="H110" s="4" t="s">
        <v>17</v>
      </c>
      <c r="I110" s="4"/>
      <c r="J110" s="5">
        <v>85.5</v>
      </c>
      <c r="K110" s="63">
        <v>1.7999999999999999E-2</v>
      </c>
      <c r="L110" s="99">
        <v>4.0330000000000004</v>
      </c>
      <c r="M110" s="7" t="s">
        <v>158</v>
      </c>
      <c r="N110" s="3" t="s">
        <v>205</v>
      </c>
      <c r="O110" s="22">
        <v>4.2060000000000004</v>
      </c>
      <c r="P110" s="22">
        <v>4.1619999999999999</v>
      </c>
      <c r="Q110" s="22">
        <v>4.6630000000000003</v>
      </c>
      <c r="R110" s="54"/>
      <c r="S110" s="6">
        <v>4.22</v>
      </c>
      <c r="T110" s="6">
        <v>4.1479999999999997</v>
      </c>
      <c r="U110" s="6">
        <v>4.1509999999999998</v>
      </c>
      <c r="V110" s="6">
        <v>4.0890000000000004</v>
      </c>
      <c r="W110" s="54"/>
      <c r="X110" s="54"/>
      <c r="Y110" s="22">
        <v>4.1130000000000004</v>
      </c>
      <c r="Z110" s="22">
        <v>4.1150000000000002</v>
      </c>
      <c r="AA110" s="22">
        <v>4.1340000000000003</v>
      </c>
      <c r="AB110" s="22">
        <v>3.88</v>
      </c>
      <c r="AC110" s="22">
        <v>4.16</v>
      </c>
      <c r="AD110" s="22">
        <v>3.9319999999999999</v>
      </c>
      <c r="AE110" s="22">
        <f t="shared" ref="AE110:AE118" si="16">AVERAGE(AC110:AD110)</f>
        <v>4.0460000000000003</v>
      </c>
      <c r="AF110" s="103">
        <v>4.0190000000000001</v>
      </c>
      <c r="AG110" s="103">
        <v>4.03</v>
      </c>
      <c r="AH110" s="103">
        <v>4.0780000000000003</v>
      </c>
      <c r="AI110" s="103">
        <v>4.1760000000000002</v>
      </c>
      <c r="AJ110" s="103">
        <v>4.28</v>
      </c>
      <c r="AK110" s="103">
        <v>4.0640000000000001</v>
      </c>
      <c r="AL110" s="103">
        <v>4.0679999999999996</v>
      </c>
      <c r="AM110" s="103">
        <v>4.3639999999999999</v>
      </c>
      <c r="AN110" s="103">
        <v>4.359</v>
      </c>
      <c r="AO110" s="103">
        <v>4.2430000000000003</v>
      </c>
      <c r="AP110" s="103">
        <v>4.3879999999999999</v>
      </c>
      <c r="AQ110" s="103">
        <v>4.3819999999999997</v>
      </c>
      <c r="AR110" s="103">
        <v>4.3869999999999996</v>
      </c>
      <c r="AS110" s="103">
        <v>4.3259999999999996</v>
      </c>
      <c r="AT110" s="103">
        <v>4.3239999999999998</v>
      </c>
      <c r="AU110" s="103">
        <v>4.32</v>
      </c>
      <c r="AV110" s="103">
        <v>4.085</v>
      </c>
      <c r="AW110" s="103">
        <v>4.1829999999999998</v>
      </c>
      <c r="AX110" s="103">
        <v>4.4370000000000003</v>
      </c>
      <c r="AY110" s="103">
        <v>4.3310000000000004</v>
      </c>
      <c r="AZ110" s="103">
        <v>4.3849999999999998</v>
      </c>
      <c r="BA110" s="103">
        <v>4.4180000000000001</v>
      </c>
      <c r="BB110" s="103">
        <v>4.4640000000000004</v>
      </c>
      <c r="BC110" s="103">
        <v>4.4580000000000002</v>
      </c>
      <c r="BD110" s="103">
        <v>4.4790000000000001</v>
      </c>
      <c r="BE110" s="103">
        <v>4.0369999999999999</v>
      </c>
      <c r="BF110" s="103">
        <v>4.2560000000000002</v>
      </c>
      <c r="BG110" s="103">
        <v>4.1929999999999996</v>
      </c>
      <c r="BH110" s="103">
        <v>4.2889999999999997</v>
      </c>
      <c r="BI110" s="103">
        <v>4.484</v>
      </c>
      <c r="BJ110" s="103">
        <v>4.3259999999999996</v>
      </c>
      <c r="BK110" s="103">
        <v>3.53</v>
      </c>
      <c r="BL110" s="103">
        <v>3.8860000000000001</v>
      </c>
      <c r="BM110" s="103">
        <v>3.7909999999999999</v>
      </c>
      <c r="BN110" s="103">
        <v>4.2569999999999997</v>
      </c>
      <c r="BO110" s="103">
        <v>4.1399999999999997</v>
      </c>
      <c r="BP110" s="103">
        <v>4.2290000000000001</v>
      </c>
      <c r="BQ110" s="87">
        <v>3.698766</v>
      </c>
      <c r="BR110" s="87">
        <v>3.9895520000000002</v>
      </c>
      <c r="BS110" s="87">
        <v>4.5501529999999999</v>
      </c>
      <c r="BT110" s="87">
        <v>4.0092290000000004</v>
      </c>
      <c r="BU110" s="87">
        <v>4.0635029999999999</v>
      </c>
      <c r="BV110" s="111">
        <v>4.471965</v>
      </c>
      <c r="BW110" s="105">
        <v>4.077</v>
      </c>
      <c r="BX110" s="105">
        <v>4.0860000000000003</v>
      </c>
      <c r="BY110" s="105">
        <v>4.1340000000000003</v>
      </c>
      <c r="BZ110" s="105">
        <v>4.234</v>
      </c>
      <c r="CA110" s="105">
        <v>4.3470000000000004</v>
      </c>
      <c r="CB110" s="105">
        <v>4.1269999999999998</v>
      </c>
      <c r="CC110" s="105">
        <v>4.1310000000000002</v>
      </c>
      <c r="CD110" s="105">
        <v>4.4379999999999997</v>
      </c>
      <c r="CE110" s="105">
        <v>4.4340000000000002</v>
      </c>
      <c r="CF110" s="105">
        <v>4.3140000000000001</v>
      </c>
      <c r="CG110" s="105">
        <v>4.4690000000000003</v>
      </c>
      <c r="CH110" s="105">
        <v>4.4630000000000001</v>
      </c>
      <c r="CI110" s="105">
        <v>4.468</v>
      </c>
      <c r="CJ110" s="105">
        <v>4.3899999999999997</v>
      </c>
      <c r="CK110" s="105">
        <v>4.3890000000000002</v>
      </c>
      <c r="CL110" s="105">
        <v>4.4009999999999998</v>
      </c>
      <c r="CM110" s="105">
        <v>4.141</v>
      </c>
      <c r="CN110" s="105">
        <v>4.2450000000000001</v>
      </c>
      <c r="CO110" s="105">
        <v>4.5979999999999999</v>
      </c>
      <c r="CP110" s="105">
        <v>4.4109999999999996</v>
      </c>
      <c r="CQ110" s="105">
        <v>4.4870000000000001</v>
      </c>
      <c r="CR110" s="105">
        <v>4.5289999999999999</v>
      </c>
      <c r="CS110" s="105">
        <v>4.6029999999999998</v>
      </c>
      <c r="CT110" s="105">
        <v>4.5979999999999999</v>
      </c>
      <c r="CU110" s="105">
        <v>4.5869999999999997</v>
      </c>
      <c r="CV110" s="105">
        <v>4.1520000000000001</v>
      </c>
      <c r="CW110" s="105">
        <v>4.3529999999999998</v>
      </c>
      <c r="CX110" s="105">
        <v>4.3559999999999999</v>
      </c>
      <c r="CY110" s="105">
        <v>4.4740000000000002</v>
      </c>
      <c r="CZ110" s="105">
        <v>4.6589999999999998</v>
      </c>
      <c r="DA110" s="105">
        <v>4.5369999999999999</v>
      </c>
      <c r="DB110" s="105">
        <v>3.8140000000000001</v>
      </c>
      <c r="DC110" s="105">
        <v>4.125</v>
      </c>
      <c r="DD110" s="105">
        <v>4.0540000000000003</v>
      </c>
      <c r="DE110" s="105">
        <v>4.3220000000000001</v>
      </c>
      <c r="DF110" s="105">
        <v>4.2</v>
      </c>
      <c r="DG110" s="105">
        <v>4.2949999999999999</v>
      </c>
      <c r="DH110" s="115">
        <v>3.7583600000000001</v>
      </c>
      <c r="DI110" s="115">
        <v>4.0527499999999996</v>
      </c>
      <c r="DJ110" s="115">
        <v>4.6364299999999998</v>
      </c>
      <c r="DK110" s="115">
        <v>4.0754679999999999</v>
      </c>
      <c r="DL110" s="115">
        <v>4.1290940000000003</v>
      </c>
      <c r="DM110" s="116">
        <v>4.5563130000000003</v>
      </c>
    </row>
    <row r="111" spans="1:117">
      <c r="A111" s="1">
        <f t="shared" si="12"/>
        <v>109</v>
      </c>
      <c r="B111" s="2"/>
      <c r="C111" s="4">
        <v>15</v>
      </c>
      <c r="D111" s="4">
        <f t="shared" si="8"/>
        <v>1016</v>
      </c>
      <c r="E111" s="4" t="s">
        <v>128</v>
      </c>
      <c r="F111" s="4">
        <v>1</v>
      </c>
      <c r="G111" s="4" t="s">
        <v>11</v>
      </c>
      <c r="H111" s="4" t="s">
        <v>12</v>
      </c>
      <c r="I111" s="4"/>
      <c r="J111" s="5">
        <v>84.5</v>
      </c>
      <c r="K111" s="63">
        <v>0</v>
      </c>
      <c r="L111" s="99">
        <v>4.1449999999999996</v>
      </c>
      <c r="M111" s="7" t="s">
        <v>158</v>
      </c>
      <c r="N111" s="3" t="s">
        <v>205</v>
      </c>
      <c r="O111" s="22">
        <v>4.29</v>
      </c>
      <c r="P111" s="22">
        <v>4.0439999999999996</v>
      </c>
      <c r="Q111" s="22">
        <v>4.7060000000000004</v>
      </c>
      <c r="R111" s="54"/>
      <c r="S111" s="6">
        <v>4.5679999999999996</v>
      </c>
      <c r="T111" s="6">
        <v>4.3689999999999998</v>
      </c>
      <c r="U111" s="6">
        <v>4.3479999999999999</v>
      </c>
      <c r="V111" s="6">
        <v>4.2949999999999999</v>
      </c>
      <c r="W111" s="54"/>
      <c r="X111" s="54"/>
      <c r="Y111" s="22">
        <v>4.4219999999999997</v>
      </c>
      <c r="Z111" s="22">
        <v>4.6059999999999999</v>
      </c>
      <c r="AA111" s="22">
        <v>4.4340000000000002</v>
      </c>
      <c r="AB111" s="22">
        <v>4.1520000000000001</v>
      </c>
      <c r="AC111" s="22">
        <v>3.863</v>
      </c>
      <c r="AD111" s="22">
        <v>4.633</v>
      </c>
      <c r="AE111" s="22">
        <f t="shared" si="16"/>
        <v>4.2480000000000002</v>
      </c>
      <c r="AF111" s="103">
        <v>3.4169999999999998</v>
      </c>
      <c r="AG111" s="103">
        <v>3.524</v>
      </c>
      <c r="AH111" s="103">
        <v>3.7130000000000001</v>
      </c>
      <c r="AI111" s="103">
        <v>3.8530000000000002</v>
      </c>
      <c r="AJ111" s="103">
        <v>4.024</v>
      </c>
      <c r="AK111" s="103">
        <v>3.871</v>
      </c>
      <c r="AL111" s="103">
        <v>3.8759999999999999</v>
      </c>
      <c r="AM111" s="103">
        <v>4.3849999999999998</v>
      </c>
      <c r="AN111" s="103">
        <v>4.2370000000000001</v>
      </c>
      <c r="AO111" s="103">
        <v>4.0369999999999999</v>
      </c>
      <c r="AP111" s="103">
        <v>4.3239999999999998</v>
      </c>
      <c r="AQ111" s="103">
        <v>4.3140000000000001</v>
      </c>
      <c r="AR111" s="103">
        <v>4.4850000000000003</v>
      </c>
      <c r="AS111" s="103">
        <v>4.0529999999999999</v>
      </c>
      <c r="AT111" s="103">
        <v>4.0369999999999999</v>
      </c>
      <c r="AU111" s="103">
        <v>4.3369999999999997</v>
      </c>
      <c r="AV111" s="103">
        <v>3.7269999999999999</v>
      </c>
      <c r="AW111" s="103">
        <v>3.9870000000000001</v>
      </c>
      <c r="AX111" s="103">
        <v>4.8860000000000001</v>
      </c>
      <c r="AY111" s="103">
        <v>4.32</v>
      </c>
      <c r="AZ111" s="103">
        <v>4.5170000000000003</v>
      </c>
      <c r="BA111" s="103">
        <v>4.5469999999999997</v>
      </c>
      <c r="BB111" s="103">
        <v>4.649</v>
      </c>
      <c r="BC111" s="103">
        <v>4.5830000000000002</v>
      </c>
      <c r="BD111" s="103">
        <v>4.3470000000000004</v>
      </c>
      <c r="BE111" s="103">
        <v>3.8740000000000001</v>
      </c>
      <c r="BF111" s="103">
        <v>4.2080000000000002</v>
      </c>
      <c r="BG111" s="103">
        <v>4.3259999999999996</v>
      </c>
      <c r="BH111" s="103">
        <v>4.5419999999999998</v>
      </c>
      <c r="BI111" s="103">
        <v>4.8109999999999999</v>
      </c>
      <c r="BJ111" s="103">
        <v>4.6619999999999999</v>
      </c>
      <c r="BK111" s="103">
        <v>3.2210000000000001</v>
      </c>
      <c r="BL111" s="103">
        <v>4.2770000000000001</v>
      </c>
      <c r="BM111" s="103">
        <v>4.2350000000000003</v>
      </c>
      <c r="BN111" s="103">
        <v>4.0549999999999997</v>
      </c>
      <c r="BO111" s="103">
        <v>3.8370000000000002</v>
      </c>
      <c r="BP111" s="103">
        <v>4.1349999999999998</v>
      </c>
      <c r="BQ111" s="87">
        <v>3.5042610000000001</v>
      </c>
      <c r="BR111" s="87">
        <v>3.9964930000000001</v>
      </c>
      <c r="BS111" s="87">
        <v>5.0441289999999999</v>
      </c>
      <c r="BT111" s="87">
        <v>4.0841500000000002</v>
      </c>
      <c r="BU111" s="87">
        <v>4.1553360000000001</v>
      </c>
      <c r="BV111" s="111">
        <v>4.7724169999999999</v>
      </c>
      <c r="BW111" s="105">
        <v>3.4239999999999999</v>
      </c>
      <c r="BX111" s="105">
        <v>3.5329999999999999</v>
      </c>
      <c r="BY111" s="105">
        <v>3.7240000000000002</v>
      </c>
      <c r="BZ111" s="105">
        <v>3.867</v>
      </c>
      <c r="CA111" s="105">
        <v>4.0460000000000003</v>
      </c>
      <c r="CB111" s="105">
        <v>3.8889999999999998</v>
      </c>
      <c r="CC111" s="105">
        <v>3.8929999999999998</v>
      </c>
      <c r="CD111" s="105">
        <v>4.4130000000000003</v>
      </c>
      <c r="CE111" s="105">
        <v>4.2709999999999999</v>
      </c>
      <c r="CF111" s="105">
        <v>4.08</v>
      </c>
      <c r="CG111" s="105">
        <v>4.3789999999999996</v>
      </c>
      <c r="CH111" s="105">
        <v>4.37</v>
      </c>
      <c r="CI111" s="105">
        <v>4.5179999999999998</v>
      </c>
      <c r="CJ111" s="105">
        <v>4.0739999999999998</v>
      </c>
      <c r="CK111" s="105">
        <v>4.0590000000000002</v>
      </c>
      <c r="CL111" s="105">
        <v>4.3579999999999997</v>
      </c>
      <c r="CM111" s="105">
        <v>3.738</v>
      </c>
      <c r="CN111" s="105">
        <v>4.0010000000000003</v>
      </c>
      <c r="CO111" s="105">
        <v>4.92</v>
      </c>
      <c r="CP111" s="105">
        <v>4.3410000000000002</v>
      </c>
      <c r="CQ111" s="105">
        <v>4.5430000000000001</v>
      </c>
      <c r="CR111" s="105">
        <v>4.5739999999999998</v>
      </c>
      <c r="CS111" s="105">
        <v>4.6779999999999999</v>
      </c>
      <c r="CT111" s="105">
        <v>4.6120000000000001</v>
      </c>
      <c r="CU111" s="105">
        <v>4.41</v>
      </c>
      <c r="CV111" s="105">
        <v>3.887</v>
      </c>
      <c r="CW111" s="105">
        <v>4.2329999999999997</v>
      </c>
      <c r="CX111" s="105">
        <v>4.3630000000000004</v>
      </c>
      <c r="CY111" s="105">
        <v>4.5830000000000002</v>
      </c>
      <c r="CZ111" s="105">
        <v>4.8639999999999999</v>
      </c>
      <c r="DA111" s="105">
        <v>4.7190000000000003</v>
      </c>
      <c r="DB111" s="105">
        <v>3.2090000000000001</v>
      </c>
      <c r="DC111" s="105">
        <v>4.3140000000000001</v>
      </c>
      <c r="DD111" s="105">
        <v>4.274</v>
      </c>
      <c r="DE111" s="105">
        <v>4.0709999999999997</v>
      </c>
      <c r="DF111" s="105">
        <v>3.8490000000000002</v>
      </c>
      <c r="DG111" s="105">
        <v>4.1529999999999996</v>
      </c>
      <c r="DH111" s="115">
        <v>3.5265409999999999</v>
      </c>
      <c r="DI111" s="115">
        <v>4.0191410000000003</v>
      </c>
      <c r="DJ111" s="115">
        <v>5.061312</v>
      </c>
      <c r="DK111" s="115">
        <v>4.1088459999999998</v>
      </c>
      <c r="DL111" s="115">
        <v>4.1786320000000003</v>
      </c>
      <c r="DM111" s="116">
        <v>4.7883630000000004</v>
      </c>
    </row>
    <row r="112" spans="1:117">
      <c r="A112" s="1">
        <f t="shared" si="12"/>
        <v>110</v>
      </c>
      <c r="B112" s="2"/>
      <c r="C112" s="4">
        <v>15</v>
      </c>
      <c r="D112" s="4">
        <f t="shared" si="8"/>
        <v>1016</v>
      </c>
      <c r="E112" s="4" t="s">
        <v>118</v>
      </c>
      <c r="F112" s="4">
        <v>1</v>
      </c>
      <c r="G112" s="4" t="s">
        <v>11</v>
      </c>
      <c r="H112" s="4" t="s">
        <v>17</v>
      </c>
      <c r="I112" s="4"/>
      <c r="J112" s="5">
        <v>88.8</v>
      </c>
      <c r="K112" s="63">
        <v>0.218</v>
      </c>
      <c r="L112" s="99">
        <v>4.1550000000000002</v>
      </c>
      <c r="M112" s="7" t="s">
        <v>158</v>
      </c>
      <c r="N112" s="3" t="s">
        <v>205</v>
      </c>
      <c r="O112" s="22">
        <v>4.4320000000000004</v>
      </c>
      <c r="P112" s="22">
        <v>4.1269999999999998</v>
      </c>
      <c r="Q112" s="22">
        <v>4.7489999999999997</v>
      </c>
      <c r="R112" s="54"/>
      <c r="S112" s="6">
        <v>4.4059999999999997</v>
      </c>
      <c r="T112" s="6">
        <v>4.2670000000000003</v>
      </c>
      <c r="U112" s="6">
        <v>4.2569999999999997</v>
      </c>
      <c r="V112" s="6">
        <v>4.2370000000000001</v>
      </c>
      <c r="W112" s="54"/>
      <c r="X112" s="54"/>
      <c r="Y112" s="22">
        <v>4.2910000000000004</v>
      </c>
      <c r="Z112" s="22">
        <v>4.3499999999999996</v>
      </c>
      <c r="AA112" s="22">
        <v>4.2809999999999997</v>
      </c>
      <c r="AB112" s="22">
        <v>4.0709999999999997</v>
      </c>
      <c r="AC112" s="22">
        <v>4.0780000000000003</v>
      </c>
      <c r="AD112" s="22">
        <v>4.0030000000000001</v>
      </c>
      <c r="AE112" s="22">
        <f t="shared" si="16"/>
        <v>4.0404999999999998</v>
      </c>
      <c r="AF112" s="103">
        <v>3.6680000000000001</v>
      </c>
      <c r="AG112" s="103">
        <v>3.6739999999999999</v>
      </c>
      <c r="AH112" s="103">
        <v>3.73</v>
      </c>
      <c r="AI112" s="103">
        <v>3.83</v>
      </c>
      <c r="AJ112" s="103">
        <v>3.871</v>
      </c>
      <c r="AK112" s="103">
        <v>3.746</v>
      </c>
      <c r="AL112" s="103">
        <v>3.7610000000000001</v>
      </c>
      <c r="AM112" s="103">
        <v>4.0309999999999997</v>
      </c>
      <c r="AN112" s="103">
        <v>4.0449999999999999</v>
      </c>
      <c r="AO112" s="103">
        <v>3.9460000000000002</v>
      </c>
      <c r="AP112" s="103">
        <v>4.1050000000000004</v>
      </c>
      <c r="AQ112" s="103">
        <v>4.1100000000000003</v>
      </c>
      <c r="AR112" s="103">
        <v>4.1319999999999997</v>
      </c>
      <c r="AS112" s="103">
        <v>3.9609999999999999</v>
      </c>
      <c r="AT112" s="103">
        <v>3.9540000000000002</v>
      </c>
      <c r="AU112" s="103">
        <v>4.0570000000000004</v>
      </c>
      <c r="AV112" s="103">
        <v>3.782</v>
      </c>
      <c r="AW112" s="103">
        <v>3.8650000000000002</v>
      </c>
      <c r="AX112" s="103">
        <v>4.2640000000000002</v>
      </c>
      <c r="AY112" s="103">
        <v>4.0830000000000002</v>
      </c>
      <c r="AZ112" s="103">
        <v>4.1710000000000003</v>
      </c>
      <c r="BA112" s="103">
        <v>4.2290000000000001</v>
      </c>
      <c r="BB112" s="103">
        <v>4.3090000000000002</v>
      </c>
      <c r="BC112" s="103">
        <v>4.3280000000000003</v>
      </c>
      <c r="BD112" s="103">
        <v>4.234</v>
      </c>
      <c r="BE112" s="103">
        <v>3.8980000000000001</v>
      </c>
      <c r="BF112" s="103">
        <v>4.0140000000000002</v>
      </c>
      <c r="BG112" s="103">
        <v>4.1130000000000004</v>
      </c>
      <c r="BH112" s="103">
        <v>4.2270000000000003</v>
      </c>
      <c r="BI112" s="103">
        <v>4.3380000000000001</v>
      </c>
      <c r="BJ112" s="103">
        <v>4.2880000000000003</v>
      </c>
      <c r="BK112" s="103">
        <v>4.0090000000000003</v>
      </c>
      <c r="BL112" s="103">
        <v>4.0519999999999996</v>
      </c>
      <c r="BM112" s="103">
        <v>4.008</v>
      </c>
      <c r="BN112" s="103">
        <v>3.9239999999999999</v>
      </c>
      <c r="BO112" s="103">
        <v>3.8039999999999998</v>
      </c>
      <c r="BP112" s="103">
        <v>3.9140000000000001</v>
      </c>
      <c r="BQ112" s="87">
        <v>3.453605</v>
      </c>
      <c r="BR112" s="87">
        <v>3.759442</v>
      </c>
      <c r="BS112" s="87">
        <v>4.217085</v>
      </c>
      <c r="BT112" s="87">
        <v>3.7720739999999999</v>
      </c>
      <c r="BU112" s="87">
        <v>3.8409070000000001</v>
      </c>
      <c r="BV112" s="111">
        <v>4.1319100000000004</v>
      </c>
      <c r="BW112" s="105">
        <v>3.871</v>
      </c>
      <c r="BX112" s="105">
        <v>3.88</v>
      </c>
      <c r="BY112" s="105">
        <v>3.9350000000000001</v>
      </c>
      <c r="BZ112" s="105">
        <v>4.0380000000000003</v>
      </c>
      <c r="CA112" s="105">
        <v>4.0780000000000003</v>
      </c>
      <c r="CB112" s="105">
        <v>3.9510000000000001</v>
      </c>
      <c r="CC112" s="105">
        <v>3.9510000000000001</v>
      </c>
      <c r="CD112" s="105">
        <v>4.242</v>
      </c>
      <c r="CE112" s="105">
        <v>4.2729999999999997</v>
      </c>
      <c r="CF112" s="105">
        <v>4.17</v>
      </c>
      <c r="CG112" s="105">
        <v>4.3380000000000001</v>
      </c>
      <c r="CH112" s="105">
        <v>4.34</v>
      </c>
      <c r="CI112" s="105">
        <v>4.3630000000000004</v>
      </c>
      <c r="CJ112" s="105">
        <v>4.1719999999999997</v>
      </c>
      <c r="CK112" s="105">
        <v>4.1660000000000004</v>
      </c>
      <c r="CL112" s="105">
        <v>4.2830000000000004</v>
      </c>
      <c r="CM112" s="105">
        <v>4</v>
      </c>
      <c r="CN112" s="105">
        <v>4.0780000000000003</v>
      </c>
      <c r="CO112" s="105">
        <v>4.5350000000000001</v>
      </c>
      <c r="CP112" s="105">
        <v>4.3150000000000004</v>
      </c>
      <c r="CQ112" s="105">
        <v>4.415</v>
      </c>
      <c r="CR112" s="105">
        <v>4.4740000000000002</v>
      </c>
      <c r="CS112" s="105">
        <v>4.5620000000000003</v>
      </c>
      <c r="CT112" s="105">
        <v>4.5860000000000003</v>
      </c>
      <c r="CU112" s="105">
        <v>4.4960000000000004</v>
      </c>
      <c r="CV112" s="105">
        <v>4.0590000000000002</v>
      </c>
      <c r="CW112" s="105">
        <v>4.2039999999999997</v>
      </c>
      <c r="CX112" s="105">
        <v>4.2880000000000003</v>
      </c>
      <c r="CY112" s="105">
        <v>4.4409999999999998</v>
      </c>
      <c r="CZ112" s="105">
        <v>4.5780000000000003</v>
      </c>
      <c r="DA112" s="105">
        <v>4.4980000000000002</v>
      </c>
      <c r="DB112" s="105">
        <v>4.0970000000000004</v>
      </c>
      <c r="DC112" s="105">
        <v>4.2439999999999998</v>
      </c>
      <c r="DD112" s="105">
        <v>4.1970000000000001</v>
      </c>
      <c r="DE112" s="105">
        <v>4.1360000000000001</v>
      </c>
      <c r="DF112" s="105">
        <v>4.0119999999999996</v>
      </c>
      <c r="DG112" s="105">
        <v>4.1260000000000003</v>
      </c>
      <c r="DH112" s="115">
        <v>3.705813</v>
      </c>
      <c r="DI112" s="115">
        <v>4.0044500000000003</v>
      </c>
      <c r="DJ112" s="115">
        <v>4.4428749999999999</v>
      </c>
      <c r="DK112" s="115">
        <v>4.0187249999999999</v>
      </c>
      <c r="DL112" s="115">
        <v>4.0842660000000004</v>
      </c>
      <c r="DM112" s="116">
        <v>4.3597440000000001</v>
      </c>
    </row>
    <row r="113" spans="1:117">
      <c r="A113" s="1">
        <f t="shared" si="12"/>
        <v>111</v>
      </c>
      <c r="B113" s="2"/>
      <c r="C113" s="4">
        <v>15</v>
      </c>
      <c r="D113" s="4">
        <f t="shared" si="8"/>
        <v>1016</v>
      </c>
      <c r="E113" s="4" t="s">
        <v>131</v>
      </c>
      <c r="F113" s="4">
        <v>1</v>
      </c>
      <c r="G113" s="4" t="s">
        <v>11</v>
      </c>
      <c r="H113" s="4" t="s">
        <v>12</v>
      </c>
      <c r="I113" s="4"/>
      <c r="J113" s="5">
        <v>85.2</v>
      </c>
      <c r="K113" s="68"/>
      <c r="L113" s="99">
        <v>4.6319999999999997</v>
      </c>
      <c r="M113" s="7" t="s">
        <v>158</v>
      </c>
      <c r="N113" s="3" t="s">
        <v>205</v>
      </c>
      <c r="O113" s="22">
        <v>4.8099999999999996</v>
      </c>
      <c r="P113" s="22">
        <v>4.5810000000000004</v>
      </c>
      <c r="Q113" s="22">
        <v>5.0910000000000002</v>
      </c>
      <c r="R113" s="54"/>
      <c r="S113" s="6">
        <v>4.9969999999999999</v>
      </c>
      <c r="T113" s="6">
        <v>4.8120000000000003</v>
      </c>
      <c r="U113" s="6">
        <v>4.7939999999999996</v>
      </c>
      <c r="V113" s="6">
        <v>4.7510000000000003</v>
      </c>
      <c r="W113" s="54"/>
      <c r="X113" s="54"/>
      <c r="Y113" s="22">
        <v>4.827</v>
      </c>
      <c r="Z113" s="22">
        <v>5.0170000000000003</v>
      </c>
      <c r="AA113" s="22">
        <v>4.883</v>
      </c>
      <c r="AB113" s="22">
        <v>4.5670000000000002</v>
      </c>
      <c r="AC113" s="22">
        <v>4.3780000000000001</v>
      </c>
      <c r="AD113" s="22">
        <v>4.9980000000000002</v>
      </c>
      <c r="AE113" s="22">
        <f t="shared" si="16"/>
        <v>4.6880000000000006</v>
      </c>
      <c r="AF113" s="103">
        <v>3.9780000000000002</v>
      </c>
      <c r="AG113" s="103">
        <v>4.0679999999999996</v>
      </c>
      <c r="AH113" s="103">
        <v>4.2409999999999997</v>
      </c>
      <c r="AI113" s="103">
        <v>4.3639999999999999</v>
      </c>
      <c r="AJ113" s="103">
        <v>4.5369999999999999</v>
      </c>
      <c r="AK113" s="103">
        <v>4.3819999999999997</v>
      </c>
      <c r="AL113" s="103">
        <v>4.3890000000000002</v>
      </c>
      <c r="AM113" s="103">
        <v>4.8460000000000001</v>
      </c>
      <c r="AN113" s="103">
        <v>4.6760000000000002</v>
      </c>
      <c r="AO113" s="103">
        <v>4.4340000000000002</v>
      </c>
      <c r="AP113" s="103">
        <v>4.7030000000000003</v>
      </c>
      <c r="AQ113" s="103">
        <v>4.6950000000000003</v>
      </c>
      <c r="AR113" s="103">
        <v>4.8760000000000003</v>
      </c>
      <c r="AS113" s="103">
        <v>4.5250000000000004</v>
      </c>
      <c r="AT113" s="103">
        <v>4.508</v>
      </c>
      <c r="AU113" s="103">
        <v>4.7530000000000001</v>
      </c>
      <c r="AV113" s="103">
        <v>4.2240000000000002</v>
      </c>
      <c r="AW113" s="103">
        <v>4.4729999999999999</v>
      </c>
      <c r="AX113" s="103">
        <v>5.2119999999999997</v>
      </c>
      <c r="AY113" s="103">
        <v>4.7309999999999999</v>
      </c>
      <c r="AZ113" s="103">
        <v>4.883</v>
      </c>
      <c r="BA113" s="103">
        <v>4.9130000000000003</v>
      </c>
      <c r="BB113" s="103">
        <v>4.9950000000000001</v>
      </c>
      <c r="BC113" s="103">
        <v>4.92</v>
      </c>
      <c r="BD113" s="103">
        <v>4.6710000000000003</v>
      </c>
      <c r="BE113" s="103">
        <v>4.3929999999999998</v>
      </c>
      <c r="BF113" s="103">
        <v>4.6779999999999999</v>
      </c>
      <c r="BG113" s="103">
        <v>4.7670000000000003</v>
      </c>
      <c r="BH113" s="103">
        <v>4.923</v>
      </c>
      <c r="BI113" s="103">
        <v>5.16</v>
      </c>
      <c r="BJ113" s="103">
        <v>5.0369999999999999</v>
      </c>
      <c r="BK113" s="103">
        <v>3.74</v>
      </c>
      <c r="BL113" s="103">
        <v>4.68</v>
      </c>
      <c r="BM113" s="103">
        <v>4.6390000000000002</v>
      </c>
      <c r="BN113" s="103">
        <v>4.5259999999999998</v>
      </c>
      <c r="BO113" s="103">
        <v>4.3410000000000002</v>
      </c>
      <c r="BP113" s="103">
        <v>4.5890000000000004</v>
      </c>
      <c r="BQ113" s="87">
        <v>3.9342480000000002</v>
      </c>
      <c r="BR113" s="87">
        <v>4.4236469999999999</v>
      </c>
      <c r="BS113" s="87">
        <v>5.5815400000000004</v>
      </c>
      <c r="BT113" s="87">
        <v>4.4939249999999999</v>
      </c>
      <c r="BU113" s="87">
        <v>4.574522</v>
      </c>
      <c r="BV113" s="111">
        <v>5.3263309999999997</v>
      </c>
      <c r="BW113" s="105">
        <v>3.9860000000000002</v>
      </c>
      <c r="BX113" s="105">
        <v>4.0780000000000003</v>
      </c>
      <c r="BY113" s="105">
        <v>4.2530000000000001</v>
      </c>
      <c r="BZ113" s="105">
        <v>4.38</v>
      </c>
      <c r="CA113" s="105">
        <v>4.5609999999999999</v>
      </c>
      <c r="CB113" s="105">
        <v>4.4020000000000001</v>
      </c>
      <c r="CC113" s="105">
        <v>4.41</v>
      </c>
      <c r="CD113" s="105">
        <v>4.875</v>
      </c>
      <c r="CE113" s="105">
        <v>4.7110000000000003</v>
      </c>
      <c r="CF113" s="105">
        <v>4.4790000000000001</v>
      </c>
      <c r="CG113" s="105">
        <v>4.7569999999999997</v>
      </c>
      <c r="CH113" s="105">
        <v>4.7510000000000003</v>
      </c>
      <c r="CI113" s="105">
        <v>4.9089999999999998</v>
      </c>
      <c r="CJ113" s="105">
        <v>4.5469999999999997</v>
      </c>
      <c r="CK113" s="105">
        <v>4.532</v>
      </c>
      <c r="CL113" s="105">
        <v>4.7750000000000004</v>
      </c>
      <c r="CM113" s="105">
        <v>4.2359999999999998</v>
      </c>
      <c r="CN113" s="105">
        <v>4.4889999999999999</v>
      </c>
      <c r="CO113" s="105">
        <v>5.2450000000000001</v>
      </c>
      <c r="CP113" s="105">
        <v>4.7539999999999996</v>
      </c>
      <c r="CQ113" s="105">
        <v>4.9089999999999998</v>
      </c>
      <c r="CR113" s="105">
        <v>4.9400000000000004</v>
      </c>
      <c r="CS113" s="105">
        <v>5.0229999999999997</v>
      </c>
      <c r="CT113" s="105">
        <v>4.9489999999999998</v>
      </c>
      <c r="CU113" s="105">
        <v>4.7320000000000002</v>
      </c>
      <c r="CV113" s="105">
        <v>4.4109999999999996</v>
      </c>
      <c r="CW113" s="105">
        <v>4.7060000000000004</v>
      </c>
      <c r="CX113" s="105">
        <v>4.8090000000000002</v>
      </c>
      <c r="CY113" s="105">
        <v>4.9640000000000004</v>
      </c>
      <c r="CZ113" s="105">
        <v>5.2110000000000003</v>
      </c>
      <c r="DA113" s="105">
        <v>5.0940000000000003</v>
      </c>
      <c r="DB113" s="105">
        <v>3.7389999999999999</v>
      </c>
      <c r="DC113" s="105">
        <v>4.7190000000000003</v>
      </c>
      <c r="DD113" s="105">
        <v>4.68</v>
      </c>
      <c r="DE113" s="105">
        <v>4.5439999999999996</v>
      </c>
      <c r="DF113" s="105">
        <v>4.3550000000000004</v>
      </c>
      <c r="DG113" s="105">
        <v>4.609</v>
      </c>
      <c r="DH113" s="115">
        <v>3.9591440000000002</v>
      </c>
      <c r="DI113" s="115">
        <v>4.4483430000000004</v>
      </c>
      <c r="DJ113" s="115">
        <v>5.600943</v>
      </c>
      <c r="DK113" s="115">
        <v>4.5202830000000001</v>
      </c>
      <c r="DL113" s="115">
        <v>4.5995889999999999</v>
      </c>
      <c r="DM113" s="116">
        <v>5.3446280000000002</v>
      </c>
    </row>
    <row r="114" spans="1:117">
      <c r="A114" s="1">
        <f t="shared" si="12"/>
        <v>112</v>
      </c>
      <c r="B114" s="2"/>
      <c r="C114" s="4">
        <v>15</v>
      </c>
      <c r="D114" s="4">
        <f t="shared" si="8"/>
        <v>1016</v>
      </c>
      <c r="E114" s="4" t="s">
        <v>143</v>
      </c>
      <c r="F114" s="4">
        <v>3</v>
      </c>
      <c r="G114" s="4" t="s">
        <v>11</v>
      </c>
      <c r="H114" s="4" t="s">
        <v>17</v>
      </c>
      <c r="I114" s="4"/>
      <c r="J114" s="5">
        <v>97.3</v>
      </c>
      <c r="K114" s="68"/>
      <c r="L114" s="99">
        <v>2.7800000000000002</v>
      </c>
      <c r="M114" s="7" t="s">
        <v>260</v>
      </c>
      <c r="N114" s="3" t="s">
        <v>205</v>
      </c>
      <c r="O114" s="22">
        <v>3.194</v>
      </c>
      <c r="P114" s="22">
        <v>2.92</v>
      </c>
      <c r="Q114" s="22">
        <v>3.2149999999999999</v>
      </c>
      <c r="R114" s="54"/>
      <c r="S114" s="6">
        <v>2.7349999999999999</v>
      </c>
      <c r="T114" s="54"/>
      <c r="U114" s="54"/>
      <c r="V114" s="54"/>
      <c r="W114" s="54"/>
      <c r="X114" s="54"/>
      <c r="Y114" s="22">
        <v>3.016</v>
      </c>
      <c r="Z114" s="22">
        <v>3.0270000000000001</v>
      </c>
      <c r="AA114" s="22">
        <v>2.9929999999999999</v>
      </c>
      <c r="AB114" s="6">
        <v>2.8460000000000001</v>
      </c>
      <c r="AC114" s="22">
        <v>2.907</v>
      </c>
      <c r="AD114" s="22">
        <v>2.5169999999999999</v>
      </c>
      <c r="AE114" s="22">
        <f t="shared" si="16"/>
        <v>2.7119999999999997</v>
      </c>
      <c r="AF114" s="103">
        <v>2.3069999999999999</v>
      </c>
      <c r="AG114" s="103">
        <v>2.3809999999999998</v>
      </c>
      <c r="AH114" s="103">
        <v>2.3740000000000001</v>
      </c>
      <c r="AI114" s="103">
        <v>2.2669999999999999</v>
      </c>
      <c r="AJ114" s="107"/>
      <c r="AK114" s="103">
        <v>2.33</v>
      </c>
      <c r="AL114" s="103">
        <v>2.3410000000000002</v>
      </c>
      <c r="AM114" s="103">
        <v>2.4359999999999999</v>
      </c>
      <c r="AN114" s="103">
        <v>2.5640000000000001</v>
      </c>
      <c r="AO114" s="103">
        <v>2.4470000000000001</v>
      </c>
      <c r="AP114" s="103">
        <v>2.718</v>
      </c>
      <c r="AQ114" s="103">
        <v>2.7080000000000002</v>
      </c>
      <c r="AR114" s="103">
        <v>2.7290000000000001</v>
      </c>
      <c r="AS114" s="103">
        <v>2.5289999999999999</v>
      </c>
      <c r="AT114" s="103">
        <v>2.5219999999999998</v>
      </c>
      <c r="AU114" s="103">
        <v>2.254</v>
      </c>
      <c r="AV114" s="103">
        <v>2.4620000000000002</v>
      </c>
      <c r="AW114" s="103">
        <v>2.327</v>
      </c>
      <c r="AX114" s="103">
        <v>1.0680000000000001</v>
      </c>
      <c r="AY114" s="103">
        <v>2.3679999999999999</v>
      </c>
      <c r="AZ114" s="103">
        <v>2.5369999999999999</v>
      </c>
      <c r="BA114" s="103">
        <v>2.2200000000000002</v>
      </c>
      <c r="BB114" s="103">
        <v>2.0910000000000002</v>
      </c>
      <c r="BC114" s="103">
        <v>1.82</v>
      </c>
      <c r="BD114" s="103">
        <v>2.3740000000000001</v>
      </c>
      <c r="BE114" s="107"/>
      <c r="BF114" s="107"/>
      <c r="BG114" s="107"/>
      <c r="BH114" s="107"/>
      <c r="BI114" s="107"/>
      <c r="BJ114" s="107"/>
      <c r="BK114" s="107"/>
      <c r="BL114" s="107"/>
      <c r="BM114" s="107"/>
      <c r="BN114" s="103">
        <v>2.645</v>
      </c>
      <c r="BO114" s="103">
        <v>2.3940000000000001</v>
      </c>
      <c r="BP114" s="103">
        <v>2.5880000000000001</v>
      </c>
      <c r="BQ114" s="87">
        <v>2.0332870000000001</v>
      </c>
      <c r="BR114" s="87">
        <v>2.2244649999999999</v>
      </c>
      <c r="BS114" s="87">
        <v>2.7505299999999999</v>
      </c>
      <c r="BT114" s="87">
        <v>2.1608900000000002</v>
      </c>
      <c r="BU114" s="87">
        <v>2.245911</v>
      </c>
      <c r="BV114" s="111">
        <v>2.7204100000000002</v>
      </c>
      <c r="BW114" s="105">
        <v>2.5419999999999998</v>
      </c>
      <c r="BX114" s="105">
        <v>2.5760000000000001</v>
      </c>
      <c r="BY114" s="105">
        <v>2.59</v>
      </c>
      <c r="BZ114" s="105">
        <v>2.5859999999999999</v>
      </c>
      <c r="CA114" s="105">
        <v>2.16</v>
      </c>
      <c r="CB114" s="105">
        <v>2.609</v>
      </c>
      <c r="CC114" s="105">
        <v>2.6280000000000001</v>
      </c>
      <c r="CD114" s="105">
        <v>2.7690000000000001</v>
      </c>
      <c r="CE114" s="105">
        <v>2.8210000000000002</v>
      </c>
      <c r="CF114" s="105">
        <v>2.72</v>
      </c>
      <c r="CG114" s="105">
        <v>2.9209999999999998</v>
      </c>
      <c r="CH114" s="105">
        <v>2.911</v>
      </c>
      <c r="CI114" s="105">
        <v>2.9420000000000002</v>
      </c>
      <c r="CJ114" s="105">
        <v>2.7770000000000001</v>
      </c>
      <c r="CK114" s="105">
        <v>2.7679999999999998</v>
      </c>
      <c r="CL114" s="105">
        <v>2.6890000000000001</v>
      </c>
      <c r="CM114" s="105">
        <v>2.637</v>
      </c>
      <c r="CN114" s="105">
        <v>2.6269999999999998</v>
      </c>
      <c r="CO114" s="105">
        <v>2.5979999999999999</v>
      </c>
      <c r="CP114" s="105">
        <v>2.7440000000000002</v>
      </c>
      <c r="CQ114" s="105">
        <v>2.8639999999999999</v>
      </c>
      <c r="CR114" s="105">
        <v>2.7789999999999999</v>
      </c>
      <c r="CS114" s="105">
        <v>2.802</v>
      </c>
      <c r="CT114" s="105">
        <v>2.7010000000000001</v>
      </c>
      <c r="CU114" s="105">
        <v>2.8109999999999999</v>
      </c>
      <c r="CV114" s="105">
        <v>2.762</v>
      </c>
      <c r="CW114" s="105">
        <v>2.68</v>
      </c>
      <c r="CX114" s="105">
        <v>2.8039999999999998</v>
      </c>
      <c r="CY114" s="105">
        <v>2.88</v>
      </c>
      <c r="CZ114" s="105">
        <v>2.7480000000000002</v>
      </c>
      <c r="DA114" s="105">
        <v>2.8330000000000002</v>
      </c>
      <c r="DB114" s="105">
        <v>3.28</v>
      </c>
      <c r="DC114" s="105">
        <v>2.7879999999999998</v>
      </c>
      <c r="DD114" s="105">
        <v>2.786</v>
      </c>
      <c r="DE114" s="105">
        <v>2.8029999999999999</v>
      </c>
      <c r="DF114" s="105">
        <v>2.629</v>
      </c>
      <c r="DG114" s="105">
        <v>2.774</v>
      </c>
      <c r="DH114" s="115">
        <v>2.2317369999999999</v>
      </c>
      <c r="DI114" s="115">
        <v>2.465776</v>
      </c>
      <c r="DJ114" s="115">
        <v>2.9567649999999999</v>
      </c>
      <c r="DK114" s="115">
        <v>2.4429759999999998</v>
      </c>
      <c r="DL114" s="115">
        <v>2.515609</v>
      </c>
      <c r="DM114" s="116">
        <v>2.9019940000000002</v>
      </c>
    </row>
    <row r="115" spans="1:117">
      <c r="A115" s="1">
        <f t="shared" si="12"/>
        <v>113</v>
      </c>
      <c r="B115" s="2"/>
      <c r="C115" s="4">
        <v>15</v>
      </c>
      <c r="D115" s="4">
        <f t="shared" si="8"/>
        <v>1016</v>
      </c>
      <c r="E115" s="4" t="s">
        <v>142</v>
      </c>
      <c r="F115" s="4">
        <v>3</v>
      </c>
      <c r="G115" s="4" t="s">
        <v>11</v>
      </c>
      <c r="H115" s="4" t="s">
        <v>17</v>
      </c>
      <c r="I115" s="4"/>
      <c r="J115" s="5">
        <v>96.7</v>
      </c>
      <c r="K115" s="68"/>
      <c r="L115" s="99">
        <v>3.7849999999999997</v>
      </c>
      <c r="M115" s="7" t="s">
        <v>260</v>
      </c>
      <c r="N115" s="3" t="s">
        <v>205</v>
      </c>
      <c r="O115" s="22">
        <v>4.1870000000000003</v>
      </c>
      <c r="P115" s="22">
        <v>3.9239999999999999</v>
      </c>
      <c r="Q115" s="22">
        <v>4.2439999999999998</v>
      </c>
      <c r="R115" s="54"/>
      <c r="S115" s="6">
        <v>3.8460000000000001</v>
      </c>
      <c r="T115" s="54"/>
      <c r="U115" s="54"/>
      <c r="V115" s="54"/>
      <c r="W115" s="54"/>
      <c r="X115" s="54"/>
      <c r="Y115" s="22">
        <v>3.9630000000000001</v>
      </c>
      <c r="Z115" s="22">
        <v>3.9830000000000001</v>
      </c>
      <c r="AA115" s="22">
        <v>3.9670000000000001</v>
      </c>
      <c r="AB115" s="6">
        <v>3.7789999999999999</v>
      </c>
      <c r="AC115" s="22">
        <v>3.8969999999999998</v>
      </c>
      <c r="AD115" s="22">
        <v>3.5289999999999999</v>
      </c>
      <c r="AE115" s="22">
        <f t="shared" si="16"/>
        <v>3.7130000000000001</v>
      </c>
      <c r="AF115" s="103">
        <v>3.327</v>
      </c>
      <c r="AG115" s="103">
        <v>3.367</v>
      </c>
      <c r="AH115" s="103">
        <v>3.3889999999999998</v>
      </c>
      <c r="AI115" s="103">
        <v>3.3940000000000001</v>
      </c>
      <c r="AJ115" s="107"/>
      <c r="AK115" s="103">
        <v>3.3940000000000001</v>
      </c>
      <c r="AL115" s="103">
        <v>3.411</v>
      </c>
      <c r="AM115" s="103">
        <v>3.5939999999999999</v>
      </c>
      <c r="AN115" s="103">
        <v>3.649</v>
      </c>
      <c r="AO115" s="103">
        <v>3.5529999999999999</v>
      </c>
      <c r="AP115" s="103">
        <v>3.74</v>
      </c>
      <c r="AQ115" s="103">
        <v>3.7109999999999999</v>
      </c>
      <c r="AR115" s="103">
        <v>3.738</v>
      </c>
      <c r="AS115" s="103">
        <v>3.6179999999999999</v>
      </c>
      <c r="AT115" s="103">
        <v>3.61</v>
      </c>
      <c r="AU115" s="103">
        <v>3.5030000000000001</v>
      </c>
      <c r="AV115" s="103">
        <v>3.4449999999999998</v>
      </c>
      <c r="AW115" s="103">
        <v>3.44</v>
      </c>
      <c r="AX115" s="103">
        <v>3.18</v>
      </c>
      <c r="AY115" s="103">
        <v>3.5670000000000002</v>
      </c>
      <c r="AZ115" s="103">
        <v>3.681</v>
      </c>
      <c r="BA115" s="103">
        <v>3.577</v>
      </c>
      <c r="BB115" s="103">
        <v>3.569</v>
      </c>
      <c r="BC115" s="103">
        <v>3.4390000000000001</v>
      </c>
      <c r="BD115" s="103">
        <v>3.6539999999999999</v>
      </c>
      <c r="BE115" s="107"/>
      <c r="BF115" s="107"/>
      <c r="BG115" s="107"/>
      <c r="BH115" s="107"/>
      <c r="BI115" s="107"/>
      <c r="BJ115" s="107"/>
      <c r="BK115" s="107"/>
      <c r="BL115" s="107"/>
      <c r="BM115" s="107"/>
      <c r="BN115" s="103">
        <v>3.617</v>
      </c>
      <c r="BO115" s="103">
        <v>3.4329999999999998</v>
      </c>
      <c r="BP115" s="103">
        <v>3.5779999999999998</v>
      </c>
      <c r="BQ115" s="87">
        <v>2.9763459999999999</v>
      </c>
      <c r="BR115" s="87">
        <v>3.2374139999999998</v>
      </c>
      <c r="BS115" s="87">
        <v>3.708275</v>
      </c>
      <c r="BT115" s="87">
        <v>3.2153520000000002</v>
      </c>
      <c r="BU115" s="87">
        <v>3.2907479999999998</v>
      </c>
      <c r="BV115" s="111">
        <v>3.6484200000000002</v>
      </c>
      <c r="BW115" s="105">
        <v>3.4049999999999998</v>
      </c>
      <c r="BX115" s="105">
        <v>3.431</v>
      </c>
      <c r="BY115" s="105">
        <v>3.4580000000000002</v>
      </c>
      <c r="BZ115" s="105">
        <v>3.4980000000000002</v>
      </c>
      <c r="CA115" s="105">
        <v>3.2989999999999999</v>
      </c>
      <c r="CB115" s="105">
        <v>3.4769999999999999</v>
      </c>
      <c r="CC115" s="105">
        <v>3.4990000000000001</v>
      </c>
      <c r="CD115" s="105">
        <v>3.7029999999999998</v>
      </c>
      <c r="CE115" s="105">
        <v>3.7330000000000001</v>
      </c>
      <c r="CF115" s="105">
        <v>3.633</v>
      </c>
      <c r="CG115" s="105">
        <v>3.81</v>
      </c>
      <c r="CH115" s="105">
        <v>3.7869999999999999</v>
      </c>
      <c r="CI115" s="105">
        <v>3.82</v>
      </c>
      <c r="CJ115" s="105">
        <v>3.694</v>
      </c>
      <c r="CK115" s="105">
        <v>3.6840000000000002</v>
      </c>
      <c r="CL115" s="105">
        <v>3.6440000000000001</v>
      </c>
      <c r="CM115" s="105">
        <v>3.5</v>
      </c>
      <c r="CN115" s="105">
        <v>3.5350000000000001</v>
      </c>
      <c r="CO115" s="105">
        <v>3.68</v>
      </c>
      <c r="CP115" s="105">
        <v>3.6880000000000002</v>
      </c>
      <c r="CQ115" s="105">
        <v>3.7890000000000001</v>
      </c>
      <c r="CR115" s="105">
        <v>3.7650000000000001</v>
      </c>
      <c r="CS115" s="105">
        <v>3.8130000000000002</v>
      </c>
      <c r="CT115" s="105">
        <v>3.7389999999999999</v>
      </c>
      <c r="CU115" s="105">
        <v>3.7909999999999999</v>
      </c>
      <c r="CV115" s="105">
        <v>3.7029999999999998</v>
      </c>
      <c r="CW115" s="105">
        <v>3.669</v>
      </c>
      <c r="CX115" s="105">
        <v>3.8159999999999998</v>
      </c>
      <c r="CY115" s="105">
        <v>3.8559999999999999</v>
      </c>
      <c r="CZ115" s="105">
        <v>3.8220000000000001</v>
      </c>
      <c r="DA115" s="105">
        <v>3.8889999999999998</v>
      </c>
      <c r="DB115" s="105">
        <v>4.12</v>
      </c>
      <c r="DC115" s="105">
        <v>3.77</v>
      </c>
      <c r="DD115" s="105">
        <v>3.7589999999999999</v>
      </c>
      <c r="DE115" s="105">
        <v>3.6680000000000001</v>
      </c>
      <c r="DF115" s="105">
        <v>3.508</v>
      </c>
      <c r="DG115" s="105">
        <v>3.64</v>
      </c>
      <c r="DH115" s="115">
        <v>3.0481600000000002</v>
      </c>
      <c r="DI115" s="115">
        <v>3.3165870000000002</v>
      </c>
      <c r="DJ115" s="115">
        <v>3.7778740000000002</v>
      </c>
      <c r="DK115" s="115">
        <v>3.3158609999999999</v>
      </c>
      <c r="DL115" s="115">
        <v>3.3790149999999999</v>
      </c>
      <c r="DM115" s="116">
        <v>3.711198</v>
      </c>
    </row>
    <row r="116" spans="1:117">
      <c r="A116" s="1">
        <f t="shared" si="12"/>
        <v>114</v>
      </c>
      <c r="B116" s="2"/>
      <c r="C116" s="4">
        <v>15</v>
      </c>
      <c r="D116" s="4">
        <f t="shared" si="8"/>
        <v>1016</v>
      </c>
      <c r="E116" s="4" t="s">
        <v>129</v>
      </c>
      <c r="F116" s="4">
        <v>3</v>
      </c>
      <c r="G116" s="4" t="s">
        <v>11</v>
      </c>
      <c r="H116" s="4" t="s">
        <v>12</v>
      </c>
      <c r="I116" s="4"/>
      <c r="J116" s="5">
        <v>95.1</v>
      </c>
      <c r="K116" s="68"/>
      <c r="L116" s="99">
        <v>4.0599999999999987</v>
      </c>
      <c r="M116" s="7" t="s">
        <v>260</v>
      </c>
      <c r="N116" s="3" t="s">
        <v>205</v>
      </c>
      <c r="O116" s="22">
        <v>4.1970000000000001</v>
      </c>
      <c r="P116" s="22">
        <v>3.8940000000000001</v>
      </c>
      <c r="Q116" s="22">
        <v>4.4960000000000004</v>
      </c>
      <c r="R116" s="54"/>
      <c r="S116" s="6">
        <v>4.3419999999999996</v>
      </c>
      <c r="T116" s="54"/>
      <c r="U116" s="54"/>
      <c r="V116" s="54"/>
      <c r="W116" s="54"/>
      <c r="X116" s="54"/>
      <c r="Y116" s="22">
        <v>4.3010000000000002</v>
      </c>
      <c r="Z116" s="22">
        <v>4.4690000000000003</v>
      </c>
      <c r="AA116" s="22">
        <v>4.2889999999999997</v>
      </c>
      <c r="AB116" s="22">
        <v>4.0449999999999999</v>
      </c>
      <c r="AC116" s="22">
        <v>3.7229999999999999</v>
      </c>
      <c r="AD116" s="22">
        <v>4.4260000000000002</v>
      </c>
      <c r="AE116" s="22">
        <f t="shared" si="16"/>
        <v>4.0745000000000005</v>
      </c>
      <c r="AF116" s="103">
        <v>3.1669999999999998</v>
      </c>
      <c r="AG116" s="103">
        <v>3.294</v>
      </c>
      <c r="AH116" s="103">
        <v>3.444</v>
      </c>
      <c r="AI116" s="103">
        <v>3.5339999999999998</v>
      </c>
      <c r="AJ116" s="107"/>
      <c r="AK116" s="103">
        <v>3.6859999999999999</v>
      </c>
      <c r="AL116" s="103">
        <v>3.6909999999999998</v>
      </c>
      <c r="AM116" s="103">
        <v>4.0439999999999996</v>
      </c>
      <c r="AN116" s="103">
        <v>3.9060000000000001</v>
      </c>
      <c r="AO116" s="103">
        <v>3.855</v>
      </c>
      <c r="AP116" s="103">
        <v>4.0579999999999998</v>
      </c>
      <c r="AQ116" s="103">
        <v>4.0140000000000002</v>
      </c>
      <c r="AR116" s="103">
        <v>4.1820000000000004</v>
      </c>
      <c r="AS116" s="103">
        <v>3.8090000000000002</v>
      </c>
      <c r="AT116" s="103">
        <v>3.7919999999999998</v>
      </c>
      <c r="AU116" s="103">
        <v>3.9609999999999999</v>
      </c>
      <c r="AV116" s="103">
        <v>3.4510000000000001</v>
      </c>
      <c r="AW116" s="103">
        <v>3.6720000000000002</v>
      </c>
      <c r="AX116" s="103">
        <v>4.3849999999999998</v>
      </c>
      <c r="AY116" s="103">
        <v>3.97</v>
      </c>
      <c r="AZ116" s="103">
        <v>4.2210000000000001</v>
      </c>
      <c r="BA116" s="103">
        <v>4.1639999999999997</v>
      </c>
      <c r="BB116" s="103">
        <v>4.2610000000000001</v>
      </c>
      <c r="BC116" s="103">
        <v>4.1210000000000004</v>
      </c>
      <c r="BD116" s="103">
        <v>4.0270000000000001</v>
      </c>
      <c r="BE116" s="107"/>
      <c r="BF116" s="107"/>
      <c r="BG116" s="107"/>
      <c r="BH116" s="107"/>
      <c r="BI116" s="107"/>
      <c r="BJ116" s="107"/>
      <c r="BK116" s="107"/>
      <c r="BL116" s="107"/>
      <c r="BM116" s="107"/>
      <c r="BN116" s="103">
        <v>3.8290000000000002</v>
      </c>
      <c r="BO116" s="103">
        <v>3.5539999999999998</v>
      </c>
      <c r="BP116" s="103">
        <v>3.8889999999999998</v>
      </c>
      <c r="BQ116" s="87">
        <v>3.1159680000000001</v>
      </c>
      <c r="BR116" s="87">
        <v>3.5961889999999999</v>
      </c>
      <c r="BS116" s="87">
        <v>4.7618419999999997</v>
      </c>
      <c r="BT116" s="87">
        <v>3.6578729999999999</v>
      </c>
      <c r="BU116" s="87">
        <v>3.7425540000000002</v>
      </c>
      <c r="BV116" s="111">
        <v>4.5028189999999997</v>
      </c>
      <c r="BW116" s="105">
        <v>3.1970000000000001</v>
      </c>
      <c r="BX116" s="105">
        <v>3.3159999999999998</v>
      </c>
      <c r="BY116" s="105">
        <v>3.4740000000000002</v>
      </c>
      <c r="BZ116" s="105">
        <v>3.5739999999999998</v>
      </c>
      <c r="CA116" s="105">
        <v>3.7080000000000002</v>
      </c>
      <c r="CB116" s="105">
        <v>3.6989999999999998</v>
      </c>
      <c r="CC116" s="105">
        <v>3.7050000000000001</v>
      </c>
      <c r="CD116" s="105">
        <v>4.0999999999999996</v>
      </c>
      <c r="CE116" s="105">
        <v>3.9510000000000001</v>
      </c>
      <c r="CF116" s="105">
        <v>3.8860000000000001</v>
      </c>
      <c r="CG116" s="105">
        <v>4.1189999999999998</v>
      </c>
      <c r="CH116" s="105">
        <v>4.0730000000000004</v>
      </c>
      <c r="CI116" s="105">
        <v>4.2329999999999997</v>
      </c>
      <c r="CJ116" s="105">
        <v>3.8359999999999999</v>
      </c>
      <c r="CK116" s="105">
        <v>3.82</v>
      </c>
      <c r="CL116" s="105">
        <v>4.0090000000000003</v>
      </c>
      <c r="CM116" s="105">
        <v>3.4740000000000002</v>
      </c>
      <c r="CN116" s="105">
        <v>3.71</v>
      </c>
      <c r="CO116" s="105">
        <v>4.484</v>
      </c>
      <c r="CP116" s="105">
        <v>4.0110000000000001</v>
      </c>
      <c r="CQ116" s="105">
        <v>4.2569999999999997</v>
      </c>
      <c r="CR116" s="105">
        <v>4.2110000000000003</v>
      </c>
      <c r="CS116" s="105">
        <v>4.3079999999999998</v>
      </c>
      <c r="CT116" s="105">
        <v>4.1779999999999999</v>
      </c>
      <c r="CU116" s="105">
        <v>4.0739999999999998</v>
      </c>
      <c r="CV116" s="105">
        <v>3.7050000000000001</v>
      </c>
      <c r="CW116" s="105">
        <v>3.9350000000000001</v>
      </c>
      <c r="CX116" s="105">
        <v>4.1050000000000004</v>
      </c>
      <c r="CY116" s="105">
        <v>4.2729999999999997</v>
      </c>
      <c r="CZ116" s="105">
        <v>4.4539999999999997</v>
      </c>
      <c r="DA116" s="105">
        <v>4.8360000000000003</v>
      </c>
      <c r="DB116" s="105">
        <v>3.2730000000000001</v>
      </c>
      <c r="DC116" s="105">
        <v>4.1040000000000001</v>
      </c>
      <c r="DD116" s="105">
        <v>4.085</v>
      </c>
      <c r="DE116" s="105">
        <v>3.851</v>
      </c>
      <c r="DF116" s="105">
        <v>3.5859999999999999</v>
      </c>
      <c r="DG116" s="105">
        <v>3.919</v>
      </c>
      <c r="DH116" s="115">
        <v>3.1505359999999998</v>
      </c>
      <c r="DI116" s="115">
        <v>3.6343909999999999</v>
      </c>
      <c r="DJ116" s="115">
        <v>4.7891279999999998</v>
      </c>
      <c r="DK116" s="115">
        <v>3.7019890000000002</v>
      </c>
      <c r="DL116" s="115">
        <v>3.783919</v>
      </c>
      <c r="DM116" s="116">
        <v>4.5287829999999998</v>
      </c>
    </row>
    <row r="117" spans="1:117">
      <c r="A117" s="1">
        <f t="shared" si="12"/>
        <v>115</v>
      </c>
      <c r="B117" s="2"/>
      <c r="C117" s="4">
        <v>15</v>
      </c>
      <c r="D117" s="4">
        <f t="shared" si="8"/>
        <v>1016</v>
      </c>
      <c r="E117" s="4" t="s">
        <v>142</v>
      </c>
      <c r="F117" s="4">
        <v>3</v>
      </c>
      <c r="G117" s="4" t="s">
        <v>11</v>
      </c>
      <c r="H117" s="4" t="s">
        <v>17</v>
      </c>
      <c r="I117" s="4"/>
      <c r="J117" s="5">
        <v>97.2</v>
      </c>
      <c r="K117" s="68"/>
      <c r="L117" s="99">
        <v>4.1239999999999997</v>
      </c>
      <c r="M117" s="7" t="s">
        <v>260</v>
      </c>
      <c r="N117" s="3" t="s">
        <v>205</v>
      </c>
      <c r="O117" s="22">
        <v>4.3140000000000001</v>
      </c>
      <c r="P117" s="22">
        <v>4.2750000000000004</v>
      </c>
      <c r="Q117" s="22">
        <v>4.4989999999999997</v>
      </c>
      <c r="R117" s="54"/>
      <c r="S117" s="6">
        <v>4.1319999999999997</v>
      </c>
      <c r="T117" s="54"/>
      <c r="U117" s="54"/>
      <c r="V117" s="54"/>
      <c r="W117" s="54"/>
      <c r="X117" s="54"/>
      <c r="Y117" s="22">
        <v>4.2759999999999998</v>
      </c>
      <c r="Z117" s="22">
        <v>4.2949999999999999</v>
      </c>
      <c r="AA117" s="22">
        <v>4.29</v>
      </c>
      <c r="AB117" s="22">
        <v>4.1109999999999998</v>
      </c>
      <c r="AC117" s="22">
        <v>4.24</v>
      </c>
      <c r="AD117" s="22">
        <v>3.875</v>
      </c>
      <c r="AE117" s="22">
        <f t="shared" si="16"/>
        <v>4.0575000000000001</v>
      </c>
      <c r="AF117" s="103">
        <v>3.7040000000000002</v>
      </c>
      <c r="AG117" s="103">
        <v>3.7629999999999999</v>
      </c>
      <c r="AH117" s="103">
        <v>3.77</v>
      </c>
      <c r="AI117" s="103">
        <v>3.734</v>
      </c>
      <c r="AJ117" s="107"/>
      <c r="AK117" s="103">
        <v>3.7410000000000001</v>
      </c>
      <c r="AL117" s="103">
        <v>3.7629999999999999</v>
      </c>
      <c r="AM117" s="103">
        <v>3.9359999999999999</v>
      </c>
      <c r="AN117" s="103">
        <v>4.024</v>
      </c>
      <c r="AO117" s="103">
        <v>3.8769999999999998</v>
      </c>
      <c r="AP117" s="103">
        <v>4.1180000000000003</v>
      </c>
      <c r="AQ117" s="103">
        <v>4.0880000000000001</v>
      </c>
      <c r="AR117" s="103">
        <v>4.125</v>
      </c>
      <c r="AS117" s="103">
        <v>4.0010000000000003</v>
      </c>
      <c r="AT117" s="103">
        <v>3.99</v>
      </c>
      <c r="AU117" s="103">
        <v>3.8</v>
      </c>
      <c r="AV117" s="103">
        <v>3.819</v>
      </c>
      <c r="AW117" s="103">
        <v>3.7759999999999998</v>
      </c>
      <c r="AX117" s="103">
        <v>3.6480000000000001</v>
      </c>
      <c r="AY117" s="103">
        <v>3.87</v>
      </c>
      <c r="AZ117" s="103">
        <v>3.99</v>
      </c>
      <c r="BA117" s="103">
        <v>3.8639999999999999</v>
      </c>
      <c r="BB117" s="103">
        <v>3.8639999999999999</v>
      </c>
      <c r="BC117" s="103">
        <v>3.7549999999999999</v>
      </c>
      <c r="BD117" s="103">
        <v>3.9510000000000001</v>
      </c>
      <c r="BE117" s="107"/>
      <c r="BF117" s="107"/>
      <c r="BG117" s="107"/>
      <c r="BH117" s="107"/>
      <c r="BI117" s="107"/>
      <c r="BJ117" s="107"/>
      <c r="BK117" s="107"/>
      <c r="BL117" s="107"/>
      <c r="BM117" s="107"/>
      <c r="BN117" s="103">
        <v>4.0609999999999999</v>
      </c>
      <c r="BO117" s="103">
        <v>3.8159999999999998</v>
      </c>
      <c r="BP117" s="103">
        <v>3.988</v>
      </c>
      <c r="BQ117" s="87">
        <v>3.2863920000000002</v>
      </c>
      <c r="BR117" s="87">
        <v>3.5598359999999998</v>
      </c>
      <c r="BS117" s="87">
        <v>4.4238350000000004</v>
      </c>
      <c r="BT117" s="87">
        <v>3.5445009999999999</v>
      </c>
      <c r="BU117" s="87">
        <v>3.611462</v>
      </c>
      <c r="BV117" s="111">
        <v>4.3789769999999999</v>
      </c>
      <c r="BW117" s="105">
        <v>3.8210000000000002</v>
      </c>
      <c r="BX117" s="105">
        <v>3.8839999999999999</v>
      </c>
      <c r="BY117" s="105">
        <v>3.9079999999999999</v>
      </c>
      <c r="BZ117" s="105">
        <v>3.9169999999999998</v>
      </c>
      <c r="CA117" s="105">
        <v>3.5859999999999999</v>
      </c>
      <c r="CB117" s="105">
        <v>3.919</v>
      </c>
      <c r="CC117" s="105">
        <v>3.9489999999999998</v>
      </c>
      <c r="CD117" s="105">
        <v>4.125</v>
      </c>
      <c r="CE117" s="105">
        <v>4.1760000000000002</v>
      </c>
      <c r="CF117" s="105">
        <v>4.0209999999999999</v>
      </c>
      <c r="CG117" s="105">
        <v>4.25</v>
      </c>
      <c r="CH117" s="105">
        <v>4.2220000000000004</v>
      </c>
      <c r="CI117" s="105">
        <v>4.2699999999999996</v>
      </c>
      <c r="CJ117" s="105">
        <v>4.1550000000000002</v>
      </c>
      <c r="CK117" s="105">
        <v>4.141</v>
      </c>
      <c r="CL117" s="105">
        <v>4.0010000000000003</v>
      </c>
      <c r="CM117" s="105">
        <v>3.93</v>
      </c>
      <c r="CN117" s="105">
        <v>3.9460000000000002</v>
      </c>
      <c r="CO117" s="105">
        <v>3.9340000000000002</v>
      </c>
      <c r="CP117" s="105">
        <v>4.056</v>
      </c>
      <c r="CQ117" s="105">
        <v>4.1459999999999999</v>
      </c>
      <c r="CR117" s="105">
        <v>4.0869999999999997</v>
      </c>
      <c r="CS117" s="105">
        <v>4.1159999999999997</v>
      </c>
      <c r="CT117" s="105">
        <v>4.0170000000000003</v>
      </c>
      <c r="CU117" s="105">
        <v>4.1319999999999997</v>
      </c>
      <c r="CV117" s="105">
        <v>4.0739999999999998</v>
      </c>
      <c r="CW117" s="105">
        <v>4.0209999999999999</v>
      </c>
      <c r="CX117" s="105">
        <v>4.4470000000000001</v>
      </c>
      <c r="CY117" s="105">
        <v>4.1360000000000001</v>
      </c>
      <c r="CZ117" s="105">
        <v>4.0919999999999996</v>
      </c>
      <c r="DA117" s="105">
        <v>4.1449999999999996</v>
      </c>
      <c r="DB117" s="105">
        <v>4.3929999999999998</v>
      </c>
      <c r="DC117" s="105">
        <v>4.0339999999999998</v>
      </c>
      <c r="DD117" s="105">
        <v>4.024</v>
      </c>
      <c r="DE117" s="105">
        <v>4.1710000000000003</v>
      </c>
      <c r="DF117" s="105">
        <v>3.9649999999999999</v>
      </c>
      <c r="DG117" s="105">
        <v>4.1150000000000002</v>
      </c>
      <c r="DH117" s="115">
        <v>3.4050720000000001</v>
      </c>
      <c r="DI117" s="115">
        <v>3.7015229999999999</v>
      </c>
      <c r="DJ117" s="115">
        <v>4.5614160000000004</v>
      </c>
      <c r="DK117" s="115">
        <v>3.6943540000000001</v>
      </c>
      <c r="DL117" s="115">
        <v>3.7641610000000001</v>
      </c>
      <c r="DM117" s="116">
        <v>4.5023299999999997</v>
      </c>
    </row>
    <row r="118" spans="1:117">
      <c r="A118" s="1">
        <f t="shared" si="12"/>
        <v>116</v>
      </c>
      <c r="B118" s="2"/>
      <c r="C118" s="4">
        <v>15</v>
      </c>
      <c r="D118" s="4">
        <f t="shared" si="8"/>
        <v>1016</v>
      </c>
      <c r="E118" s="4" t="s">
        <v>130</v>
      </c>
      <c r="F118" s="4">
        <v>3</v>
      </c>
      <c r="G118" s="4" t="s">
        <v>11</v>
      </c>
      <c r="H118" s="4" t="s">
        <v>12</v>
      </c>
      <c r="I118" s="4"/>
      <c r="J118" s="5">
        <v>95.6</v>
      </c>
      <c r="K118" s="68"/>
      <c r="L118" s="99">
        <v>4.519000000000001</v>
      </c>
      <c r="M118" s="7" t="s">
        <v>260</v>
      </c>
      <c r="N118" s="3" t="s">
        <v>205</v>
      </c>
      <c r="O118" s="22">
        <v>4.5670000000000002</v>
      </c>
      <c r="P118" s="22">
        <v>4.3949999999999996</v>
      </c>
      <c r="Q118" s="22">
        <v>4.8559999999999999</v>
      </c>
      <c r="R118" s="54"/>
      <c r="S118" s="6">
        <v>4.718</v>
      </c>
      <c r="T118" s="54"/>
      <c r="U118" s="54"/>
      <c r="V118" s="54"/>
      <c r="W118" s="54"/>
      <c r="X118" s="54"/>
      <c r="Y118" s="22">
        <v>4.6829999999999998</v>
      </c>
      <c r="Z118" s="22">
        <v>4.8570000000000002</v>
      </c>
      <c r="AA118" s="22">
        <v>4.7110000000000003</v>
      </c>
      <c r="AB118" s="22">
        <v>4.4390000000000001</v>
      </c>
      <c r="AC118" s="22">
        <v>4.2030000000000003</v>
      </c>
      <c r="AD118" s="22">
        <v>4.7750000000000004</v>
      </c>
      <c r="AE118" s="22">
        <f t="shared" si="16"/>
        <v>4.4890000000000008</v>
      </c>
      <c r="AF118" s="103">
        <v>3.6989999999999998</v>
      </c>
      <c r="AG118" s="103">
        <v>3.8050000000000002</v>
      </c>
      <c r="AH118" s="103">
        <v>3.9329999999999998</v>
      </c>
      <c r="AI118" s="103">
        <v>4.0019999999999998</v>
      </c>
      <c r="AJ118" s="107"/>
      <c r="AK118" s="103">
        <v>4.1669999999999998</v>
      </c>
      <c r="AL118" s="103">
        <v>4.1740000000000004</v>
      </c>
      <c r="AM118" s="103">
        <v>4.468</v>
      </c>
      <c r="AN118" s="103">
        <v>4.3129999999999997</v>
      </c>
      <c r="AO118" s="103">
        <v>4.2290000000000001</v>
      </c>
      <c r="AP118" s="103">
        <v>4.4169999999999998</v>
      </c>
      <c r="AQ118" s="103">
        <v>4.3760000000000003</v>
      </c>
      <c r="AR118" s="103">
        <v>4.5540000000000003</v>
      </c>
      <c r="AS118" s="103">
        <v>4.25</v>
      </c>
      <c r="AT118" s="103">
        <v>4.2329999999999997</v>
      </c>
      <c r="AU118" s="103">
        <v>4.3440000000000003</v>
      </c>
      <c r="AV118" s="103">
        <v>3.911</v>
      </c>
      <c r="AW118" s="103">
        <v>4.1159999999999997</v>
      </c>
      <c r="AX118" s="103">
        <v>4.694</v>
      </c>
      <c r="AY118" s="103">
        <v>4.3520000000000003</v>
      </c>
      <c r="AZ118" s="103">
        <v>4.569</v>
      </c>
      <c r="BA118" s="103">
        <v>4.508</v>
      </c>
      <c r="BB118" s="103">
        <v>4.5880000000000001</v>
      </c>
      <c r="BC118" s="103">
        <v>4.4379999999999997</v>
      </c>
      <c r="BD118" s="103">
        <v>4.3330000000000002</v>
      </c>
      <c r="BE118" s="107"/>
      <c r="BF118" s="107"/>
      <c r="BG118" s="107"/>
      <c r="BH118" s="107"/>
      <c r="BI118" s="107"/>
      <c r="BJ118" s="107"/>
      <c r="BK118" s="107"/>
      <c r="BL118" s="107"/>
      <c r="BM118" s="107"/>
      <c r="BN118" s="103">
        <v>4.2720000000000002</v>
      </c>
      <c r="BO118" s="103">
        <v>4.0209999999999999</v>
      </c>
      <c r="BP118" s="103">
        <v>4.3140000000000001</v>
      </c>
      <c r="BQ118" s="87">
        <v>3.5043440000000001</v>
      </c>
      <c r="BR118" s="87">
        <v>3.985058</v>
      </c>
      <c r="BS118" s="87">
        <v>5.2654519999999998</v>
      </c>
      <c r="BT118" s="87">
        <v>4.0294759999999998</v>
      </c>
      <c r="BU118" s="87">
        <v>4.1246140000000002</v>
      </c>
      <c r="BV118" s="111">
        <v>5.0233290000000004</v>
      </c>
      <c r="BW118" s="105">
        <v>3.7309999999999999</v>
      </c>
      <c r="BX118" s="105">
        <v>3.8279999999999998</v>
      </c>
      <c r="BY118" s="105">
        <v>3.9649999999999999</v>
      </c>
      <c r="BZ118" s="105">
        <v>4.0430000000000001</v>
      </c>
      <c r="CA118" s="105">
        <v>4.1689999999999996</v>
      </c>
      <c r="CB118" s="105">
        <v>4.181</v>
      </c>
      <c r="CC118" s="105">
        <v>4.1890000000000001</v>
      </c>
      <c r="CD118" s="105">
        <v>4.5229999999999997</v>
      </c>
      <c r="CE118" s="105">
        <v>4.3570000000000002</v>
      </c>
      <c r="CF118" s="105">
        <v>4.26</v>
      </c>
      <c r="CG118" s="105">
        <v>4.4740000000000002</v>
      </c>
      <c r="CH118" s="105">
        <v>4.431</v>
      </c>
      <c r="CI118" s="105">
        <v>4.601</v>
      </c>
      <c r="CJ118" s="105">
        <v>4.2770000000000001</v>
      </c>
      <c r="CK118" s="105">
        <v>4.2610000000000001</v>
      </c>
      <c r="CL118" s="105">
        <v>4.391</v>
      </c>
      <c r="CM118" s="105">
        <v>3.9350000000000001</v>
      </c>
      <c r="CN118" s="105">
        <v>4.1539999999999999</v>
      </c>
      <c r="CO118" s="105">
        <v>4.7850000000000001</v>
      </c>
      <c r="CP118" s="105">
        <v>4.3899999999999997</v>
      </c>
      <c r="CQ118" s="105">
        <v>4.601</v>
      </c>
      <c r="CR118" s="105">
        <v>4.5510000000000002</v>
      </c>
      <c r="CS118" s="105">
        <v>5.0229999999999997</v>
      </c>
      <c r="CT118" s="105">
        <v>4.4889999999999999</v>
      </c>
      <c r="CU118" s="105">
        <v>4.3760000000000003</v>
      </c>
      <c r="CV118" s="105">
        <v>4.1740000000000004</v>
      </c>
      <c r="CW118" s="105">
        <v>4.3600000000000003</v>
      </c>
      <c r="CX118" s="105">
        <v>4.5039999999999996</v>
      </c>
      <c r="CY118" s="105">
        <v>4.6230000000000002</v>
      </c>
      <c r="CZ118" s="105">
        <v>4.774</v>
      </c>
      <c r="DA118" s="105">
        <v>4.7350000000000003</v>
      </c>
      <c r="DB118" s="105">
        <v>3.7440000000000002</v>
      </c>
      <c r="DC118" s="105">
        <v>4.4710000000000001</v>
      </c>
      <c r="DD118" s="105">
        <v>4.4530000000000003</v>
      </c>
      <c r="DE118" s="105">
        <v>4.2930000000000001</v>
      </c>
      <c r="DF118" s="105">
        <v>4.0529999999999999</v>
      </c>
      <c r="DG118" s="105">
        <v>4.3440000000000003</v>
      </c>
      <c r="DH118" s="115">
        <v>3.537004</v>
      </c>
      <c r="DI118" s="115">
        <v>4.0210879999999998</v>
      </c>
      <c r="DJ118" s="115">
        <v>5.2924920000000002</v>
      </c>
      <c r="DK118" s="115">
        <v>4.070284</v>
      </c>
      <c r="DL118" s="115">
        <v>4.1633979999999999</v>
      </c>
      <c r="DM118" s="116">
        <v>5.0490079999999997</v>
      </c>
    </row>
    <row r="119" spans="1:117">
      <c r="A119" s="1">
        <f t="shared" si="12"/>
        <v>117</v>
      </c>
      <c r="B119" s="2" t="s">
        <v>373</v>
      </c>
      <c r="C119" s="4">
        <v>12</v>
      </c>
      <c r="D119" s="4">
        <f t="shared" si="8"/>
        <v>1016</v>
      </c>
      <c r="E119" s="4" t="s">
        <v>128</v>
      </c>
      <c r="F119" s="4">
        <v>1</v>
      </c>
      <c r="G119" s="4" t="s">
        <v>11</v>
      </c>
      <c r="H119" s="4" t="s">
        <v>12</v>
      </c>
      <c r="I119" s="4"/>
      <c r="J119" s="5">
        <v>86.1</v>
      </c>
      <c r="K119" s="63">
        <v>0</v>
      </c>
      <c r="L119" s="99">
        <v>3.0229999999999997</v>
      </c>
      <c r="M119" s="7" t="s">
        <v>113</v>
      </c>
      <c r="N119" s="3" t="s">
        <v>205</v>
      </c>
      <c r="O119" s="6">
        <v>3.1539999999999999</v>
      </c>
      <c r="P119" s="6">
        <v>2.99</v>
      </c>
      <c r="Q119" s="6">
        <v>3.4590000000000001</v>
      </c>
      <c r="R119" s="54"/>
      <c r="S119" s="6">
        <v>3.31</v>
      </c>
      <c r="T119" s="6">
        <v>3.157</v>
      </c>
      <c r="U119" s="6">
        <v>3.1440000000000001</v>
      </c>
      <c r="V119" s="6">
        <v>3.097</v>
      </c>
      <c r="W119" s="6">
        <v>3.0009999999999999</v>
      </c>
      <c r="X119" s="54"/>
      <c r="Y119" s="6">
        <v>3.33</v>
      </c>
      <c r="Z119" s="6">
        <v>3.4529999999999998</v>
      </c>
      <c r="AA119" s="6">
        <v>3.3079999999999998</v>
      </c>
      <c r="AB119" s="6">
        <v>3.0819999999999999</v>
      </c>
      <c r="AC119" s="6">
        <v>2.8719999999999999</v>
      </c>
      <c r="AD119" s="6">
        <v>3.169</v>
      </c>
      <c r="AE119" s="6">
        <f t="shared" ref="AE119:AE122" si="17">AVERAGE(AC119:AD119)</f>
        <v>3.0205000000000002</v>
      </c>
      <c r="AF119" s="103">
        <v>2.54</v>
      </c>
      <c r="AG119" s="103">
        <v>2.5710000000000002</v>
      </c>
      <c r="AH119" s="103">
        <v>2.7029999999999998</v>
      </c>
      <c r="AI119" s="103">
        <v>2.758</v>
      </c>
      <c r="AJ119" s="103">
        <v>2.8439999999999999</v>
      </c>
      <c r="AK119" s="103">
        <v>2.7869999999999999</v>
      </c>
      <c r="AL119" s="103">
        <v>2.8</v>
      </c>
      <c r="AM119" s="103">
        <v>3.12</v>
      </c>
      <c r="AN119" s="103">
        <v>2.9430000000000001</v>
      </c>
      <c r="AO119" s="103">
        <v>2.7629999999999999</v>
      </c>
      <c r="AP119" s="103">
        <v>2.9790000000000001</v>
      </c>
      <c r="AQ119" s="103">
        <v>2.95</v>
      </c>
      <c r="AR119" s="103">
        <v>3.17</v>
      </c>
      <c r="AS119" s="103">
        <v>2.8130000000000002</v>
      </c>
      <c r="AT119" s="103">
        <v>2.79</v>
      </c>
      <c r="AU119" s="103">
        <v>3.0870000000000002</v>
      </c>
      <c r="AV119" s="103">
        <v>2.65</v>
      </c>
      <c r="AW119" s="103">
        <v>2.8690000000000002</v>
      </c>
      <c r="AX119" s="103">
        <v>3.5760000000000001</v>
      </c>
      <c r="AY119" s="103">
        <v>3.0449999999999999</v>
      </c>
      <c r="AZ119" s="103">
        <v>3.198</v>
      </c>
      <c r="BA119" s="103">
        <v>3.222</v>
      </c>
      <c r="BB119" s="103">
        <v>3.3090000000000002</v>
      </c>
      <c r="BC119" s="103">
        <v>3.2410000000000001</v>
      </c>
      <c r="BD119" s="103">
        <v>2.9260000000000002</v>
      </c>
      <c r="BE119" s="103">
        <v>2.84</v>
      </c>
      <c r="BF119" s="103">
        <v>3.0110000000000001</v>
      </c>
      <c r="BG119" s="103">
        <v>3.1059999999999999</v>
      </c>
      <c r="BH119" s="103">
        <v>3.2589999999999999</v>
      </c>
      <c r="BI119" s="103">
        <v>3.403</v>
      </c>
      <c r="BJ119" s="103">
        <v>3.3220000000000001</v>
      </c>
      <c r="BK119" s="103">
        <v>2.4009999999999998</v>
      </c>
      <c r="BL119" s="103">
        <v>3.077</v>
      </c>
      <c r="BM119" s="103">
        <v>3.0379999999999998</v>
      </c>
      <c r="BN119" s="103">
        <v>2.8460000000000001</v>
      </c>
      <c r="BO119" s="103">
        <v>2.742</v>
      </c>
      <c r="BP119" s="103">
        <v>2.9279999999999999</v>
      </c>
      <c r="BQ119" s="87">
        <v>2.3877269999999999</v>
      </c>
      <c r="BR119" s="87">
        <v>2.8359239999999999</v>
      </c>
      <c r="BS119" s="87">
        <v>3.8392029999999999</v>
      </c>
      <c r="BT119" s="87">
        <v>2.9005589999999999</v>
      </c>
      <c r="BU119" s="87">
        <v>2.9816859999999998</v>
      </c>
      <c r="BV119" s="87">
        <v>3.6377540000000002</v>
      </c>
      <c r="BW119" s="105">
        <v>2.5579999999999998</v>
      </c>
      <c r="BX119" s="105">
        <v>2.593</v>
      </c>
      <c r="BY119" s="105">
        <v>2.726</v>
      </c>
      <c r="BZ119" s="105">
        <v>2.7869999999999999</v>
      </c>
      <c r="CA119" s="105">
        <v>2.8849999999999998</v>
      </c>
      <c r="CB119" s="105">
        <v>2.8210000000000002</v>
      </c>
      <c r="CC119" s="105">
        <v>2.835</v>
      </c>
      <c r="CD119" s="105">
        <v>3.1619999999999999</v>
      </c>
      <c r="CE119" s="105">
        <v>2.996</v>
      </c>
      <c r="CF119" s="105">
        <v>2.8330000000000002</v>
      </c>
      <c r="CG119" s="105">
        <v>3.0579999999999998</v>
      </c>
      <c r="CH119" s="105">
        <v>3.0310000000000001</v>
      </c>
      <c r="CI119" s="105">
        <v>3.2160000000000002</v>
      </c>
      <c r="CJ119" s="106">
        <v>2.851</v>
      </c>
      <c r="CK119" s="106">
        <v>2.83</v>
      </c>
      <c r="CL119" s="105">
        <v>3.12</v>
      </c>
      <c r="CM119" s="105">
        <v>2.6720000000000002</v>
      </c>
      <c r="CN119" s="105">
        <v>2.8959999999999999</v>
      </c>
      <c r="CO119" s="105">
        <v>3.62</v>
      </c>
      <c r="CP119" s="105">
        <v>3.0790000000000002</v>
      </c>
      <c r="CQ119" s="105">
        <v>3.2360000000000002</v>
      </c>
      <c r="CR119" s="105">
        <v>3.2610000000000001</v>
      </c>
      <c r="CS119" s="105">
        <v>3.351</v>
      </c>
      <c r="CT119" s="105">
        <v>3.286</v>
      </c>
      <c r="CU119" s="105">
        <v>3.0190000000000001</v>
      </c>
      <c r="CV119" s="105">
        <v>2.8650000000000002</v>
      </c>
      <c r="CW119" s="105">
        <v>3.05</v>
      </c>
      <c r="CX119" s="105">
        <v>3.1579999999999999</v>
      </c>
      <c r="CY119" s="105">
        <v>3.3109999999999999</v>
      </c>
      <c r="CZ119" s="105">
        <v>3.4689999999999999</v>
      </c>
      <c r="DA119" s="105">
        <v>3.391</v>
      </c>
      <c r="DB119" s="105">
        <v>2.399</v>
      </c>
      <c r="DC119" s="105">
        <v>3.1259999999999999</v>
      </c>
      <c r="DD119" s="105">
        <v>3.0870000000000002</v>
      </c>
      <c r="DE119" s="105">
        <v>2.8759999999999999</v>
      </c>
      <c r="DF119" s="105">
        <v>2.7669999999999999</v>
      </c>
      <c r="DG119" s="105">
        <v>2.96</v>
      </c>
      <c r="DH119" s="115">
        <v>2.4322659999999998</v>
      </c>
      <c r="DI119" s="115">
        <v>2.8770760000000002</v>
      </c>
      <c r="DJ119" s="115">
        <v>3.872306</v>
      </c>
      <c r="DK119" s="115">
        <v>2.9438260000000001</v>
      </c>
      <c r="DL119" s="115">
        <v>3.0238149999999999</v>
      </c>
      <c r="DM119" s="115">
        <v>3.670474</v>
      </c>
    </row>
    <row r="120" spans="1:117">
      <c r="A120" s="1">
        <f t="shared" si="12"/>
        <v>118</v>
      </c>
      <c r="B120" s="2"/>
      <c r="C120" s="4">
        <v>12</v>
      </c>
      <c r="D120" s="4">
        <f t="shared" si="8"/>
        <v>1016</v>
      </c>
      <c r="E120" s="4" t="s">
        <v>131</v>
      </c>
      <c r="F120" s="4">
        <v>1</v>
      </c>
      <c r="G120" s="4" t="s">
        <v>11</v>
      </c>
      <c r="H120" s="4" t="s">
        <v>12</v>
      </c>
      <c r="I120" s="4"/>
      <c r="J120" s="5">
        <v>85.1</v>
      </c>
      <c r="K120" s="68"/>
      <c r="L120" s="99">
        <v>3.2149999999999994</v>
      </c>
      <c r="M120" s="7" t="s">
        <v>113</v>
      </c>
      <c r="N120" s="3" t="s">
        <v>205</v>
      </c>
      <c r="O120" s="6">
        <v>3.3519999999999999</v>
      </c>
      <c r="P120" s="6">
        <v>3.2040000000000002</v>
      </c>
      <c r="Q120" s="6">
        <v>3.6320000000000001</v>
      </c>
      <c r="R120" s="54"/>
      <c r="S120" s="6">
        <v>3.5129999999999999</v>
      </c>
      <c r="T120" s="6">
        <v>3.363</v>
      </c>
      <c r="U120" s="6">
        <v>3.3490000000000002</v>
      </c>
      <c r="V120" s="6">
        <v>3.298</v>
      </c>
      <c r="W120" s="6">
        <v>3.2010000000000001</v>
      </c>
      <c r="X120" s="54"/>
      <c r="Y120" s="6">
        <v>3.4790000000000001</v>
      </c>
      <c r="Z120" s="6">
        <v>3.633</v>
      </c>
      <c r="AA120" s="6">
        <v>3.4990000000000001</v>
      </c>
      <c r="AB120" s="6">
        <v>3.2280000000000002</v>
      </c>
      <c r="AC120" s="6">
        <v>3.0430000000000001</v>
      </c>
      <c r="AD120" s="6">
        <v>3.411</v>
      </c>
      <c r="AE120" s="6">
        <f t="shared" si="17"/>
        <v>3.2270000000000003</v>
      </c>
      <c r="AF120" s="103">
        <v>2.7850000000000001</v>
      </c>
      <c r="AG120" s="103">
        <v>2.8220000000000001</v>
      </c>
      <c r="AH120" s="103">
        <v>2.9470000000000001</v>
      </c>
      <c r="AI120" s="103">
        <v>3.0219999999999998</v>
      </c>
      <c r="AJ120" s="103">
        <v>3.0950000000000002</v>
      </c>
      <c r="AK120" s="103">
        <v>3.0459999999999998</v>
      </c>
      <c r="AL120" s="103">
        <v>3.0539999999999998</v>
      </c>
      <c r="AM120" s="103">
        <v>3.371</v>
      </c>
      <c r="AN120" s="103">
        <v>3.2130000000000001</v>
      </c>
      <c r="AO120" s="103">
        <v>3.0139999999999998</v>
      </c>
      <c r="AP120" s="103">
        <v>3.2480000000000002</v>
      </c>
      <c r="AQ120" s="103">
        <v>3.2160000000000002</v>
      </c>
      <c r="AR120" s="103">
        <v>3.4580000000000002</v>
      </c>
      <c r="AS120" s="103">
        <v>3.1230000000000002</v>
      </c>
      <c r="AT120" s="103">
        <v>3.0950000000000002</v>
      </c>
      <c r="AU120" s="103">
        <v>3.34</v>
      </c>
      <c r="AV120" s="103">
        <v>2.907</v>
      </c>
      <c r="AW120" s="103">
        <v>3.1179999999999999</v>
      </c>
      <c r="AX120" s="103">
        <v>3.7759999999999998</v>
      </c>
      <c r="AY120" s="103">
        <v>3.3079999999999998</v>
      </c>
      <c r="AZ120" s="103">
        <v>3.4630000000000001</v>
      </c>
      <c r="BA120" s="103">
        <v>3.4780000000000002</v>
      </c>
      <c r="BB120" s="103">
        <v>3.5630000000000002</v>
      </c>
      <c r="BC120" s="103">
        <v>3.508</v>
      </c>
      <c r="BD120" s="103">
        <v>3.2090000000000001</v>
      </c>
      <c r="BE120" s="103">
        <v>3.0529999999999999</v>
      </c>
      <c r="BF120" s="103">
        <v>3.254</v>
      </c>
      <c r="BG120" s="103">
        <v>3.331</v>
      </c>
      <c r="BH120" s="103">
        <v>3.4820000000000002</v>
      </c>
      <c r="BI120" s="103">
        <v>3.65</v>
      </c>
      <c r="BJ120" s="103">
        <v>3.5510000000000002</v>
      </c>
      <c r="BK120" s="103">
        <v>2.5979999999999999</v>
      </c>
      <c r="BL120" s="103">
        <v>3.2810000000000001</v>
      </c>
      <c r="BM120" s="103">
        <v>3.2389999999999999</v>
      </c>
      <c r="BN120" s="103">
        <v>3.1389999999999998</v>
      </c>
      <c r="BO120" s="103">
        <v>3.0139999999999998</v>
      </c>
      <c r="BP120" s="103">
        <v>3.2069999999999999</v>
      </c>
      <c r="BQ120" s="87">
        <v>2.556076</v>
      </c>
      <c r="BR120" s="87">
        <v>3.0298210000000001</v>
      </c>
      <c r="BS120" s="87">
        <v>3.9731369999999999</v>
      </c>
      <c r="BT120" s="87">
        <v>3.117362</v>
      </c>
      <c r="BU120" s="87">
        <v>3.1872509999999998</v>
      </c>
      <c r="BV120" s="87">
        <v>3.751296</v>
      </c>
      <c r="BW120" s="105">
        <v>2.798</v>
      </c>
      <c r="BX120" s="105">
        <v>2.84</v>
      </c>
      <c r="BY120" s="105">
        <v>2.9670000000000001</v>
      </c>
      <c r="BZ120" s="105">
        <v>3.048</v>
      </c>
      <c r="CA120" s="105">
        <v>3.1360000000000001</v>
      </c>
      <c r="CB120" s="105">
        <v>3.0779999999999998</v>
      </c>
      <c r="CC120" s="105">
        <v>3.0870000000000002</v>
      </c>
      <c r="CD120" s="105">
        <v>3.4119999999999999</v>
      </c>
      <c r="CE120" s="105">
        <v>3.2650000000000001</v>
      </c>
      <c r="CF120" s="105">
        <v>3.0840000000000001</v>
      </c>
      <c r="CG120" s="105">
        <v>3.3279999999999998</v>
      </c>
      <c r="CH120" s="105">
        <v>3.2970000000000002</v>
      </c>
      <c r="CI120" s="105">
        <v>3.5030000000000001</v>
      </c>
      <c r="CJ120" s="106">
        <v>3.1589999999999998</v>
      </c>
      <c r="CK120" s="106">
        <v>3.1339999999999999</v>
      </c>
      <c r="CL120" s="105">
        <v>3.371</v>
      </c>
      <c r="CM120" s="105">
        <v>2.9260000000000002</v>
      </c>
      <c r="CN120" s="105">
        <v>3.1419999999999999</v>
      </c>
      <c r="CO120" s="105">
        <v>3.8159999999999998</v>
      </c>
      <c r="CP120" s="105">
        <v>3.339</v>
      </c>
      <c r="CQ120" s="105">
        <v>3.4969999999999999</v>
      </c>
      <c r="CR120" s="105">
        <v>3.5129999999999999</v>
      </c>
      <c r="CS120" s="105">
        <v>3.5990000000000002</v>
      </c>
      <c r="CT120" s="105">
        <v>3.5459999999999998</v>
      </c>
      <c r="CU120" s="105">
        <v>3.3010000000000002</v>
      </c>
      <c r="CV120" s="105">
        <v>3.0790000000000002</v>
      </c>
      <c r="CW120" s="105">
        <v>3.294</v>
      </c>
      <c r="CX120" s="105">
        <v>3.3860000000000001</v>
      </c>
      <c r="CY120" s="105">
        <v>3.5339999999999998</v>
      </c>
      <c r="CZ120" s="105">
        <v>3.7149999999999999</v>
      </c>
      <c r="DA120" s="105">
        <v>3.6219999999999999</v>
      </c>
      <c r="DB120" s="105">
        <v>2.6</v>
      </c>
      <c r="DC120" s="105">
        <v>3.33</v>
      </c>
      <c r="DD120" s="105">
        <v>3.29</v>
      </c>
      <c r="DE120" s="105">
        <v>3.1659999999999999</v>
      </c>
      <c r="DF120" s="105">
        <v>3.036</v>
      </c>
      <c r="DG120" s="105">
        <v>3.2360000000000002</v>
      </c>
      <c r="DH120" s="115">
        <v>2.596193</v>
      </c>
      <c r="DI120" s="115">
        <v>3.0671110000000001</v>
      </c>
      <c r="DJ120" s="115">
        <v>4.0032670000000001</v>
      </c>
      <c r="DK120" s="115">
        <v>3.1565349999999999</v>
      </c>
      <c r="DL120" s="115">
        <v>3.2257699999999998</v>
      </c>
      <c r="DM120" s="115">
        <v>3.7808700000000002</v>
      </c>
    </row>
    <row r="121" spans="1:117">
      <c r="A121" s="1">
        <f t="shared" si="12"/>
        <v>119</v>
      </c>
      <c r="B121" s="2"/>
      <c r="C121" s="4">
        <v>12</v>
      </c>
      <c r="D121" s="4">
        <f t="shared" si="8"/>
        <v>1016</v>
      </c>
      <c r="E121" s="4" t="s">
        <v>118</v>
      </c>
      <c r="F121" s="4">
        <v>1</v>
      </c>
      <c r="G121" s="4" t="s">
        <v>11</v>
      </c>
      <c r="H121" s="4" t="s">
        <v>17</v>
      </c>
      <c r="I121" s="4"/>
      <c r="J121" s="5">
        <v>85.7</v>
      </c>
      <c r="K121" s="63">
        <v>0.04</v>
      </c>
      <c r="L121" s="99">
        <v>4.1150000000000002</v>
      </c>
      <c r="M121" s="7" t="s">
        <v>113</v>
      </c>
      <c r="N121" s="3" t="s">
        <v>205</v>
      </c>
      <c r="O121" s="6">
        <v>4.2380000000000004</v>
      </c>
      <c r="P121" s="6">
        <v>4.1399999999999997</v>
      </c>
      <c r="Q121" s="6">
        <v>4.76</v>
      </c>
      <c r="R121" s="54"/>
      <c r="S121" s="6">
        <v>4.391</v>
      </c>
      <c r="T121" s="6">
        <v>4.2370000000000001</v>
      </c>
      <c r="U121" s="6">
        <v>4.2279999999999998</v>
      </c>
      <c r="V121" s="6">
        <v>4.1749999999999998</v>
      </c>
      <c r="W121" s="6">
        <v>4.0750000000000002</v>
      </c>
      <c r="X121" s="54"/>
      <c r="Y121" s="6">
        <v>4.2839999999999998</v>
      </c>
      <c r="Z121" s="6">
        <v>4.2839999999999998</v>
      </c>
      <c r="AA121" s="6">
        <v>4.2539999999999996</v>
      </c>
      <c r="AB121" s="6">
        <v>4.0449999999999999</v>
      </c>
      <c r="AC121" s="6">
        <v>4.1539999999999999</v>
      </c>
      <c r="AD121" s="6">
        <v>4.0640000000000001</v>
      </c>
      <c r="AE121" s="6">
        <f t="shared" si="17"/>
        <v>4.109</v>
      </c>
      <c r="AF121" s="103">
        <v>3.46</v>
      </c>
      <c r="AG121" s="103">
        <v>3.4969999999999999</v>
      </c>
      <c r="AH121" s="103">
        <v>3.601</v>
      </c>
      <c r="AI121" s="103">
        <v>3.7559999999999998</v>
      </c>
      <c r="AJ121" s="103">
        <v>3.8690000000000002</v>
      </c>
      <c r="AK121" s="103">
        <v>3.7160000000000002</v>
      </c>
      <c r="AL121" s="103">
        <v>3.7210000000000001</v>
      </c>
      <c r="AM121" s="103">
        <v>4.117</v>
      </c>
      <c r="AN121" s="103">
        <v>4.1239999999999997</v>
      </c>
      <c r="AO121" s="103">
        <v>4.0350000000000001</v>
      </c>
      <c r="AP121" s="103">
        <v>4.2930000000000001</v>
      </c>
      <c r="AQ121" s="103">
        <v>4.29</v>
      </c>
      <c r="AR121" s="103">
        <v>4.2969999999999997</v>
      </c>
      <c r="AS121" s="103">
        <v>3.9580000000000002</v>
      </c>
      <c r="AT121" s="103">
        <v>3.956</v>
      </c>
      <c r="AU121" s="103">
        <v>4.1840000000000002</v>
      </c>
      <c r="AV121" s="103">
        <v>3.68</v>
      </c>
      <c r="AW121" s="103">
        <v>3.8439999999999999</v>
      </c>
      <c r="AX121" s="103">
        <v>4.6230000000000002</v>
      </c>
      <c r="AY121" s="103">
        <v>4.194</v>
      </c>
      <c r="AZ121" s="103">
        <v>4.4210000000000003</v>
      </c>
      <c r="BA121" s="103">
        <v>4.4710000000000001</v>
      </c>
      <c r="BB121" s="103">
        <v>4.6189999999999998</v>
      </c>
      <c r="BC121" s="103">
        <v>4.6150000000000002</v>
      </c>
      <c r="BD121" s="103">
        <v>4.516</v>
      </c>
      <c r="BE121" s="103">
        <v>3.8290000000000002</v>
      </c>
      <c r="BF121" s="103">
        <v>4.0659999999999998</v>
      </c>
      <c r="BG121" s="103">
        <v>4.1529999999999996</v>
      </c>
      <c r="BH121" s="103">
        <v>4.3879999999999999</v>
      </c>
      <c r="BI121" s="103">
        <v>4.6310000000000002</v>
      </c>
      <c r="BJ121" s="103">
        <v>4.4509999999999996</v>
      </c>
      <c r="BK121" s="103">
        <v>3.532</v>
      </c>
      <c r="BL121" s="103">
        <v>4.0350000000000001</v>
      </c>
      <c r="BM121" s="103">
        <v>3.9550000000000001</v>
      </c>
      <c r="BN121" s="103">
        <v>3.8740000000000001</v>
      </c>
      <c r="BO121" s="103">
        <v>3.6890000000000001</v>
      </c>
      <c r="BP121" s="103">
        <v>3.8919999999999999</v>
      </c>
      <c r="BQ121" s="87">
        <v>3.5873879999999998</v>
      </c>
      <c r="BR121" s="87">
        <v>3.9474969999999998</v>
      </c>
      <c r="BS121" s="87">
        <v>4.4994360000000002</v>
      </c>
      <c r="BT121" s="87">
        <v>4.0105089999999999</v>
      </c>
      <c r="BU121" s="87">
        <v>4.0678029999999996</v>
      </c>
      <c r="BV121" s="87">
        <v>4.414612</v>
      </c>
      <c r="BW121" s="105">
        <v>3.54</v>
      </c>
      <c r="BX121" s="105">
        <v>3.577</v>
      </c>
      <c r="BY121" s="105">
        <v>3.6819999999999999</v>
      </c>
      <c r="BZ121" s="105">
        <v>3.8380000000000001</v>
      </c>
      <c r="CA121" s="105">
        <v>3.956</v>
      </c>
      <c r="CB121" s="105">
        <v>3.7989999999999999</v>
      </c>
      <c r="CC121" s="105">
        <v>3.8039999999999998</v>
      </c>
      <c r="CD121" s="105">
        <v>4.2080000000000002</v>
      </c>
      <c r="CE121" s="105">
        <v>4.218</v>
      </c>
      <c r="CF121" s="105">
        <v>4.1269999999999998</v>
      </c>
      <c r="CG121" s="105">
        <v>4.3890000000000002</v>
      </c>
      <c r="CH121" s="105">
        <v>4.3879999999999999</v>
      </c>
      <c r="CI121" s="105">
        <v>4.3929999999999998</v>
      </c>
      <c r="CJ121" s="106">
        <v>4.0439999999999996</v>
      </c>
      <c r="CK121" s="106">
        <v>4.0430000000000001</v>
      </c>
      <c r="CL121" s="105">
        <v>4.2809999999999997</v>
      </c>
      <c r="CM121" s="105">
        <v>3.7629999999999999</v>
      </c>
      <c r="CN121" s="105">
        <v>3.9289999999999998</v>
      </c>
      <c r="CO121" s="105">
        <v>4.7709999999999999</v>
      </c>
      <c r="CP121" s="105">
        <v>4.2919999999999998</v>
      </c>
      <c r="CQ121" s="105">
        <v>4.5309999999999997</v>
      </c>
      <c r="CR121" s="105">
        <v>4.5869999999999997</v>
      </c>
      <c r="CS121" s="105">
        <v>4.7519999999999998</v>
      </c>
      <c r="CT121" s="105">
        <v>4.7489999999999997</v>
      </c>
      <c r="CU121" s="105">
        <v>4.6349999999999998</v>
      </c>
      <c r="CV121" s="105">
        <v>3.9089999999999998</v>
      </c>
      <c r="CW121" s="105">
        <v>4.1539999999999999</v>
      </c>
      <c r="CX121" s="105">
        <v>4.266</v>
      </c>
      <c r="CY121" s="105">
        <v>4.5330000000000004</v>
      </c>
      <c r="CZ121" s="105">
        <v>4.7809999999999997</v>
      </c>
      <c r="DA121" s="105">
        <v>4.6100000000000003</v>
      </c>
      <c r="DB121" s="105">
        <v>3.6840000000000002</v>
      </c>
      <c r="DC121" s="105">
        <v>4.1950000000000003</v>
      </c>
      <c r="DD121" s="105">
        <v>4.1260000000000003</v>
      </c>
      <c r="DE121" s="105">
        <v>3.96</v>
      </c>
      <c r="DF121" s="105">
        <v>3.722</v>
      </c>
      <c r="DG121" s="105">
        <v>3.98</v>
      </c>
      <c r="DH121" s="115">
        <v>3.676828</v>
      </c>
      <c r="DI121" s="115">
        <v>4.0376159999999999</v>
      </c>
      <c r="DJ121" s="115">
        <v>4.6102949999999998</v>
      </c>
      <c r="DK121" s="115">
        <v>4.100708</v>
      </c>
      <c r="DL121" s="115">
        <v>4.1584640000000004</v>
      </c>
      <c r="DM121" s="115">
        <v>4.5253759999999996</v>
      </c>
    </row>
    <row r="122" spans="1:117">
      <c r="A122" s="1">
        <f t="shared" si="12"/>
        <v>120</v>
      </c>
      <c r="B122" s="2"/>
      <c r="C122" s="4">
        <v>12</v>
      </c>
      <c r="D122" s="4">
        <f t="shared" si="8"/>
        <v>1016</v>
      </c>
      <c r="E122" s="4" t="s">
        <v>137</v>
      </c>
      <c r="F122" s="4">
        <v>1</v>
      </c>
      <c r="G122" s="4" t="s">
        <v>11</v>
      </c>
      <c r="H122" s="4" t="s">
        <v>17</v>
      </c>
      <c r="I122" s="4"/>
      <c r="J122" s="5">
        <v>88</v>
      </c>
      <c r="K122" s="63">
        <v>2.3E-2</v>
      </c>
      <c r="L122" s="99">
        <v>4.3420000000000014</v>
      </c>
      <c r="M122" s="7" t="s">
        <v>113</v>
      </c>
      <c r="N122" s="3" t="s">
        <v>205</v>
      </c>
      <c r="O122" s="6">
        <v>4.6970000000000001</v>
      </c>
      <c r="P122" s="6">
        <v>4.3159999999999998</v>
      </c>
      <c r="Q122" s="6">
        <v>4.9690000000000003</v>
      </c>
      <c r="R122" s="54"/>
      <c r="S122" s="6">
        <v>4.6109999999999998</v>
      </c>
      <c r="T122" s="6">
        <v>4.4169999999999998</v>
      </c>
      <c r="U122" s="6">
        <v>4.4109999999999996</v>
      </c>
      <c r="V122" s="6">
        <v>4.3689999999999998</v>
      </c>
      <c r="W122" s="6">
        <v>4.2670000000000003</v>
      </c>
      <c r="X122" s="54"/>
      <c r="Y122" s="6">
        <v>4.6669999999999998</v>
      </c>
      <c r="Z122" s="6">
        <v>4.6479999999999997</v>
      </c>
      <c r="AA122" s="6">
        <v>4.5430000000000001</v>
      </c>
      <c r="AB122" s="6">
        <v>4.4450000000000003</v>
      </c>
      <c r="AC122" s="6">
        <v>4.3689999999999998</v>
      </c>
      <c r="AD122" s="6">
        <v>4.1509999999999998</v>
      </c>
      <c r="AE122" s="6">
        <f t="shared" si="17"/>
        <v>4.26</v>
      </c>
      <c r="AF122" s="103">
        <v>3.4740000000000002</v>
      </c>
      <c r="AG122" s="103">
        <v>3.49</v>
      </c>
      <c r="AH122" s="103">
        <v>3.5830000000000002</v>
      </c>
      <c r="AI122" s="103">
        <v>3.7210000000000001</v>
      </c>
      <c r="AJ122" s="103">
        <v>3.798</v>
      </c>
      <c r="AK122" s="103">
        <v>3.6640000000000001</v>
      </c>
      <c r="AL122" s="103">
        <v>3.6819999999999999</v>
      </c>
      <c r="AM122" s="103">
        <v>4.0359999999999996</v>
      </c>
      <c r="AN122" s="103">
        <v>4.0439999999999996</v>
      </c>
      <c r="AO122" s="103">
        <v>3.9489999999999998</v>
      </c>
      <c r="AP122" s="103">
        <v>4.1989999999999998</v>
      </c>
      <c r="AQ122" s="103">
        <v>4.1900000000000004</v>
      </c>
      <c r="AR122" s="103">
        <v>4.218</v>
      </c>
      <c r="AS122" s="103">
        <v>3.899</v>
      </c>
      <c r="AT122" s="103">
        <v>3.89</v>
      </c>
      <c r="AU122" s="103">
        <v>4.07</v>
      </c>
      <c r="AV122" s="103">
        <v>3.6259999999999999</v>
      </c>
      <c r="AW122" s="103">
        <v>3.7829999999999999</v>
      </c>
      <c r="AX122" s="103">
        <v>4.476</v>
      </c>
      <c r="AY122" s="103">
        <v>4.0709999999999997</v>
      </c>
      <c r="AZ122" s="103">
        <v>4.2709999999999999</v>
      </c>
      <c r="BA122" s="103">
        <v>4.327</v>
      </c>
      <c r="BB122" s="103">
        <v>4.484</v>
      </c>
      <c r="BC122" s="103">
        <v>4.4880000000000004</v>
      </c>
      <c r="BD122" s="103">
        <v>4.3449999999999998</v>
      </c>
      <c r="BE122" s="103">
        <v>3.9540000000000002</v>
      </c>
      <c r="BF122" s="103">
        <v>4.0670000000000002</v>
      </c>
      <c r="BG122" s="103">
        <v>4.2809999999999997</v>
      </c>
      <c r="BH122" s="103">
        <v>4.4390000000000001</v>
      </c>
      <c r="BI122" s="103">
        <v>4.57</v>
      </c>
      <c r="BJ122" s="103">
        <v>4.54</v>
      </c>
      <c r="BK122" s="103">
        <v>4.1959999999999997</v>
      </c>
      <c r="BL122" s="103">
        <v>4.2960000000000003</v>
      </c>
      <c r="BM122" s="103">
        <v>4.2670000000000003</v>
      </c>
      <c r="BN122" s="103">
        <v>3.8239999999999998</v>
      </c>
      <c r="BO122" s="103">
        <v>3.6640000000000001</v>
      </c>
      <c r="BP122" s="103">
        <v>3.8450000000000002</v>
      </c>
      <c r="BQ122" s="87">
        <v>3.5280070000000001</v>
      </c>
      <c r="BR122" s="112">
        <v>3.92218</v>
      </c>
      <c r="BS122" s="87">
        <v>4.4990420000000002</v>
      </c>
      <c r="BT122" s="87">
        <v>3.9079679999999999</v>
      </c>
      <c r="BU122" s="87">
        <v>4.0317999999999996</v>
      </c>
      <c r="BV122" s="87">
        <v>4.418361</v>
      </c>
      <c r="BW122" s="105">
        <v>3.5459999999999998</v>
      </c>
      <c r="BX122" s="105">
        <v>3.5640000000000001</v>
      </c>
      <c r="BY122" s="105">
        <v>3.66</v>
      </c>
      <c r="BZ122" s="105">
        <v>3.8010000000000002</v>
      </c>
      <c r="CA122" s="105">
        <v>3.883</v>
      </c>
      <c r="CB122" s="105">
        <v>3.7480000000000002</v>
      </c>
      <c r="CC122" s="105">
        <v>3.766</v>
      </c>
      <c r="CD122" s="105">
        <v>4.1269999999999998</v>
      </c>
      <c r="CE122" s="105">
        <v>4.141</v>
      </c>
      <c r="CF122" s="105">
        <v>4.0449999999999999</v>
      </c>
      <c r="CG122" s="105">
        <v>4.306</v>
      </c>
      <c r="CH122" s="105">
        <v>4.2949999999999999</v>
      </c>
      <c r="CI122" s="105">
        <v>4.3230000000000004</v>
      </c>
      <c r="CJ122" s="106">
        <v>3.9830000000000001</v>
      </c>
      <c r="CK122" s="106">
        <v>3.976</v>
      </c>
      <c r="CL122" s="105">
        <v>4.17</v>
      </c>
      <c r="CM122" s="105">
        <v>3.7090000000000001</v>
      </c>
      <c r="CN122" s="105">
        <v>3.8679999999999999</v>
      </c>
      <c r="CO122" s="105">
        <v>4.6260000000000003</v>
      </c>
      <c r="CP122" s="105">
        <v>4.1719999999999997</v>
      </c>
      <c r="CQ122" s="105">
        <v>4.3879999999999999</v>
      </c>
      <c r="CR122" s="105">
        <v>4.4450000000000003</v>
      </c>
      <c r="CS122" s="105">
        <v>4.6150000000000002</v>
      </c>
      <c r="CT122" s="105">
        <v>4.6210000000000004</v>
      </c>
      <c r="CU122" s="105">
        <v>4.4740000000000002</v>
      </c>
      <c r="CV122" s="105">
        <v>4.016</v>
      </c>
      <c r="CW122" s="105">
        <v>4.149</v>
      </c>
      <c r="CX122" s="105">
        <v>4.3559999999999999</v>
      </c>
      <c r="CY122" s="105">
        <v>4.5419999999999998</v>
      </c>
      <c r="CZ122" s="105">
        <v>4.6950000000000003</v>
      </c>
      <c r="DA122" s="105">
        <v>4.6429999999999998</v>
      </c>
      <c r="DB122" s="105">
        <v>4.1859999999999999</v>
      </c>
      <c r="DC122" s="105">
        <v>4.3840000000000003</v>
      </c>
      <c r="DD122" s="105">
        <v>4.3520000000000003</v>
      </c>
      <c r="DE122" s="105">
        <v>3.9079999999999999</v>
      </c>
      <c r="DF122" s="105">
        <v>3.7440000000000002</v>
      </c>
      <c r="DG122" s="105">
        <v>3.9319999999999999</v>
      </c>
      <c r="DH122" s="115">
        <v>3.6458930000000001</v>
      </c>
      <c r="DI122" s="115">
        <v>4.0424490000000004</v>
      </c>
      <c r="DJ122" s="115">
        <v>4.6310209999999996</v>
      </c>
      <c r="DK122" s="115">
        <v>4.020683</v>
      </c>
      <c r="DL122" s="115">
        <v>4.1506689999999997</v>
      </c>
      <c r="DM122" s="115">
        <v>4.551526</v>
      </c>
    </row>
    <row r="123" spans="1:117">
      <c r="A123" s="1">
        <f t="shared" si="12"/>
        <v>121</v>
      </c>
      <c r="B123" s="2"/>
      <c r="C123" s="4">
        <v>12</v>
      </c>
      <c r="D123" s="4">
        <f t="shared" si="8"/>
        <v>1016</v>
      </c>
      <c r="E123" s="4" t="s">
        <v>131</v>
      </c>
      <c r="F123" s="4">
        <v>1</v>
      </c>
      <c r="G123" s="4" t="s">
        <v>11</v>
      </c>
      <c r="H123" s="4" t="s">
        <v>12</v>
      </c>
      <c r="I123" s="4"/>
      <c r="J123" s="5">
        <v>80.3</v>
      </c>
      <c r="K123" s="68"/>
      <c r="L123" s="99">
        <v>5.4359999999999999</v>
      </c>
      <c r="M123" s="7" t="s">
        <v>113</v>
      </c>
      <c r="N123" s="3" t="s">
        <v>205</v>
      </c>
      <c r="O123" s="6">
        <v>5.984</v>
      </c>
      <c r="P123" s="6">
        <v>5.1550000000000002</v>
      </c>
      <c r="Q123" s="6">
        <v>6.3490000000000002</v>
      </c>
      <c r="R123" s="54"/>
      <c r="S123" s="6">
        <v>6.1840000000000002</v>
      </c>
      <c r="T123" s="4">
        <v>5.6580000000000004</v>
      </c>
      <c r="U123" s="4">
        <v>5.6360000000000001</v>
      </c>
      <c r="V123" s="34">
        <v>5.59</v>
      </c>
      <c r="W123" s="34">
        <v>5.2930000000000001</v>
      </c>
      <c r="X123" s="54"/>
      <c r="Y123" s="6">
        <v>6.0659999999999998</v>
      </c>
      <c r="Z123" s="6">
        <v>6.1180000000000003</v>
      </c>
      <c r="AA123" s="6">
        <v>5.7910000000000004</v>
      </c>
      <c r="AB123" s="6">
        <v>5.7690000000000001</v>
      </c>
      <c r="AC123" s="6">
        <v>5.1239999999999997</v>
      </c>
      <c r="AD123" s="6">
        <v>5.9050000000000002</v>
      </c>
      <c r="AE123" s="6">
        <f t="shared" ref="AE123:AE130" si="18">AVERAGE(AC123:AD123)</f>
        <v>5.5145</v>
      </c>
      <c r="AF123" s="103">
        <v>4.4930000000000003</v>
      </c>
      <c r="AG123" s="103">
        <v>4.6070000000000002</v>
      </c>
      <c r="AH123" s="103">
        <v>4.8620000000000001</v>
      </c>
      <c r="AI123" s="103">
        <v>5.0510000000000002</v>
      </c>
      <c r="AJ123" s="103">
        <v>5.327</v>
      </c>
      <c r="AK123" s="103">
        <v>5.0359999999999996</v>
      </c>
      <c r="AL123" s="103">
        <v>5.05</v>
      </c>
      <c r="AM123" s="103">
        <v>5.851</v>
      </c>
      <c r="AN123" s="103">
        <v>5.7110000000000003</v>
      </c>
      <c r="AO123" s="103">
        <v>5.5179999999999998</v>
      </c>
      <c r="AP123" s="103">
        <v>5.9459999999999997</v>
      </c>
      <c r="AQ123" s="103">
        <v>5.9580000000000002</v>
      </c>
      <c r="AR123" s="103">
        <v>6.0209999999999999</v>
      </c>
      <c r="AS123" s="103">
        <v>5.3</v>
      </c>
      <c r="AT123" s="103">
        <v>5.2949999999999999</v>
      </c>
      <c r="AU123" s="103">
        <v>5.8259999999999996</v>
      </c>
      <c r="AV123" s="103">
        <v>4.806</v>
      </c>
      <c r="AW123" s="103">
        <v>5.2489999999999997</v>
      </c>
      <c r="AX123" s="103">
        <v>7</v>
      </c>
      <c r="AY123" s="103">
        <v>5.79</v>
      </c>
      <c r="AZ123" s="103">
        <v>6.1559999999999997</v>
      </c>
      <c r="BA123" s="103">
        <v>6.2510000000000003</v>
      </c>
      <c r="BB123" s="103">
        <v>6.4630000000000001</v>
      </c>
      <c r="BC123" s="103">
        <v>6.423</v>
      </c>
      <c r="BD123" s="103">
        <v>6.1760000000000002</v>
      </c>
      <c r="BE123" s="103">
        <v>4.8899999999999997</v>
      </c>
      <c r="BF123" s="103">
        <v>5.5289999999999999</v>
      </c>
      <c r="BG123" s="103">
        <v>5.9489999999999998</v>
      </c>
      <c r="BH123" s="103">
        <v>6.3789999999999996</v>
      </c>
      <c r="BI123" s="103">
        <v>6.8230000000000004</v>
      </c>
      <c r="BJ123" s="103">
        <v>6.492</v>
      </c>
      <c r="BK123" s="103">
        <v>3.899</v>
      </c>
      <c r="BL123" s="103">
        <v>6.0890000000000004</v>
      </c>
      <c r="BM123" s="103">
        <v>5.9889999999999999</v>
      </c>
      <c r="BN123" s="103">
        <v>5.2930000000000001</v>
      </c>
      <c r="BO123" s="103">
        <v>5.0039999999999996</v>
      </c>
      <c r="BP123" s="103">
        <v>5.43</v>
      </c>
      <c r="BQ123" s="87">
        <v>4.7183820000000001</v>
      </c>
      <c r="BR123" s="87">
        <v>5.3958909999999998</v>
      </c>
      <c r="BS123" s="112">
        <v>7.187494</v>
      </c>
      <c r="BT123" s="87">
        <v>5.5224849999999996</v>
      </c>
      <c r="BU123" s="87">
        <v>5.6385290000000001</v>
      </c>
      <c r="BV123" s="87">
        <v>6.9587529999999997</v>
      </c>
      <c r="BW123" s="105">
        <v>4.4969999999999999</v>
      </c>
      <c r="BX123" s="105">
        <v>4.6120000000000001</v>
      </c>
      <c r="BY123" s="105">
        <v>4.867</v>
      </c>
      <c r="BZ123" s="105">
        <v>5.056</v>
      </c>
      <c r="CA123" s="105">
        <v>5.3360000000000003</v>
      </c>
      <c r="CB123" s="105">
        <v>5.0430000000000001</v>
      </c>
      <c r="CC123" s="105">
        <v>5.0590000000000002</v>
      </c>
      <c r="CD123" s="105">
        <v>5.859</v>
      </c>
      <c r="CE123" s="105">
        <v>5.7210000000000001</v>
      </c>
      <c r="CF123" s="105">
        <v>5.5289999999999999</v>
      </c>
      <c r="CG123" s="105">
        <v>5.9560000000000004</v>
      </c>
      <c r="CH123" s="105">
        <v>5.9720000000000004</v>
      </c>
      <c r="CI123" s="105">
        <v>6.0289999999999999</v>
      </c>
      <c r="CJ123" s="106">
        <v>5.3070000000000004</v>
      </c>
      <c r="CK123" s="106">
        <v>5.3019999999999996</v>
      </c>
      <c r="CL123" s="105">
        <v>5.8330000000000002</v>
      </c>
      <c r="CM123" s="105">
        <v>4.8099999999999996</v>
      </c>
      <c r="CN123" s="105">
        <v>5.2539999999999996</v>
      </c>
      <c r="CO123" s="105">
        <v>7.02</v>
      </c>
      <c r="CP123" s="105">
        <v>5.7969999999999997</v>
      </c>
      <c r="CQ123" s="105">
        <v>6.1669999999999998</v>
      </c>
      <c r="CR123" s="105">
        <v>6.2610000000000001</v>
      </c>
      <c r="CS123" s="105">
        <v>6.476</v>
      </c>
      <c r="CT123" s="105">
        <v>6.4349999999999996</v>
      </c>
      <c r="CU123" s="105">
        <v>6.1950000000000003</v>
      </c>
      <c r="CV123" s="105">
        <v>4.8920000000000003</v>
      </c>
      <c r="CW123" s="105">
        <v>5.5359999999999996</v>
      </c>
      <c r="CX123" s="105">
        <v>5.8380000000000001</v>
      </c>
      <c r="CY123" s="105">
        <v>6.5019999999999998</v>
      </c>
      <c r="CZ123" s="105">
        <v>6.88</v>
      </c>
      <c r="DA123" s="105">
        <v>6.5140000000000002</v>
      </c>
      <c r="DB123" s="105">
        <v>4.0419999999999998</v>
      </c>
      <c r="DC123" s="105">
        <v>6.2510000000000003</v>
      </c>
      <c r="DD123" s="105">
        <v>6.0730000000000004</v>
      </c>
      <c r="DE123" s="105">
        <v>5.298</v>
      </c>
      <c r="DF123" s="105">
        <v>5.0090000000000003</v>
      </c>
      <c r="DG123" s="105">
        <v>5.4349999999999996</v>
      </c>
      <c r="DH123" s="115">
        <v>4.7255310000000001</v>
      </c>
      <c r="DI123" s="115">
        <v>5.4026670000000001</v>
      </c>
      <c r="DJ123" s="115">
        <v>7.1946630000000003</v>
      </c>
      <c r="DK123" s="115">
        <v>5.5297010000000002</v>
      </c>
      <c r="DL123" s="115">
        <v>5.6463070000000002</v>
      </c>
      <c r="DM123" s="115">
        <v>6.965471</v>
      </c>
    </row>
    <row r="124" spans="1:117">
      <c r="A124" s="1">
        <f t="shared" si="12"/>
        <v>122</v>
      </c>
      <c r="B124" s="2"/>
      <c r="C124" s="4">
        <v>12</v>
      </c>
      <c r="D124" s="4">
        <f t="shared" si="8"/>
        <v>1016</v>
      </c>
      <c r="E124" s="4" t="s">
        <v>118</v>
      </c>
      <c r="F124" s="4">
        <v>1</v>
      </c>
      <c r="G124" s="4" t="s">
        <v>11</v>
      </c>
      <c r="H124" s="4" t="s">
        <v>17</v>
      </c>
      <c r="I124" s="4"/>
      <c r="J124" s="5">
        <v>86.2</v>
      </c>
      <c r="K124" s="63">
        <v>0.193</v>
      </c>
      <c r="L124" s="99">
        <v>5.4580000000000002</v>
      </c>
      <c r="M124" s="7" t="s">
        <v>113</v>
      </c>
      <c r="N124" s="3" t="s">
        <v>205</v>
      </c>
      <c r="O124" s="6">
        <v>5.5720000000000001</v>
      </c>
      <c r="P124" s="6">
        <v>5.5330000000000004</v>
      </c>
      <c r="Q124" s="6">
        <v>6.0469999999999997</v>
      </c>
      <c r="R124" s="54"/>
      <c r="S124" s="6">
        <v>5.758</v>
      </c>
      <c r="T124" s="6">
        <v>5.5439999999999996</v>
      </c>
      <c r="U124" s="6">
        <v>5.5430000000000001</v>
      </c>
      <c r="V124" s="6">
        <v>5.5309999999999997</v>
      </c>
      <c r="W124" s="6">
        <v>5.4390000000000001</v>
      </c>
      <c r="X124" s="54"/>
      <c r="Y124" s="6">
        <v>5.6980000000000004</v>
      </c>
      <c r="Z124" s="6">
        <v>5.7050000000000001</v>
      </c>
      <c r="AA124" s="6">
        <v>5.6349999999999998</v>
      </c>
      <c r="AB124" s="6">
        <v>5.4690000000000003</v>
      </c>
      <c r="AC124" s="6">
        <v>5.5350000000000001</v>
      </c>
      <c r="AD124" s="6">
        <v>5.3849999999999998</v>
      </c>
      <c r="AE124" s="6">
        <f t="shared" si="18"/>
        <v>5.46</v>
      </c>
      <c r="AF124" s="103">
        <v>5.2880000000000003</v>
      </c>
      <c r="AG124" s="103">
        <v>5.2859999999999996</v>
      </c>
      <c r="AH124" s="103">
        <v>5.3339999999999996</v>
      </c>
      <c r="AI124" s="103">
        <v>5.4539999999999997</v>
      </c>
      <c r="AJ124" s="103">
        <v>5.6</v>
      </c>
      <c r="AK124" s="103">
        <v>5.3070000000000004</v>
      </c>
      <c r="AL124" s="103">
        <v>5.3170000000000002</v>
      </c>
      <c r="AM124" s="103">
        <v>5.7009999999999996</v>
      </c>
      <c r="AN124" s="103">
        <v>5.702</v>
      </c>
      <c r="AO124" s="103">
        <v>5.5359999999999996</v>
      </c>
      <c r="AP124" s="103">
        <v>5.7169999999999996</v>
      </c>
      <c r="AQ124" s="103">
        <v>5.726</v>
      </c>
      <c r="AR124" s="103">
        <v>5.7439999999999998</v>
      </c>
      <c r="AS124" s="103">
        <v>5.6559999999999997</v>
      </c>
      <c r="AT124" s="103">
        <v>5.6509999999999998</v>
      </c>
      <c r="AU124" s="103">
        <v>5.6669999999999998</v>
      </c>
      <c r="AV124" s="103">
        <v>5.3259999999999996</v>
      </c>
      <c r="AW124" s="103">
        <v>5.4630000000000001</v>
      </c>
      <c r="AX124" s="103">
        <v>5.9909999999999997</v>
      </c>
      <c r="AY124" s="103">
        <v>5.6909999999999998</v>
      </c>
      <c r="AZ124" s="103">
        <v>5.7809999999999997</v>
      </c>
      <c r="BA124" s="103">
        <v>5.8639999999999999</v>
      </c>
      <c r="BB124" s="103">
        <v>5.9749999999999996</v>
      </c>
      <c r="BC124" s="103">
        <v>5.9729999999999999</v>
      </c>
      <c r="BD124" s="103">
        <v>5.8949999999999996</v>
      </c>
      <c r="BE124" s="103">
        <v>5.3280000000000003</v>
      </c>
      <c r="BF124" s="103">
        <v>5.593</v>
      </c>
      <c r="BG124" s="103">
        <v>5.6029999999999998</v>
      </c>
      <c r="BH124" s="103">
        <v>5.7859999999999996</v>
      </c>
      <c r="BI124" s="103">
        <v>6.0339999999999998</v>
      </c>
      <c r="BJ124" s="103">
        <v>5.8739999999999997</v>
      </c>
      <c r="BK124" s="103">
        <v>4.9420000000000002</v>
      </c>
      <c r="BL124" s="103">
        <v>5.4569999999999999</v>
      </c>
      <c r="BM124" s="103">
        <v>5.3949999999999996</v>
      </c>
      <c r="BN124" s="103">
        <v>5.5819999999999999</v>
      </c>
      <c r="BO124" s="103">
        <v>5.4290000000000003</v>
      </c>
      <c r="BP124" s="103">
        <v>5.5430000000000001</v>
      </c>
      <c r="BQ124" s="87">
        <v>4.9444059999999999</v>
      </c>
      <c r="BR124" s="87">
        <v>5.3129939999999998</v>
      </c>
      <c r="BS124" s="87">
        <v>6.636584</v>
      </c>
      <c r="BT124" s="87">
        <v>5.3423590000000001</v>
      </c>
      <c r="BU124" s="87">
        <v>5.4220810000000004</v>
      </c>
      <c r="BV124" s="87">
        <v>6.578125</v>
      </c>
      <c r="BW124" s="105">
        <v>5.3319999999999999</v>
      </c>
      <c r="BX124" s="105">
        <v>5.3310000000000004</v>
      </c>
      <c r="BY124" s="105">
        <v>5.3819999999999997</v>
      </c>
      <c r="BZ124" s="105">
        <v>5.5090000000000003</v>
      </c>
      <c r="CA124" s="105">
        <v>5.6639999999999997</v>
      </c>
      <c r="CB124" s="105">
        <v>5.3689999999999998</v>
      </c>
      <c r="CC124" s="105">
        <v>5.3780000000000001</v>
      </c>
      <c r="CD124" s="105">
        <v>5.782</v>
      </c>
      <c r="CE124" s="105">
        <v>5.7869999999999999</v>
      </c>
      <c r="CF124" s="105">
        <v>5.6210000000000004</v>
      </c>
      <c r="CG124" s="105">
        <v>5.819</v>
      </c>
      <c r="CH124" s="105">
        <v>5.8289999999999997</v>
      </c>
      <c r="CI124" s="105">
        <v>5.843</v>
      </c>
      <c r="CJ124" s="106">
        <v>5.72</v>
      </c>
      <c r="CK124" s="106">
        <v>5.7160000000000002</v>
      </c>
      <c r="CL124" s="105">
        <v>5.7649999999999997</v>
      </c>
      <c r="CM124" s="105">
        <v>5.383</v>
      </c>
      <c r="CN124" s="105">
        <v>5.5259999999999998</v>
      </c>
      <c r="CO124" s="105">
        <v>6.1890000000000001</v>
      </c>
      <c r="CP124" s="105">
        <v>5.7919999999999998</v>
      </c>
      <c r="CQ124" s="105">
        <v>5.9219999999999997</v>
      </c>
      <c r="CR124" s="105">
        <v>6.0110000000000001</v>
      </c>
      <c r="CS124" s="105">
        <v>6.1559999999999997</v>
      </c>
      <c r="CT124" s="105">
        <v>6.1559999999999997</v>
      </c>
      <c r="CU124" s="105">
        <v>6.048</v>
      </c>
      <c r="CV124" s="105">
        <v>5.4089999999999998</v>
      </c>
      <c r="CW124" s="105">
        <v>5.6829999999999998</v>
      </c>
      <c r="CX124" s="105">
        <v>5.7130000000000001</v>
      </c>
      <c r="CY124" s="105">
        <v>5.931</v>
      </c>
      <c r="CZ124" s="105">
        <v>6.21</v>
      </c>
      <c r="DA124" s="105">
        <v>6.0250000000000004</v>
      </c>
      <c r="DB124" s="105">
        <v>4.9800000000000004</v>
      </c>
      <c r="DC124" s="105">
        <v>5.61</v>
      </c>
      <c r="DD124" s="105">
        <v>5.55</v>
      </c>
      <c r="DE124" s="105">
        <v>5.6470000000000002</v>
      </c>
      <c r="DF124" s="105">
        <v>5.484</v>
      </c>
      <c r="DG124" s="105">
        <v>5.6109999999999998</v>
      </c>
      <c r="DH124" s="115">
        <v>5.0361419999999999</v>
      </c>
      <c r="DI124" s="115">
        <v>5.4161479999999997</v>
      </c>
      <c r="DJ124" s="115">
        <v>6.7323000000000004</v>
      </c>
      <c r="DK124" s="115">
        <v>5.4432879999999999</v>
      </c>
      <c r="DL124" s="115">
        <v>5.5290840000000001</v>
      </c>
      <c r="DM124" s="115">
        <v>6.671081</v>
      </c>
    </row>
    <row r="125" spans="1:117">
      <c r="A125" s="1">
        <f t="shared" si="12"/>
        <v>123</v>
      </c>
      <c r="B125" s="2"/>
      <c r="C125" s="4">
        <v>12</v>
      </c>
      <c r="D125" s="4">
        <f t="shared" si="8"/>
        <v>1016</v>
      </c>
      <c r="E125" s="4" t="s">
        <v>137</v>
      </c>
      <c r="F125" s="4">
        <v>1</v>
      </c>
      <c r="G125" s="4" t="s">
        <v>11</v>
      </c>
      <c r="H125" s="4" t="s">
        <v>17</v>
      </c>
      <c r="I125" s="4"/>
      <c r="J125" s="5">
        <v>88.3</v>
      </c>
      <c r="K125" s="63">
        <v>0.32200000000000001</v>
      </c>
      <c r="L125" s="99">
        <v>5.548</v>
      </c>
      <c r="M125" s="7" t="s">
        <v>113</v>
      </c>
      <c r="N125" s="3" t="s">
        <v>205</v>
      </c>
      <c r="O125" s="6">
        <v>5.7939999999999996</v>
      </c>
      <c r="P125" s="6">
        <v>5.5220000000000002</v>
      </c>
      <c r="Q125" s="6">
        <v>5.9640000000000004</v>
      </c>
      <c r="R125" s="54"/>
      <c r="S125" s="6">
        <v>5.7969999999999997</v>
      </c>
      <c r="T125" s="6">
        <v>5.6050000000000004</v>
      </c>
      <c r="U125" s="6">
        <v>5.5819999999999999</v>
      </c>
      <c r="V125" s="6">
        <v>5.585</v>
      </c>
      <c r="W125" s="6">
        <v>5.4969999999999999</v>
      </c>
      <c r="X125" s="54"/>
      <c r="Y125" s="6">
        <v>5.7359999999999998</v>
      </c>
      <c r="Z125" s="6">
        <v>5.8319999999999999</v>
      </c>
      <c r="AA125" s="6">
        <v>5.7359999999999998</v>
      </c>
      <c r="AB125" s="6">
        <v>5.5149999999999997</v>
      </c>
      <c r="AC125" s="6">
        <v>5.4189999999999996</v>
      </c>
      <c r="AD125" s="6">
        <v>5.3940000000000001</v>
      </c>
      <c r="AE125" s="6">
        <f t="shared" si="18"/>
        <v>5.4064999999999994</v>
      </c>
      <c r="AF125" s="103">
        <v>4.7770000000000001</v>
      </c>
      <c r="AG125" s="103">
        <v>4.7939999999999996</v>
      </c>
      <c r="AH125" s="103">
        <v>4.8769999999999998</v>
      </c>
      <c r="AI125" s="103">
        <v>4.9980000000000002</v>
      </c>
      <c r="AJ125" s="103">
        <v>5.1040000000000001</v>
      </c>
      <c r="AK125" s="103">
        <v>4.944</v>
      </c>
      <c r="AL125" s="103">
        <v>4.968</v>
      </c>
      <c r="AM125" s="103">
        <v>5.2720000000000002</v>
      </c>
      <c r="AN125" s="103">
        <v>5.28</v>
      </c>
      <c r="AO125" s="103">
        <v>5.1710000000000003</v>
      </c>
      <c r="AP125" s="103">
        <v>5.3559999999999999</v>
      </c>
      <c r="AQ125" s="103">
        <v>5.3520000000000003</v>
      </c>
      <c r="AR125" s="103">
        <v>5.3890000000000002</v>
      </c>
      <c r="AS125" s="103">
        <v>5.173</v>
      </c>
      <c r="AT125" s="103">
        <v>5.1609999999999996</v>
      </c>
      <c r="AU125" s="103">
        <v>5.2889999999999997</v>
      </c>
      <c r="AV125" s="103">
        <v>4.899</v>
      </c>
      <c r="AW125" s="103">
        <v>5.0460000000000003</v>
      </c>
      <c r="AX125" s="103">
        <v>5.5549999999999997</v>
      </c>
      <c r="AY125" s="103">
        <v>5.2809999999999997</v>
      </c>
      <c r="AZ125" s="103">
        <v>5.3979999999999997</v>
      </c>
      <c r="BA125" s="103">
        <v>5.48</v>
      </c>
      <c r="BB125" s="103">
        <v>5.5990000000000002</v>
      </c>
      <c r="BC125" s="103">
        <v>5.609</v>
      </c>
      <c r="BD125" s="103">
        <v>5.4669999999999996</v>
      </c>
      <c r="BE125" s="103">
        <v>5.1360000000000001</v>
      </c>
      <c r="BF125" s="103">
        <v>5.2670000000000003</v>
      </c>
      <c r="BG125" s="103">
        <v>5.4189999999999996</v>
      </c>
      <c r="BH125" s="103">
        <v>5.5380000000000003</v>
      </c>
      <c r="BI125" s="103">
        <v>5.6630000000000003</v>
      </c>
      <c r="BJ125" s="103">
        <v>5.6180000000000003</v>
      </c>
      <c r="BK125" s="103">
        <v>5.2709999999999999</v>
      </c>
      <c r="BL125" s="103">
        <v>5.4039999999999999</v>
      </c>
      <c r="BM125" s="103">
        <v>5.3760000000000003</v>
      </c>
      <c r="BN125" s="103">
        <v>5.1180000000000003</v>
      </c>
      <c r="BO125" s="103">
        <v>4.9640000000000004</v>
      </c>
      <c r="BP125" s="103">
        <v>5.1100000000000003</v>
      </c>
      <c r="BQ125" s="112">
        <v>4.7112829999999999</v>
      </c>
      <c r="BR125" s="87">
        <v>5.0999179999999997</v>
      </c>
      <c r="BS125" s="87">
        <v>5.6519060000000003</v>
      </c>
      <c r="BT125" s="87">
        <v>5.1730400000000003</v>
      </c>
      <c r="BU125" s="87">
        <v>5.2285579999999996</v>
      </c>
      <c r="BV125" s="87">
        <v>5.553909</v>
      </c>
      <c r="BW125" s="105">
        <v>5.032</v>
      </c>
      <c r="BX125" s="105">
        <v>5.05</v>
      </c>
      <c r="BY125" s="105">
        <v>5.1349999999999998</v>
      </c>
      <c r="BZ125" s="105">
        <v>5.266</v>
      </c>
      <c r="CA125" s="105">
        <v>5.3869999999999996</v>
      </c>
      <c r="CB125" s="105">
        <v>5.1970000000000001</v>
      </c>
      <c r="CC125" s="105">
        <v>5.2160000000000002</v>
      </c>
      <c r="CD125" s="105">
        <v>5.5590000000000002</v>
      </c>
      <c r="CE125" s="105">
        <v>5.5789999999999997</v>
      </c>
      <c r="CF125" s="105">
        <v>5.4690000000000003</v>
      </c>
      <c r="CG125" s="105">
        <v>5.66</v>
      </c>
      <c r="CH125" s="105">
        <v>5.6539999999999999</v>
      </c>
      <c r="CI125" s="105">
        <v>5.6840000000000002</v>
      </c>
      <c r="CJ125" s="106">
        <v>5.4539999999999997</v>
      </c>
      <c r="CK125" s="106">
        <v>5.4470000000000001</v>
      </c>
      <c r="CL125" s="105">
        <v>5.5869999999999997</v>
      </c>
      <c r="CM125" s="105">
        <v>5.1680000000000001</v>
      </c>
      <c r="CN125" s="105">
        <v>5.3209999999999997</v>
      </c>
      <c r="CO125" s="105">
        <v>5.88</v>
      </c>
      <c r="CP125" s="105">
        <v>5.5839999999999996</v>
      </c>
      <c r="CQ125" s="105">
        <v>5.7069999999999999</v>
      </c>
      <c r="CR125" s="105">
        <v>5.7969999999999997</v>
      </c>
      <c r="CS125" s="105">
        <v>5.9249999999999998</v>
      </c>
      <c r="CT125" s="105">
        <v>5.9409999999999998</v>
      </c>
      <c r="CU125" s="105">
        <v>5.8019999999999996</v>
      </c>
      <c r="CV125" s="105">
        <v>5.3310000000000004</v>
      </c>
      <c r="CW125" s="105">
        <v>5.5149999999999997</v>
      </c>
      <c r="CX125" s="105">
        <v>5.6459999999999999</v>
      </c>
      <c r="CY125" s="105">
        <v>5.7990000000000004</v>
      </c>
      <c r="CZ125" s="105">
        <v>5.9610000000000003</v>
      </c>
      <c r="DA125" s="105">
        <v>5.8769999999999998</v>
      </c>
      <c r="DB125" s="105">
        <v>5.3890000000000002</v>
      </c>
      <c r="DC125" s="105">
        <v>5.6340000000000003</v>
      </c>
      <c r="DD125" s="105">
        <v>5.5990000000000002</v>
      </c>
      <c r="DE125" s="105">
        <v>5.3959999999999999</v>
      </c>
      <c r="DF125" s="105">
        <v>5.23</v>
      </c>
      <c r="DG125" s="105">
        <v>5.3860000000000001</v>
      </c>
      <c r="DH125" s="115">
        <v>5.0864130000000003</v>
      </c>
      <c r="DI125" s="115">
        <v>5.4740479999999998</v>
      </c>
      <c r="DJ125" s="115">
        <v>5.9836470000000004</v>
      </c>
      <c r="DK125" s="115">
        <v>5.5407950000000001</v>
      </c>
      <c r="DL125" s="115">
        <v>5.5987070000000001</v>
      </c>
      <c r="DM125" s="115">
        <v>5.8900110000000003</v>
      </c>
    </row>
    <row r="126" spans="1:117">
      <c r="A126" s="1">
        <f t="shared" si="12"/>
        <v>124</v>
      </c>
      <c r="B126" s="2"/>
      <c r="C126" s="4">
        <v>12</v>
      </c>
      <c r="D126" s="4">
        <f t="shared" si="8"/>
        <v>1016</v>
      </c>
      <c r="E126" s="4" t="s">
        <v>129</v>
      </c>
      <c r="F126" s="4">
        <v>3</v>
      </c>
      <c r="G126" s="4" t="s">
        <v>11</v>
      </c>
      <c r="H126" s="4" t="s">
        <v>12</v>
      </c>
      <c r="I126" s="4"/>
      <c r="J126" s="5">
        <v>96.2</v>
      </c>
      <c r="K126" s="68"/>
      <c r="L126" s="99">
        <v>2.766</v>
      </c>
      <c r="M126" s="7" t="s">
        <v>158</v>
      </c>
      <c r="N126" s="3" t="s">
        <v>205</v>
      </c>
      <c r="O126" s="6">
        <v>2.903</v>
      </c>
      <c r="P126" s="6">
        <v>2.7</v>
      </c>
      <c r="Q126" s="6">
        <v>3.1280000000000001</v>
      </c>
      <c r="R126" s="54"/>
      <c r="S126" s="6">
        <v>2.9729999999999999</v>
      </c>
      <c r="T126" s="54"/>
      <c r="U126" s="54"/>
      <c r="V126" s="54"/>
      <c r="W126" s="54"/>
      <c r="X126" s="54"/>
      <c r="Y126" s="6">
        <v>3.0920000000000001</v>
      </c>
      <c r="Z126" s="6">
        <v>3.202</v>
      </c>
      <c r="AA126" s="6">
        <v>3.0409999999999999</v>
      </c>
      <c r="AB126" s="6">
        <v>2.8620000000000001</v>
      </c>
      <c r="AC126" s="6">
        <v>2.5910000000000002</v>
      </c>
      <c r="AD126" s="6">
        <v>2.8849999999999998</v>
      </c>
      <c r="AE126" s="6">
        <f t="shared" si="18"/>
        <v>2.738</v>
      </c>
      <c r="AF126" s="103">
        <v>2.048</v>
      </c>
      <c r="AG126" s="103">
        <v>2.1429999999999998</v>
      </c>
      <c r="AH126" s="103">
        <v>2.2389999999999999</v>
      </c>
      <c r="AI126" s="103">
        <v>2.238</v>
      </c>
      <c r="AJ126" s="107"/>
      <c r="AK126" s="103">
        <v>2.48</v>
      </c>
      <c r="AL126" s="103">
        <v>2.4910000000000001</v>
      </c>
      <c r="AM126" s="103">
        <v>2.6259999999999999</v>
      </c>
      <c r="AN126" s="103">
        <v>2.4860000000000002</v>
      </c>
      <c r="AO126" s="103">
        <v>2.5190000000000001</v>
      </c>
      <c r="AP126" s="103">
        <v>2.6389999999999998</v>
      </c>
      <c r="AQ126" s="103">
        <v>2.577</v>
      </c>
      <c r="AR126" s="103">
        <v>2.7759999999999998</v>
      </c>
      <c r="AS126" s="103">
        <v>2.4350000000000001</v>
      </c>
      <c r="AT126" s="103">
        <v>2.4140000000000001</v>
      </c>
      <c r="AU126" s="103">
        <v>2.5659999999999998</v>
      </c>
      <c r="AV126" s="103">
        <v>2.2050000000000001</v>
      </c>
      <c r="AW126" s="103">
        <v>2.3780000000000001</v>
      </c>
      <c r="AX126" s="103">
        <v>2.94</v>
      </c>
      <c r="AY126" s="103">
        <v>2.5630000000000002</v>
      </c>
      <c r="AZ126" s="103">
        <v>2.8109999999999999</v>
      </c>
      <c r="BA126" s="103">
        <v>2.72</v>
      </c>
      <c r="BB126" s="103">
        <v>2.8079999999999998</v>
      </c>
      <c r="BC126" s="103">
        <v>2.653</v>
      </c>
      <c r="BD126" s="103">
        <v>2.5339999999999998</v>
      </c>
      <c r="BE126" s="107"/>
      <c r="BF126" s="107"/>
      <c r="BG126" s="107"/>
      <c r="BH126" s="107"/>
      <c r="BI126" s="107"/>
      <c r="BJ126" s="107"/>
      <c r="BK126" s="107"/>
      <c r="BL126" s="107"/>
      <c r="BM126" s="107"/>
      <c r="BN126" s="103">
        <v>2.4830000000000001</v>
      </c>
      <c r="BO126" s="103">
        <v>2.27</v>
      </c>
      <c r="BP126" s="103">
        <v>2.548</v>
      </c>
      <c r="BQ126" s="87">
        <v>1.863011</v>
      </c>
      <c r="BR126" s="87">
        <v>2.2982870000000002</v>
      </c>
      <c r="BS126" s="87">
        <v>3.3644189999999998</v>
      </c>
      <c r="BT126" s="87">
        <v>2.3385729999999998</v>
      </c>
      <c r="BU126" s="87">
        <v>2.4309059999999998</v>
      </c>
      <c r="BV126" s="87">
        <v>3.173813</v>
      </c>
      <c r="BW126" s="105">
        <v>2.1160000000000001</v>
      </c>
      <c r="BX126" s="105">
        <v>2.1859999999999999</v>
      </c>
      <c r="BY126" s="105">
        <v>2.2919999999999998</v>
      </c>
      <c r="BZ126" s="105">
        <v>2.3039999999999998</v>
      </c>
      <c r="CA126" s="105">
        <v>2.335</v>
      </c>
      <c r="CB126" s="105">
        <v>2.5</v>
      </c>
      <c r="CC126" s="105">
        <v>2.5129999999999999</v>
      </c>
      <c r="CD126" s="105">
        <v>2.6989999999999998</v>
      </c>
      <c r="CE126" s="105">
        <v>2.54</v>
      </c>
      <c r="CF126" s="105">
        <v>2.556</v>
      </c>
      <c r="CG126" s="105">
        <v>2.702</v>
      </c>
      <c r="CH126" s="105">
        <v>2.637</v>
      </c>
      <c r="CI126" s="105">
        <v>2.8340000000000001</v>
      </c>
      <c r="CJ126" s="106">
        <v>2.4710000000000001</v>
      </c>
      <c r="CK126" s="106">
        <v>2.4510000000000001</v>
      </c>
      <c r="CL126" s="105">
        <v>2.6309999999999998</v>
      </c>
      <c r="CM126" s="105">
        <v>2.246</v>
      </c>
      <c r="CN126" s="105">
        <v>2.4369999999999998</v>
      </c>
      <c r="CO126" s="105">
        <v>3.0619999999999998</v>
      </c>
      <c r="CP126" s="105">
        <v>2.617</v>
      </c>
      <c r="CQ126" s="105">
        <v>2.8519999999999999</v>
      </c>
      <c r="CR126" s="105">
        <v>2.7789999999999999</v>
      </c>
      <c r="CS126" s="105">
        <v>2.8660000000000001</v>
      </c>
      <c r="CT126" s="105">
        <v>2.726</v>
      </c>
      <c r="CU126" s="105">
        <v>2.5819999999999999</v>
      </c>
      <c r="CV126" s="105">
        <v>2.5009999999999999</v>
      </c>
      <c r="CW126" s="105">
        <v>2.5779999999999998</v>
      </c>
      <c r="CX126" s="105">
        <v>2.7349999999999999</v>
      </c>
      <c r="CY126" s="105">
        <v>2.8650000000000002</v>
      </c>
      <c r="CZ126" s="105">
        <v>2.9279999999999999</v>
      </c>
      <c r="DA126" s="105">
        <v>2.923</v>
      </c>
      <c r="DB126" s="105">
        <v>2.2839999999999998</v>
      </c>
      <c r="DC126" s="105">
        <v>2.7679999999999998</v>
      </c>
      <c r="DD126" s="105">
        <v>2.7509999999999999</v>
      </c>
      <c r="DE126" s="105">
        <v>2.516</v>
      </c>
      <c r="DF126" s="105">
        <v>2.3250000000000002</v>
      </c>
      <c r="DG126" s="105">
        <v>2.5910000000000002</v>
      </c>
      <c r="DH126" s="115">
        <v>1.9076649999999999</v>
      </c>
      <c r="DI126" s="115">
        <v>2.3461509999999999</v>
      </c>
      <c r="DJ126" s="115">
        <v>3.4058310000000001</v>
      </c>
      <c r="DK126" s="115">
        <v>2.3935550000000001</v>
      </c>
      <c r="DL126" s="115">
        <v>2.4824000000000002</v>
      </c>
      <c r="DM126" s="115">
        <v>3.2118910000000001</v>
      </c>
    </row>
    <row r="127" spans="1:117">
      <c r="A127" s="1">
        <f t="shared" si="12"/>
        <v>125</v>
      </c>
      <c r="B127" s="2"/>
      <c r="C127" s="4">
        <v>12</v>
      </c>
      <c r="D127" s="4">
        <f t="shared" si="8"/>
        <v>1016</v>
      </c>
      <c r="E127" s="4" t="s">
        <v>130</v>
      </c>
      <c r="F127" s="4">
        <v>3</v>
      </c>
      <c r="G127" s="4" t="s">
        <v>11</v>
      </c>
      <c r="H127" s="4" t="s">
        <v>12</v>
      </c>
      <c r="I127" s="4"/>
      <c r="J127" s="5">
        <v>96.1</v>
      </c>
      <c r="K127" s="68"/>
      <c r="L127" s="99">
        <v>2.9780000000000002</v>
      </c>
      <c r="M127" s="7" t="s">
        <v>158</v>
      </c>
      <c r="N127" s="3" t="s">
        <v>205</v>
      </c>
      <c r="O127" s="6">
        <v>3.1019999999999999</v>
      </c>
      <c r="P127" s="6">
        <v>2.9220000000000002</v>
      </c>
      <c r="Q127" s="6">
        <v>3.3069999999999999</v>
      </c>
      <c r="R127" s="54"/>
      <c r="S127" s="6">
        <v>3.1760000000000002</v>
      </c>
      <c r="T127" s="54"/>
      <c r="U127" s="54"/>
      <c r="V127" s="54"/>
      <c r="W127" s="54"/>
      <c r="X127" s="54"/>
      <c r="Y127" s="6">
        <v>3.2530000000000001</v>
      </c>
      <c r="Z127" s="6">
        <v>3.391</v>
      </c>
      <c r="AA127" s="6">
        <v>3.2410000000000001</v>
      </c>
      <c r="AB127" s="6">
        <v>3.0209999999999999</v>
      </c>
      <c r="AC127" s="6">
        <v>2.7730000000000001</v>
      </c>
      <c r="AD127" s="6">
        <v>3.1349999999999998</v>
      </c>
      <c r="AE127" s="6">
        <f t="shared" si="18"/>
        <v>2.9539999999999997</v>
      </c>
      <c r="AF127" s="103">
        <v>2.2879999999999998</v>
      </c>
      <c r="AG127" s="103">
        <v>2.3889999999999998</v>
      </c>
      <c r="AH127" s="103">
        <v>2.4729999999999999</v>
      </c>
      <c r="AI127" s="103">
        <v>2.488</v>
      </c>
      <c r="AJ127" s="107"/>
      <c r="AK127" s="103">
        <v>2.73</v>
      </c>
      <c r="AL127" s="103">
        <v>2.7370000000000001</v>
      </c>
      <c r="AM127" s="103">
        <v>2.863</v>
      </c>
      <c r="AN127" s="103">
        <v>2.738</v>
      </c>
      <c r="AO127" s="103">
        <v>2.7469999999999999</v>
      </c>
      <c r="AP127" s="103">
        <v>2.8839999999999999</v>
      </c>
      <c r="AQ127" s="103">
        <v>2.82</v>
      </c>
      <c r="AR127" s="103">
        <v>3.0379999999999998</v>
      </c>
      <c r="AS127" s="103">
        <v>2.7280000000000002</v>
      </c>
      <c r="AT127" s="103">
        <v>2.7029999999999998</v>
      </c>
      <c r="AU127" s="103">
        <v>2.8029999999999999</v>
      </c>
      <c r="AV127" s="103">
        <v>2.4510000000000001</v>
      </c>
      <c r="AW127" s="103">
        <v>2.6139999999999999</v>
      </c>
      <c r="AX127" s="103">
        <v>3.1259999999999999</v>
      </c>
      <c r="AY127" s="103">
        <v>2.8109999999999999</v>
      </c>
      <c r="AZ127" s="103">
        <v>3.0590000000000002</v>
      </c>
      <c r="BA127" s="103">
        <v>2.9609999999999999</v>
      </c>
      <c r="BB127" s="103">
        <v>3.0489999999999999</v>
      </c>
      <c r="BC127" s="103">
        <v>2.903</v>
      </c>
      <c r="BD127" s="103">
        <v>2.8079999999999998</v>
      </c>
      <c r="BE127" s="107"/>
      <c r="BF127" s="107"/>
      <c r="BG127" s="107"/>
      <c r="BH127" s="107"/>
      <c r="BI127" s="107"/>
      <c r="BJ127" s="107"/>
      <c r="BK127" s="107"/>
      <c r="BL127" s="107"/>
      <c r="BM127" s="107"/>
      <c r="BN127" s="103">
        <v>2.7669999999999999</v>
      </c>
      <c r="BO127" s="103">
        <v>2.5310000000000001</v>
      </c>
      <c r="BP127" s="103">
        <v>2.8149999999999999</v>
      </c>
      <c r="BQ127" s="87">
        <v>2.021684</v>
      </c>
      <c r="BR127" s="87">
        <v>2.480804</v>
      </c>
      <c r="BS127" s="87">
        <v>3.4983430000000002</v>
      </c>
      <c r="BT127" s="87">
        <v>2.541499</v>
      </c>
      <c r="BU127" s="87">
        <v>2.6239460000000001</v>
      </c>
      <c r="BV127" s="87">
        <v>3.2887550000000001</v>
      </c>
      <c r="BW127" s="105">
        <v>2.3570000000000002</v>
      </c>
      <c r="BX127" s="105">
        <v>2.4329999999999998</v>
      </c>
      <c r="BY127" s="105">
        <v>2.528</v>
      </c>
      <c r="BZ127" s="105">
        <v>2.556</v>
      </c>
      <c r="CA127" s="105">
        <v>2.5790000000000002</v>
      </c>
      <c r="CB127" s="105">
        <v>2.7519999999999998</v>
      </c>
      <c r="CC127" s="105">
        <v>2.7610000000000001</v>
      </c>
      <c r="CD127" s="105">
        <v>2.94</v>
      </c>
      <c r="CE127" s="105">
        <v>2.7949999999999999</v>
      </c>
      <c r="CF127" s="105">
        <v>2.7869999999999999</v>
      </c>
      <c r="CG127" s="105">
        <v>2.9540000000000002</v>
      </c>
      <c r="CH127" s="105">
        <v>2.8860000000000001</v>
      </c>
      <c r="CI127" s="105">
        <v>3.1</v>
      </c>
      <c r="CJ127" s="106">
        <v>2.7679999999999998</v>
      </c>
      <c r="CK127" s="106">
        <v>2.7429999999999999</v>
      </c>
      <c r="CL127" s="105">
        <v>2.87</v>
      </c>
      <c r="CM127" s="105">
        <v>2.4929999999999999</v>
      </c>
      <c r="CN127" s="105">
        <v>2.6749999999999998</v>
      </c>
      <c r="CO127" s="105">
        <v>3.2509999999999999</v>
      </c>
      <c r="CP127" s="105">
        <v>2.8660000000000001</v>
      </c>
      <c r="CQ127" s="105">
        <v>3.101</v>
      </c>
      <c r="CR127" s="105">
        <v>3.0190000000000001</v>
      </c>
      <c r="CS127" s="105">
        <v>3.105</v>
      </c>
      <c r="CT127" s="105">
        <v>2.9740000000000002</v>
      </c>
      <c r="CU127" s="105">
        <v>2.8580000000000001</v>
      </c>
      <c r="CV127" s="105">
        <v>2.7160000000000002</v>
      </c>
      <c r="CW127" s="105">
        <v>2.8159999999999998</v>
      </c>
      <c r="CX127" s="105">
        <v>2.96</v>
      </c>
      <c r="CY127" s="105">
        <v>3.0830000000000002</v>
      </c>
      <c r="CZ127" s="105">
        <v>3.1640000000000001</v>
      </c>
      <c r="DA127" s="105">
        <v>3.1480000000000001</v>
      </c>
      <c r="DB127" s="105">
        <v>2.492</v>
      </c>
      <c r="DC127" s="105">
        <v>2.9750000000000001</v>
      </c>
      <c r="DD127" s="105">
        <v>2.9569999999999999</v>
      </c>
      <c r="DE127" s="105">
        <v>2.8010000000000002</v>
      </c>
      <c r="DF127" s="105">
        <v>2.5870000000000002</v>
      </c>
      <c r="DG127" s="105">
        <v>2.86</v>
      </c>
      <c r="DH127" s="115">
        <v>2.0653090000000001</v>
      </c>
      <c r="DI127" s="115">
        <v>2.5280900000000002</v>
      </c>
      <c r="DJ127" s="115">
        <v>3.539377</v>
      </c>
      <c r="DK127" s="115">
        <v>2.5958329999999998</v>
      </c>
      <c r="DL127" s="115">
        <v>2.6749459999999998</v>
      </c>
      <c r="DM127" s="115">
        <v>3.3262890000000001</v>
      </c>
    </row>
    <row r="128" spans="1:117">
      <c r="A128" s="1">
        <f t="shared" si="12"/>
        <v>126</v>
      </c>
      <c r="B128" s="2"/>
      <c r="C128" s="4">
        <v>12</v>
      </c>
      <c r="D128" s="4">
        <f t="shared" si="8"/>
        <v>1016</v>
      </c>
      <c r="E128" s="4" t="s">
        <v>142</v>
      </c>
      <c r="F128" s="4">
        <v>3</v>
      </c>
      <c r="G128" s="4" t="s">
        <v>11</v>
      </c>
      <c r="H128" s="4" t="s">
        <v>17</v>
      </c>
      <c r="I128" s="4"/>
      <c r="J128" s="5">
        <v>97.7</v>
      </c>
      <c r="K128" s="68"/>
      <c r="L128" s="99">
        <v>3.3210000000000002</v>
      </c>
      <c r="M128" s="7" t="s">
        <v>158</v>
      </c>
      <c r="N128" s="3" t="s">
        <v>205</v>
      </c>
      <c r="O128" s="6">
        <v>3.6440000000000001</v>
      </c>
      <c r="P128" s="6">
        <v>3.4780000000000002</v>
      </c>
      <c r="Q128" s="6">
        <v>3.589</v>
      </c>
      <c r="R128" s="54"/>
      <c r="S128" s="6">
        <v>3.2589999999999999</v>
      </c>
      <c r="T128" s="54"/>
      <c r="U128" s="54"/>
      <c r="V128" s="54"/>
      <c r="W128" s="54"/>
      <c r="X128" s="54"/>
      <c r="Y128" s="6">
        <v>3.5390000000000001</v>
      </c>
      <c r="Z128" s="6">
        <v>3.5630000000000002</v>
      </c>
      <c r="AA128" s="6">
        <v>3.5379999999999998</v>
      </c>
      <c r="AB128" s="6">
        <v>3.3839999999999999</v>
      </c>
      <c r="AC128" s="6">
        <v>3.44</v>
      </c>
      <c r="AD128" s="6">
        <v>3.0529999999999999</v>
      </c>
      <c r="AE128" s="6">
        <f t="shared" si="18"/>
        <v>3.2465000000000002</v>
      </c>
      <c r="AF128" s="103">
        <v>2.6339999999999999</v>
      </c>
      <c r="AG128" s="103">
        <v>2.7240000000000002</v>
      </c>
      <c r="AH128" s="103">
        <v>2.6949999999999998</v>
      </c>
      <c r="AI128" s="103">
        <v>2.5470000000000002</v>
      </c>
      <c r="AJ128" s="107"/>
      <c r="AK128" s="103">
        <v>2.774</v>
      </c>
      <c r="AL128" s="103">
        <v>2.7949999999999999</v>
      </c>
      <c r="AM128" s="103">
        <v>2.7050000000000001</v>
      </c>
      <c r="AN128" s="103">
        <v>2.875</v>
      </c>
      <c r="AO128" s="103">
        <v>2.8149999999999999</v>
      </c>
      <c r="AP128" s="103">
        <v>3.0459999999999998</v>
      </c>
      <c r="AQ128" s="103">
        <v>3</v>
      </c>
      <c r="AR128" s="103">
        <v>3.036</v>
      </c>
      <c r="AS128" s="103">
        <v>2.843</v>
      </c>
      <c r="AT128" s="103">
        <v>2.8319999999999999</v>
      </c>
      <c r="AU128" s="103">
        <v>2.5880000000000001</v>
      </c>
      <c r="AV128" s="103">
        <v>2.8260000000000001</v>
      </c>
      <c r="AW128" s="103">
        <v>2.645</v>
      </c>
      <c r="AX128" s="103">
        <v>1.7150000000000001</v>
      </c>
      <c r="AY128" s="103">
        <v>2.6989999999999998</v>
      </c>
      <c r="AZ128" s="103">
        <v>2.8969999999999998</v>
      </c>
      <c r="BA128" s="103">
        <v>2.621</v>
      </c>
      <c r="BB128" s="103">
        <v>2.585</v>
      </c>
      <c r="BC128" s="103">
        <v>2.3340000000000001</v>
      </c>
      <c r="BD128" s="103">
        <v>2.7789999999999999</v>
      </c>
      <c r="BE128" s="107"/>
      <c r="BF128" s="107"/>
      <c r="BG128" s="107"/>
      <c r="BH128" s="107"/>
      <c r="BI128" s="107"/>
      <c r="BJ128" s="107"/>
      <c r="BK128" s="107"/>
      <c r="BL128" s="107"/>
      <c r="BM128" s="107"/>
      <c r="BN128" s="103">
        <v>2.9860000000000002</v>
      </c>
      <c r="BO128" s="103">
        <v>2.6989999999999998</v>
      </c>
      <c r="BP128" s="103">
        <v>2.8919999999999999</v>
      </c>
      <c r="BQ128" s="87">
        <v>2.3153359999999998</v>
      </c>
      <c r="BR128" s="87">
        <v>2.5883349999999998</v>
      </c>
      <c r="BS128" s="87">
        <v>3.320039</v>
      </c>
      <c r="BT128" s="87">
        <v>2.4836200000000002</v>
      </c>
      <c r="BU128" s="87">
        <v>2.6141709999999998</v>
      </c>
      <c r="BV128" s="87">
        <v>3.289228</v>
      </c>
      <c r="BW128" s="105">
        <v>2.89</v>
      </c>
      <c r="BX128" s="105">
        <v>2.9289999999999998</v>
      </c>
      <c r="BY128" s="105">
        <v>2.968</v>
      </c>
      <c r="BZ128" s="105">
        <v>2.976</v>
      </c>
      <c r="CA128" s="105">
        <v>2.556</v>
      </c>
      <c r="CB128" s="105">
        <v>3.0449999999999999</v>
      </c>
      <c r="CC128" s="105">
        <v>3.0649999999999999</v>
      </c>
      <c r="CD128" s="105">
        <v>3.1720000000000002</v>
      </c>
      <c r="CE128" s="105">
        <v>3.2360000000000002</v>
      </c>
      <c r="CF128" s="105">
        <v>3.1520000000000001</v>
      </c>
      <c r="CG128" s="105">
        <v>3.3610000000000002</v>
      </c>
      <c r="CH128" s="105">
        <v>3.3220000000000001</v>
      </c>
      <c r="CI128" s="105">
        <v>3.379</v>
      </c>
      <c r="CJ128" s="106">
        <v>3.19</v>
      </c>
      <c r="CK128" s="106">
        <v>3.1760000000000002</v>
      </c>
      <c r="CL128" s="105">
        <v>3.09</v>
      </c>
      <c r="CM128" s="105">
        <v>3.032</v>
      </c>
      <c r="CN128" s="105">
        <v>3.0339999999999998</v>
      </c>
      <c r="CO128" s="105">
        <v>2.968</v>
      </c>
      <c r="CP128" s="105">
        <v>3.1419999999999999</v>
      </c>
      <c r="CQ128" s="105">
        <v>3.274</v>
      </c>
      <c r="CR128" s="105">
        <v>3.1840000000000002</v>
      </c>
      <c r="CS128" s="105">
        <v>3.226</v>
      </c>
      <c r="CT128" s="105">
        <v>3.0960000000000001</v>
      </c>
      <c r="CU128" s="105">
        <v>3.2189999999999999</v>
      </c>
      <c r="CV128" s="105">
        <v>3.2240000000000002</v>
      </c>
      <c r="CW128" s="105">
        <v>3.08</v>
      </c>
      <c r="CX128" s="105">
        <v>3.2250000000000001</v>
      </c>
      <c r="CY128" s="105">
        <v>3.26</v>
      </c>
      <c r="CZ128" s="105">
        <v>3.1240000000000001</v>
      </c>
      <c r="DA128" s="105">
        <v>3.2320000000000002</v>
      </c>
      <c r="DB128" s="105">
        <v>3.879</v>
      </c>
      <c r="DC128" s="105">
        <v>3.238</v>
      </c>
      <c r="DD128" s="105">
        <v>3.246</v>
      </c>
      <c r="DE128" s="105">
        <v>3.206</v>
      </c>
      <c r="DF128" s="105">
        <v>3.0139999999999998</v>
      </c>
      <c r="DG128" s="105">
        <v>3.1739999999999999</v>
      </c>
      <c r="DH128" s="115">
        <v>2.55219</v>
      </c>
      <c r="DI128" s="115">
        <v>2.8783759999999998</v>
      </c>
      <c r="DJ128" s="115">
        <v>3.525836</v>
      </c>
      <c r="DK128" s="115">
        <v>2.82613</v>
      </c>
      <c r="DL128" s="115">
        <v>2.9452919999999998</v>
      </c>
      <c r="DM128" s="115">
        <v>3.4704920000000001</v>
      </c>
    </row>
    <row r="129" spans="1:117">
      <c r="A129" s="1">
        <f t="shared" si="12"/>
        <v>127</v>
      </c>
      <c r="B129" s="2"/>
      <c r="C129" s="4">
        <v>12</v>
      </c>
      <c r="D129" s="4">
        <f t="shared" si="8"/>
        <v>1016</v>
      </c>
      <c r="E129" s="4" t="s">
        <v>142</v>
      </c>
      <c r="F129" s="4">
        <v>3</v>
      </c>
      <c r="G129" s="4" t="s">
        <v>11</v>
      </c>
      <c r="H129" s="4" t="s">
        <v>17</v>
      </c>
      <c r="I129" s="4"/>
      <c r="J129" s="5">
        <v>97.6</v>
      </c>
      <c r="K129" s="68"/>
      <c r="L129" s="99">
        <v>3.4450000000000003</v>
      </c>
      <c r="M129" s="7" t="s">
        <v>260</v>
      </c>
      <c r="N129" s="3" t="s">
        <v>205</v>
      </c>
      <c r="O129" s="6">
        <v>3.883</v>
      </c>
      <c r="P129" s="6">
        <v>3.5880000000000001</v>
      </c>
      <c r="Q129" s="6">
        <v>3.8359999999999999</v>
      </c>
      <c r="R129" s="54"/>
      <c r="S129" s="6">
        <v>3.4569999999999999</v>
      </c>
      <c r="T129" s="54"/>
      <c r="U129" s="54"/>
      <c r="V129" s="54"/>
      <c r="W129" s="54"/>
      <c r="X129" s="54"/>
      <c r="Y129" s="6">
        <v>3.7480000000000002</v>
      </c>
      <c r="Z129" s="6">
        <v>3.7410000000000001</v>
      </c>
      <c r="AA129" s="6">
        <v>3.6960000000000002</v>
      </c>
      <c r="AB129" s="6">
        <v>3.5939999999999999</v>
      </c>
      <c r="AC129" s="6">
        <v>3.6070000000000002</v>
      </c>
      <c r="AD129" s="6">
        <v>3.1709999999999998</v>
      </c>
      <c r="AE129" s="6">
        <f t="shared" si="18"/>
        <v>3.3890000000000002</v>
      </c>
      <c r="AF129" s="103">
        <v>2.7629999999999999</v>
      </c>
      <c r="AG129" s="103">
        <v>2.83</v>
      </c>
      <c r="AH129" s="103">
        <v>2.859</v>
      </c>
      <c r="AI129" s="103">
        <v>2.8090000000000002</v>
      </c>
      <c r="AJ129" s="107"/>
      <c r="AK129" s="103">
        <v>2.8490000000000002</v>
      </c>
      <c r="AL129" s="103">
        <v>2.8660000000000001</v>
      </c>
      <c r="AM129" s="103">
        <v>3.0489999999999999</v>
      </c>
      <c r="AN129" s="103">
        <v>3.1619999999999999</v>
      </c>
      <c r="AO129" s="103">
        <v>3.0510000000000002</v>
      </c>
      <c r="AP129" s="103">
        <v>3.3650000000000002</v>
      </c>
      <c r="AQ129" s="103">
        <v>3.3359999999999999</v>
      </c>
      <c r="AR129" s="103">
        <v>3.3650000000000002</v>
      </c>
      <c r="AS129" s="103">
        <v>3.0859999999999999</v>
      </c>
      <c r="AT129" s="103">
        <v>3.077</v>
      </c>
      <c r="AU129" s="103">
        <v>2.903</v>
      </c>
      <c r="AV129" s="103">
        <v>2.9380000000000002</v>
      </c>
      <c r="AW129" s="103">
        <v>2.8839999999999999</v>
      </c>
      <c r="AX129" s="103">
        <v>2.181</v>
      </c>
      <c r="AY129" s="103">
        <v>2.9990000000000001</v>
      </c>
      <c r="AZ129" s="103">
        <v>3.2090000000000001</v>
      </c>
      <c r="BA129" s="103">
        <v>2.9430000000000001</v>
      </c>
      <c r="BB129" s="103">
        <v>2.8079999999999998</v>
      </c>
      <c r="BC129" s="103">
        <v>2.64</v>
      </c>
      <c r="BD129" s="103">
        <v>3.089</v>
      </c>
      <c r="BE129" s="107"/>
      <c r="BF129" s="107"/>
      <c r="BG129" s="107"/>
      <c r="BH129" s="107"/>
      <c r="BI129" s="107"/>
      <c r="BJ129" s="107"/>
      <c r="BK129" s="107"/>
      <c r="BL129" s="107"/>
      <c r="BM129" s="107"/>
      <c r="BN129" s="103">
        <v>3.1459999999999999</v>
      </c>
      <c r="BO129" s="103">
        <v>2.887</v>
      </c>
      <c r="BP129" s="103">
        <v>3.117</v>
      </c>
      <c r="BQ129" s="87">
        <v>2.6075170000000001</v>
      </c>
      <c r="BR129" s="112">
        <v>2.8541430000000001</v>
      </c>
      <c r="BS129" s="87">
        <v>3.4322110000000001</v>
      </c>
      <c r="BT129" s="87">
        <v>2.819699</v>
      </c>
      <c r="BU129" s="87">
        <v>2.9026610000000002</v>
      </c>
      <c r="BV129" s="87">
        <v>3.3944679999999998</v>
      </c>
      <c r="BW129" s="105">
        <v>2.99</v>
      </c>
      <c r="BX129" s="105">
        <v>3.0310000000000001</v>
      </c>
      <c r="BY129" s="105">
        <v>3.0430000000000001</v>
      </c>
      <c r="BZ129" s="105">
        <v>3.0430000000000001</v>
      </c>
      <c r="CA129" s="105">
        <v>2.649</v>
      </c>
      <c r="CB129" s="105">
        <v>3.1080000000000001</v>
      </c>
      <c r="CC129" s="105">
        <v>3.1459999999999999</v>
      </c>
      <c r="CD129" s="105">
        <v>3.2919999999999998</v>
      </c>
      <c r="CE129" s="105">
        <v>3.3450000000000002</v>
      </c>
      <c r="CF129" s="105">
        <v>3.2410000000000001</v>
      </c>
      <c r="CG129" s="105">
        <v>3.5070000000000001</v>
      </c>
      <c r="CH129" s="105">
        <v>3.476</v>
      </c>
      <c r="CI129" s="105">
        <v>3.5150000000000001</v>
      </c>
      <c r="CJ129" s="106">
        <v>3.266</v>
      </c>
      <c r="CK129" s="106">
        <v>3.2530000000000001</v>
      </c>
      <c r="CL129" s="105">
        <v>3.2240000000000002</v>
      </c>
      <c r="CM129" s="105">
        <v>3.0790000000000002</v>
      </c>
      <c r="CN129" s="105">
        <v>3.0979999999999999</v>
      </c>
      <c r="CO129" s="105">
        <v>3.18</v>
      </c>
      <c r="CP129" s="105">
        <v>3.2690000000000001</v>
      </c>
      <c r="CQ129" s="105">
        <v>3.444</v>
      </c>
      <c r="CR129" s="105">
        <v>3.363</v>
      </c>
      <c r="CS129" s="105">
        <v>3.4140000000000001</v>
      </c>
      <c r="CT129" s="105">
        <v>3.3029999999999999</v>
      </c>
      <c r="CU129" s="105">
        <v>3.42</v>
      </c>
      <c r="CV129" s="105">
        <v>3.3370000000000002</v>
      </c>
      <c r="CW129" s="105">
        <v>3.2410000000000001</v>
      </c>
      <c r="CX129" s="105">
        <v>3.4239999999999999</v>
      </c>
      <c r="CY129" s="105">
        <v>3.4649999999999999</v>
      </c>
      <c r="CZ129" s="105">
        <v>3.363</v>
      </c>
      <c r="DA129" s="105">
        <v>3.464</v>
      </c>
      <c r="DB129" s="105">
        <v>4.0129999999999999</v>
      </c>
      <c r="DC129" s="105">
        <v>3.4430000000000001</v>
      </c>
      <c r="DD129" s="105">
        <v>3.45</v>
      </c>
      <c r="DE129" s="105">
        <v>3.2810000000000001</v>
      </c>
      <c r="DF129" s="105">
        <v>3.0750000000000002</v>
      </c>
      <c r="DG129" s="105">
        <v>3.2570000000000001</v>
      </c>
      <c r="DH129" s="115">
        <v>2.7752599999999998</v>
      </c>
      <c r="DI129" s="115">
        <v>3.0510489999999999</v>
      </c>
      <c r="DJ129" s="115">
        <v>3.6264340000000002</v>
      </c>
      <c r="DK129" s="115">
        <v>3.0597270000000001</v>
      </c>
      <c r="DL129" s="115">
        <v>3.1273170000000001</v>
      </c>
      <c r="DM129" s="115">
        <v>3.5719080000000001</v>
      </c>
    </row>
    <row r="130" spans="1:117">
      <c r="A130" s="1">
        <f t="shared" si="12"/>
        <v>128</v>
      </c>
      <c r="B130" s="2"/>
      <c r="C130" s="4">
        <v>12</v>
      </c>
      <c r="D130" s="4">
        <f t="shared" si="8"/>
        <v>1016</v>
      </c>
      <c r="E130" s="4" t="s">
        <v>143</v>
      </c>
      <c r="F130" s="4">
        <v>3</v>
      </c>
      <c r="G130" s="4" t="s">
        <v>11</v>
      </c>
      <c r="H130" s="4" t="s">
        <v>17</v>
      </c>
      <c r="I130" s="4"/>
      <c r="J130" s="5">
        <v>96.4</v>
      </c>
      <c r="K130" s="68"/>
      <c r="L130" s="99">
        <v>3.7559999999999998</v>
      </c>
      <c r="M130" s="7" t="s">
        <v>158</v>
      </c>
      <c r="N130" s="3" t="s">
        <v>205</v>
      </c>
      <c r="O130" s="6">
        <v>4.109</v>
      </c>
      <c r="P130" s="6">
        <v>3.85</v>
      </c>
      <c r="Q130" s="6">
        <v>4.242</v>
      </c>
      <c r="R130" s="54"/>
      <c r="S130" s="6">
        <v>3.9020000000000001</v>
      </c>
      <c r="T130" s="54"/>
      <c r="U130" s="54"/>
      <c r="V130" s="54"/>
      <c r="W130" s="54"/>
      <c r="X130" s="54"/>
      <c r="Y130" s="6">
        <v>4.0430000000000001</v>
      </c>
      <c r="Z130" s="6">
        <v>4.0780000000000003</v>
      </c>
      <c r="AA130" s="6">
        <v>4.0119999999999996</v>
      </c>
      <c r="AB130" s="6">
        <v>3.8479999999999999</v>
      </c>
      <c r="AC130" s="6">
        <v>3.8330000000000002</v>
      </c>
      <c r="AD130" s="6">
        <v>3.5710000000000002</v>
      </c>
      <c r="AE130" s="6">
        <f t="shared" si="18"/>
        <v>3.702</v>
      </c>
      <c r="AF130" s="103">
        <v>2.887</v>
      </c>
      <c r="AG130" s="103">
        <v>2.9340000000000002</v>
      </c>
      <c r="AH130" s="103">
        <v>3.0009999999999999</v>
      </c>
      <c r="AI130" s="103">
        <v>3.0739999999999998</v>
      </c>
      <c r="AJ130" s="107"/>
      <c r="AK130" s="103">
        <v>3.1080000000000001</v>
      </c>
      <c r="AL130" s="103">
        <v>3.1190000000000002</v>
      </c>
      <c r="AM130" s="103">
        <v>3.3580000000000001</v>
      </c>
      <c r="AN130" s="103">
        <v>3.4180000000000001</v>
      </c>
      <c r="AO130" s="103">
        <v>3.3620000000000001</v>
      </c>
      <c r="AP130" s="103">
        <v>3.6070000000000002</v>
      </c>
      <c r="AQ130" s="103">
        <v>3.5670000000000002</v>
      </c>
      <c r="AR130" s="103">
        <v>3.5880000000000001</v>
      </c>
      <c r="AS130" s="103">
        <v>3.3010000000000002</v>
      </c>
      <c r="AT130" s="103">
        <v>3.2949999999999999</v>
      </c>
      <c r="AU130" s="103">
        <v>3.379</v>
      </c>
      <c r="AV130" s="103">
        <v>3.0920000000000001</v>
      </c>
      <c r="AW130" s="103">
        <v>3.1619999999999999</v>
      </c>
      <c r="AX130" s="103">
        <v>3.5179999999999998</v>
      </c>
      <c r="AY130" s="103">
        <v>3.42</v>
      </c>
      <c r="AZ130" s="103">
        <v>3.6379999999999999</v>
      </c>
      <c r="BA130" s="103">
        <v>3.593</v>
      </c>
      <c r="BB130" s="103">
        <v>3.6960000000000002</v>
      </c>
      <c r="BC130" s="103">
        <v>3.6259999999999999</v>
      </c>
      <c r="BD130" s="103">
        <v>3.6659999999999999</v>
      </c>
      <c r="BE130" s="107"/>
      <c r="BF130" s="107"/>
      <c r="BG130" s="107"/>
      <c r="BH130" s="107"/>
      <c r="BI130" s="107"/>
      <c r="BJ130" s="107"/>
      <c r="BK130" s="107"/>
      <c r="BL130" s="107"/>
      <c r="BM130" s="107"/>
      <c r="BN130" s="103">
        <v>3.2639999999999998</v>
      </c>
      <c r="BO130" s="103">
        <v>3.06</v>
      </c>
      <c r="BP130" s="103">
        <v>3.254</v>
      </c>
      <c r="BQ130" s="112">
        <v>2.8536169999999998</v>
      </c>
      <c r="BR130" s="87">
        <v>3.1600790000000001</v>
      </c>
      <c r="BS130" s="87">
        <v>3.6807460000000001</v>
      </c>
      <c r="BT130" s="87">
        <v>3.189073</v>
      </c>
      <c r="BU130" s="87">
        <v>3.2488709999999998</v>
      </c>
      <c r="BV130" s="87">
        <v>3.6159400000000002</v>
      </c>
      <c r="BW130" s="105">
        <v>2.944</v>
      </c>
      <c r="BX130" s="105">
        <v>2.9830000000000001</v>
      </c>
      <c r="BY130" s="105">
        <v>3.0579999999999998</v>
      </c>
      <c r="BZ130" s="105">
        <v>3.1549999999999998</v>
      </c>
      <c r="CA130" s="105">
        <v>3.1070000000000002</v>
      </c>
      <c r="CB130" s="105">
        <v>3.17</v>
      </c>
      <c r="CC130" s="105">
        <v>3.1829999999999998</v>
      </c>
      <c r="CD130" s="105">
        <v>3.4569999999999999</v>
      </c>
      <c r="CE130" s="105">
        <v>3.492</v>
      </c>
      <c r="CF130" s="105">
        <v>3.4239999999999999</v>
      </c>
      <c r="CG130" s="105">
        <v>3.6749999999999998</v>
      </c>
      <c r="CH130" s="105">
        <v>3.641</v>
      </c>
      <c r="CI130" s="105">
        <v>3.6669999999999998</v>
      </c>
      <c r="CJ130" s="106">
        <v>3.3679999999999999</v>
      </c>
      <c r="CK130" s="106">
        <v>3.3610000000000002</v>
      </c>
      <c r="CL130" s="105">
        <v>3.48</v>
      </c>
      <c r="CM130" s="105">
        <v>3.1360000000000001</v>
      </c>
      <c r="CN130" s="105">
        <v>3.2360000000000002</v>
      </c>
      <c r="CO130" s="105">
        <v>3.758</v>
      </c>
      <c r="CP130" s="105">
        <v>3.51</v>
      </c>
      <c r="CQ130" s="105">
        <v>3.722</v>
      </c>
      <c r="CR130" s="105">
        <v>3.7149999999999999</v>
      </c>
      <c r="CS130" s="105">
        <v>3.8370000000000002</v>
      </c>
      <c r="CT130" s="105">
        <v>3.782</v>
      </c>
      <c r="CU130" s="105">
        <v>3.758</v>
      </c>
      <c r="CV130" s="105">
        <v>3.4729999999999999</v>
      </c>
      <c r="CW130" s="105">
        <v>3.476</v>
      </c>
      <c r="CX130" s="105">
        <v>3.7010000000000001</v>
      </c>
      <c r="CY130" s="105">
        <v>3.8250000000000002</v>
      </c>
      <c r="CZ130" s="105">
        <v>3.8490000000000002</v>
      </c>
      <c r="DA130" s="105">
        <v>3.879</v>
      </c>
      <c r="DB130" s="105">
        <v>3.9279999999999999</v>
      </c>
      <c r="DC130" s="105">
        <v>3.7280000000000002</v>
      </c>
      <c r="DD130" s="105">
        <v>3.7120000000000002</v>
      </c>
      <c r="DE130" s="105">
        <v>3.3130000000000002</v>
      </c>
      <c r="DF130" s="105">
        <v>3.1219999999999999</v>
      </c>
      <c r="DG130" s="105">
        <v>3.3130000000000002</v>
      </c>
      <c r="DH130" s="115">
        <v>2.914431</v>
      </c>
      <c r="DI130" s="115">
        <v>3.23027</v>
      </c>
      <c r="DJ130" s="115">
        <v>3.7436720000000001</v>
      </c>
      <c r="DK130" s="115">
        <v>3.2721439999999999</v>
      </c>
      <c r="DL130" s="115">
        <v>3.3279390000000002</v>
      </c>
      <c r="DM130" s="115">
        <v>3.6734640000000001</v>
      </c>
    </row>
    <row r="131" spans="1:117">
      <c r="A131" s="1">
        <f t="shared" si="12"/>
        <v>129</v>
      </c>
      <c r="B131" s="2" t="s">
        <v>372</v>
      </c>
      <c r="C131" s="4">
        <v>14</v>
      </c>
      <c r="D131" s="4">
        <f t="shared" si="8"/>
        <v>1016</v>
      </c>
      <c r="E131" s="4" t="s">
        <v>163</v>
      </c>
      <c r="F131" s="4">
        <v>1</v>
      </c>
      <c r="G131" s="4" t="s">
        <v>11</v>
      </c>
      <c r="H131" s="4" t="s">
        <v>12</v>
      </c>
      <c r="I131" s="4"/>
      <c r="J131" s="5">
        <v>87.6</v>
      </c>
      <c r="K131" s="63">
        <v>2E-3</v>
      </c>
      <c r="L131" s="99">
        <v>3.3740000000000001</v>
      </c>
      <c r="M131" s="7" t="s">
        <v>158</v>
      </c>
      <c r="N131" s="3" t="s">
        <v>205</v>
      </c>
      <c r="O131" s="6">
        <v>3.5910000000000002</v>
      </c>
      <c r="P131" s="6">
        <v>3.2469999999999999</v>
      </c>
      <c r="Q131" s="6">
        <v>4.1139999999999999</v>
      </c>
      <c r="R131" s="54"/>
      <c r="S131" s="6">
        <v>3.661</v>
      </c>
      <c r="T131" s="6">
        <v>3.5139999999999998</v>
      </c>
      <c r="U131" s="6">
        <v>3.5150000000000001</v>
      </c>
      <c r="V131" s="6">
        <v>3.4729999999999999</v>
      </c>
      <c r="W131" s="54"/>
      <c r="X131" s="54"/>
      <c r="Y131" s="6">
        <v>3.7869999999999999</v>
      </c>
      <c r="Z131" s="6">
        <v>3.7480000000000002</v>
      </c>
      <c r="AA131" s="6">
        <v>3.5859999999999999</v>
      </c>
      <c r="AB131" s="6">
        <v>3.5369999999999999</v>
      </c>
      <c r="AC131" s="6">
        <v>3.294</v>
      </c>
      <c r="AD131" s="22">
        <v>3.4660000000000002</v>
      </c>
      <c r="AE131" s="22">
        <f t="shared" ref="AE131:AE139" si="19">SUM(AC131:AD131)/2</f>
        <v>3.38</v>
      </c>
      <c r="AF131" s="103">
        <v>2.9420000000000002</v>
      </c>
      <c r="AG131" s="103">
        <v>2.9750000000000001</v>
      </c>
      <c r="AH131" s="103">
        <v>3.1120000000000001</v>
      </c>
      <c r="AI131" s="103">
        <v>3.1480000000000001</v>
      </c>
      <c r="AJ131" s="108"/>
      <c r="AK131" s="103">
        <v>3.093</v>
      </c>
      <c r="AL131" s="103">
        <v>3.1120000000000001</v>
      </c>
      <c r="AM131" s="103">
        <v>3.5019999999999998</v>
      </c>
      <c r="AN131" s="103">
        <v>3.3220000000000001</v>
      </c>
      <c r="AO131" s="103">
        <v>3.1890000000000001</v>
      </c>
      <c r="AP131" s="103">
        <v>3.3490000000000002</v>
      </c>
      <c r="AQ131" s="103">
        <v>3.2919999999999998</v>
      </c>
      <c r="AR131" s="103">
        <v>3.472</v>
      </c>
      <c r="AS131" s="103">
        <v>3.19</v>
      </c>
      <c r="AT131" s="103">
        <v>3.1720000000000002</v>
      </c>
      <c r="AU131" s="103">
        <v>3.4649999999999999</v>
      </c>
      <c r="AV131" s="103">
        <v>3.0070000000000001</v>
      </c>
      <c r="AW131" s="103">
        <v>3.262</v>
      </c>
      <c r="AX131" s="103">
        <v>3.9670000000000001</v>
      </c>
      <c r="AY131" s="103">
        <v>3.39</v>
      </c>
      <c r="AZ131" s="103">
        <v>3.5489999999999999</v>
      </c>
      <c r="BA131" s="103">
        <v>3.5739999999999998</v>
      </c>
      <c r="BB131" s="103">
        <v>3.661</v>
      </c>
      <c r="BC131" s="103">
        <v>3.6070000000000002</v>
      </c>
      <c r="BD131" s="103">
        <v>3.3140000000000001</v>
      </c>
      <c r="BE131" s="103">
        <v>3.2290000000000001</v>
      </c>
      <c r="BF131" s="103">
        <v>3.387</v>
      </c>
      <c r="BG131" s="103">
        <v>3.4790000000000001</v>
      </c>
      <c r="BH131" s="103">
        <v>3.641</v>
      </c>
      <c r="BI131" s="103">
        <v>3.778</v>
      </c>
      <c r="BJ131" s="103">
        <v>3.694</v>
      </c>
      <c r="BK131" s="103">
        <v>2.7530000000000001</v>
      </c>
      <c r="BL131" s="103">
        <v>3.4569999999999999</v>
      </c>
      <c r="BM131" s="103">
        <v>3.419</v>
      </c>
      <c r="BN131" s="103">
        <v>3.26</v>
      </c>
      <c r="BO131" s="103">
        <v>3.1619999999999999</v>
      </c>
      <c r="BP131" s="103">
        <v>3.3260000000000001</v>
      </c>
      <c r="BQ131" s="87">
        <v>2.8210700000000002</v>
      </c>
      <c r="BR131" s="87">
        <v>3.1995909999999999</v>
      </c>
      <c r="BS131" s="87">
        <v>4.1055359999999999</v>
      </c>
      <c r="BT131" s="87">
        <v>3.2277610000000001</v>
      </c>
      <c r="BU131" s="87">
        <v>3.300948</v>
      </c>
      <c r="BV131" s="87">
        <v>3.8944030000000001</v>
      </c>
      <c r="BW131" s="105">
        <v>2.9670000000000001</v>
      </c>
      <c r="BX131" s="105">
        <v>3.0049999999999999</v>
      </c>
      <c r="BY131" s="105">
        <v>3.145</v>
      </c>
      <c r="BZ131" s="105">
        <v>3.1859999999999999</v>
      </c>
      <c r="CA131" s="105">
        <v>3.2909999999999999</v>
      </c>
      <c r="CB131" s="105">
        <v>3.1379999999999999</v>
      </c>
      <c r="CC131" s="105">
        <v>3.1549999999999998</v>
      </c>
      <c r="CD131" s="105">
        <v>3.5529999999999999</v>
      </c>
      <c r="CE131" s="105">
        <v>3.3839999999999999</v>
      </c>
      <c r="CF131" s="105">
        <v>3.262</v>
      </c>
      <c r="CG131" s="105">
        <v>3.4350000000000001</v>
      </c>
      <c r="CH131" s="105">
        <v>3.38</v>
      </c>
      <c r="CI131" s="105">
        <v>3.5259999999999998</v>
      </c>
      <c r="CJ131" s="106">
        <v>3.2349999999999999</v>
      </c>
      <c r="CK131" s="106">
        <v>3.22</v>
      </c>
      <c r="CL131" s="105">
        <v>3.5129999999999999</v>
      </c>
      <c r="CM131" s="105">
        <v>3.0409999999999999</v>
      </c>
      <c r="CN131" s="105">
        <v>3.3010000000000002</v>
      </c>
      <c r="CO131" s="105">
        <v>4.0359999999999996</v>
      </c>
      <c r="CP131" s="105">
        <v>3.4390000000000001</v>
      </c>
      <c r="CQ131" s="105">
        <v>3.605</v>
      </c>
      <c r="CR131" s="105">
        <v>3.6320000000000001</v>
      </c>
      <c r="CS131" s="105">
        <v>3.7250000000000001</v>
      </c>
      <c r="CT131" s="105">
        <v>3.673</v>
      </c>
      <c r="CU131" s="105">
        <v>3.419</v>
      </c>
      <c r="CV131" s="105">
        <v>3.2639999999999998</v>
      </c>
      <c r="CW131" s="105">
        <v>3.4350000000000001</v>
      </c>
      <c r="CX131" s="105">
        <v>3.5379999999999998</v>
      </c>
      <c r="CY131" s="105">
        <v>3.7080000000000002</v>
      </c>
      <c r="CZ131" s="105">
        <v>3.8580000000000001</v>
      </c>
      <c r="DA131" s="105">
        <v>3.7730000000000001</v>
      </c>
      <c r="DB131" s="105">
        <v>2.7610000000000001</v>
      </c>
      <c r="DC131" s="105">
        <v>3.516</v>
      </c>
      <c r="DD131" s="105">
        <v>3.4780000000000002</v>
      </c>
      <c r="DE131" s="105">
        <v>3.298</v>
      </c>
      <c r="DF131" s="105">
        <v>3.1960000000000002</v>
      </c>
      <c r="DG131" s="105">
        <v>3.3650000000000002</v>
      </c>
      <c r="DH131" s="115">
        <v>2.8733659999999999</v>
      </c>
      <c r="DI131" s="115">
        <v>3.2505839999999999</v>
      </c>
      <c r="DJ131" s="115">
        <v>4.1426990000000004</v>
      </c>
      <c r="DK131" s="115">
        <v>3.2814749999999999</v>
      </c>
      <c r="DL131" s="115">
        <v>3.3526030000000002</v>
      </c>
      <c r="DM131" s="115">
        <v>3.930879</v>
      </c>
    </row>
    <row r="132" spans="1:117">
      <c r="A132" s="1">
        <f t="shared" si="12"/>
        <v>130</v>
      </c>
      <c r="B132" s="2"/>
      <c r="C132" s="4">
        <v>14</v>
      </c>
      <c r="D132" s="4">
        <f t="shared" ref="D132:D160" si="20">_xlfn.SWITCH(C132,1,12,2,12,3,35,4,35,5,35,6,69,7,69,8,69,9,69,1016)</f>
        <v>1016</v>
      </c>
      <c r="E132" s="4" t="s">
        <v>162</v>
      </c>
      <c r="F132" s="4">
        <v>1</v>
      </c>
      <c r="G132" s="4" t="s">
        <v>11</v>
      </c>
      <c r="H132" s="4" t="s">
        <v>17</v>
      </c>
      <c r="I132" s="4"/>
      <c r="J132" s="5">
        <v>88.1</v>
      </c>
      <c r="K132" s="63">
        <v>0.05</v>
      </c>
      <c r="L132" s="99">
        <v>3.7170000000000001</v>
      </c>
      <c r="M132" s="7" t="s">
        <v>158</v>
      </c>
      <c r="N132" s="3" t="s">
        <v>205</v>
      </c>
      <c r="O132" s="6">
        <v>3.9940000000000002</v>
      </c>
      <c r="P132" s="6">
        <v>3.6560000000000001</v>
      </c>
      <c r="Q132" s="6">
        <v>4.4219999999999997</v>
      </c>
      <c r="R132" s="54"/>
      <c r="S132" s="6">
        <v>4.0019999999999998</v>
      </c>
      <c r="T132" s="6">
        <v>3.839</v>
      </c>
      <c r="U132" s="6">
        <v>3.8340000000000001</v>
      </c>
      <c r="V132" s="6">
        <v>3.81</v>
      </c>
      <c r="W132" s="54"/>
      <c r="X132" s="54"/>
      <c r="Y132" s="6">
        <v>3.9</v>
      </c>
      <c r="Z132" s="6">
        <v>3.9289999999999998</v>
      </c>
      <c r="AA132" s="6">
        <v>3.8410000000000002</v>
      </c>
      <c r="AB132" s="6">
        <v>3.6720000000000002</v>
      </c>
      <c r="AC132" s="6">
        <v>3.6560000000000001</v>
      </c>
      <c r="AD132" s="22">
        <v>3.6040000000000001</v>
      </c>
      <c r="AE132" s="22">
        <f t="shared" si="19"/>
        <v>3.63</v>
      </c>
      <c r="AF132" s="103">
        <v>3.0840000000000001</v>
      </c>
      <c r="AG132" s="103">
        <v>3.0939999999999999</v>
      </c>
      <c r="AH132" s="103">
        <v>3.1619999999999999</v>
      </c>
      <c r="AI132" s="103">
        <v>3.2559999999999998</v>
      </c>
      <c r="AJ132" s="108"/>
      <c r="AK132" s="103">
        <v>3.18</v>
      </c>
      <c r="AL132" s="103">
        <v>3.194</v>
      </c>
      <c r="AM132" s="103">
        <v>3.4630000000000001</v>
      </c>
      <c r="AN132" s="103">
        <v>3.5030000000000001</v>
      </c>
      <c r="AO132" s="103">
        <v>3.4</v>
      </c>
      <c r="AP132" s="103">
        <v>3.601</v>
      </c>
      <c r="AQ132" s="103">
        <v>3.5859999999999999</v>
      </c>
      <c r="AR132" s="103">
        <v>3.6059999999999999</v>
      </c>
      <c r="AS132" s="103">
        <v>3.3679999999999999</v>
      </c>
      <c r="AT132" s="103">
        <v>3.3620000000000001</v>
      </c>
      <c r="AU132" s="103">
        <v>3.5379999999999998</v>
      </c>
      <c r="AV132" s="103">
        <v>3.2629999999999999</v>
      </c>
      <c r="AW132" s="103">
        <v>3.3279999999999998</v>
      </c>
      <c r="AX132" s="103">
        <v>3.823</v>
      </c>
      <c r="AY132" s="103">
        <v>3.5720000000000001</v>
      </c>
      <c r="AZ132" s="103">
        <v>3.6890000000000001</v>
      </c>
      <c r="BA132" s="103">
        <v>3.742</v>
      </c>
      <c r="BB132" s="103">
        <v>3.8380000000000001</v>
      </c>
      <c r="BC132" s="103">
        <v>3.8610000000000002</v>
      </c>
      <c r="BD132" s="103">
        <v>3.7669999999999999</v>
      </c>
      <c r="BE132" s="103">
        <v>3.3849999999999998</v>
      </c>
      <c r="BF132" s="103">
        <v>3.47</v>
      </c>
      <c r="BG132" s="103">
        <v>3.605</v>
      </c>
      <c r="BH132" s="103">
        <v>3.762</v>
      </c>
      <c r="BI132" s="103">
        <v>3.851</v>
      </c>
      <c r="BJ132" s="103">
        <v>3.8130000000000002</v>
      </c>
      <c r="BK132" s="103">
        <v>3.621</v>
      </c>
      <c r="BL132" s="103">
        <v>3.5939999999999999</v>
      </c>
      <c r="BM132" s="103">
        <v>3.548</v>
      </c>
      <c r="BN132" s="103">
        <v>3.3460000000000001</v>
      </c>
      <c r="BO132" s="103">
        <v>3.226</v>
      </c>
      <c r="BP132" s="103">
        <v>3.3479999999999999</v>
      </c>
      <c r="BQ132" s="87">
        <v>2.8865829999999999</v>
      </c>
      <c r="BR132" s="87">
        <v>3.2288269999999999</v>
      </c>
      <c r="BS132" s="87">
        <v>3.7072509999999999</v>
      </c>
      <c r="BT132" s="87">
        <v>3.2006809999999999</v>
      </c>
      <c r="BU132" s="87">
        <v>3.3062619999999998</v>
      </c>
      <c r="BV132" s="87">
        <v>3.6288740000000002</v>
      </c>
      <c r="BW132" s="105">
        <v>3.2690000000000001</v>
      </c>
      <c r="BX132" s="105">
        <v>3.282</v>
      </c>
      <c r="BY132" s="105">
        <v>3.3519999999999999</v>
      </c>
      <c r="BZ132" s="105">
        <v>3.448</v>
      </c>
      <c r="CA132" s="105">
        <v>3.4670000000000001</v>
      </c>
      <c r="CB132" s="105">
        <v>3.367</v>
      </c>
      <c r="CC132" s="105">
        <v>3.3839999999999999</v>
      </c>
      <c r="CD132" s="105">
        <v>3.6640000000000001</v>
      </c>
      <c r="CE132" s="105">
        <v>3.7160000000000002</v>
      </c>
      <c r="CF132" s="105">
        <v>3.61</v>
      </c>
      <c r="CG132" s="105">
        <v>3.823</v>
      </c>
      <c r="CH132" s="105">
        <v>3.8039999999999998</v>
      </c>
      <c r="CI132" s="105">
        <v>3.8279999999999998</v>
      </c>
      <c r="CJ132" s="106">
        <v>3.5619999999999998</v>
      </c>
      <c r="CK132" s="106">
        <v>3.5569999999999999</v>
      </c>
      <c r="CL132" s="105">
        <v>3.7610000000000001</v>
      </c>
      <c r="CM132" s="105">
        <v>3.48</v>
      </c>
      <c r="CN132" s="105">
        <v>3.52</v>
      </c>
      <c r="CO132" s="105">
        <v>4.1070000000000002</v>
      </c>
      <c r="CP132" s="105">
        <v>3.806</v>
      </c>
      <c r="CQ132" s="105">
        <v>3.9380000000000002</v>
      </c>
      <c r="CR132" s="105">
        <v>3.992</v>
      </c>
      <c r="CS132" s="105">
        <v>4.0960000000000001</v>
      </c>
      <c r="CT132" s="105">
        <v>4.1230000000000002</v>
      </c>
      <c r="CU132" s="105">
        <v>4.0289999999999999</v>
      </c>
      <c r="CV132" s="105">
        <v>3.5339999999999998</v>
      </c>
      <c r="CW132" s="105">
        <v>3.6509999999999998</v>
      </c>
      <c r="CX132" s="105">
        <v>3.7669999999999999</v>
      </c>
      <c r="CY132" s="105">
        <v>3.972</v>
      </c>
      <c r="CZ132" s="105">
        <v>4.093</v>
      </c>
      <c r="DA132" s="105">
        <v>4.0149999999999997</v>
      </c>
      <c r="DB132" s="105">
        <v>3.661</v>
      </c>
      <c r="DC132" s="105">
        <v>3.7759999999999998</v>
      </c>
      <c r="DD132" s="105">
        <v>3.7250000000000001</v>
      </c>
      <c r="DE132" s="105">
        <v>3.5430000000000001</v>
      </c>
      <c r="DF132" s="105">
        <v>3.419</v>
      </c>
      <c r="DG132" s="105">
        <v>3.5470000000000002</v>
      </c>
      <c r="DH132" s="115">
        <v>3.1320579999999998</v>
      </c>
      <c r="DI132" s="115">
        <v>3.4760749999999998</v>
      </c>
      <c r="DJ132" s="115">
        <v>3.9371999999999998</v>
      </c>
      <c r="DK132" s="115">
        <v>3.4409700000000001</v>
      </c>
      <c r="DL132" s="115">
        <v>3.5521739999999999</v>
      </c>
      <c r="DM132" s="115">
        <v>3.8605170000000002</v>
      </c>
    </row>
    <row r="133" spans="1:117">
      <c r="A133" s="1">
        <f t="shared" si="12"/>
        <v>131</v>
      </c>
      <c r="B133" s="2"/>
      <c r="C133" s="4">
        <v>14</v>
      </c>
      <c r="D133" s="4">
        <f t="shared" si="20"/>
        <v>1016</v>
      </c>
      <c r="E133" s="4" t="s">
        <v>161</v>
      </c>
      <c r="F133" s="4">
        <v>1</v>
      </c>
      <c r="G133" s="4" t="s">
        <v>11</v>
      </c>
      <c r="H133" s="4" t="s">
        <v>17</v>
      </c>
      <c r="I133" s="4"/>
      <c r="J133" s="5">
        <v>85.5</v>
      </c>
      <c r="K133" s="63">
        <v>0.14599999999999999</v>
      </c>
      <c r="L133" s="99">
        <v>3.7440000000000002</v>
      </c>
      <c r="M133" s="7" t="s">
        <v>158</v>
      </c>
      <c r="N133" s="3" t="s">
        <v>205</v>
      </c>
      <c r="O133" s="6">
        <v>3.9460000000000002</v>
      </c>
      <c r="P133" s="6">
        <v>3.8690000000000002</v>
      </c>
      <c r="Q133" s="6">
        <v>4.4870000000000001</v>
      </c>
      <c r="R133" s="54"/>
      <c r="S133" s="6">
        <v>3.9089999999999998</v>
      </c>
      <c r="T133" s="6">
        <v>3.863</v>
      </c>
      <c r="U133" s="6">
        <v>3.8679999999999999</v>
      </c>
      <c r="V133" s="6">
        <v>3.7909999999999999</v>
      </c>
      <c r="W133" s="54"/>
      <c r="X133" s="54"/>
      <c r="Y133" s="6">
        <v>3.8119999999999998</v>
      </c>
      <c r="Z133" s="6">
        <v>3.802</v>
      </c>
      <c r="AA133" s="6">
        <v>3.8250000000000002</v>
      </c>
      <c r="AB133" s="6">
        <v>3.569</v>
      </c>
      <c r="AC133" s="6">
        <v>3.8879999999999999</v>
      </c>
      <c r="AD133" s="22">
        <v>3.5430000000000001</v>
      </c>
      <c r="AE133" s="22">
        <f t="shared" si="19"/>
        <v>3.7155</v>
      </c>
      <c r="AF133" s="103">
        <v>3.8290000000000002</v>
      </c>
      <c r="AG133" s="103">
        <v>3.8250000000000002</v>
      </c>
      <c r="AH133" s="103">
        <v>3.8570000000000002</v>
      </c>
      <c r="AI133" s="103">
        <v>3.927</v>
      </c>
      <c r="AJ133" s="108"/>
      <c r="AK133" s="103">
        <v>3.802</v>
      </c>
      <c r="AL133" s="103">
        <v>3.8069999999999999</v>
      </c>
      <c r="AM133" s="103">
        <v>4.05</v>
      </c>
      <c r="AN133" s="103">
        <v>4.0709999999999997</v>
      </c>
      <c r="AO133" s="103">
        <v>3.9460000000000002</v>
      </c>
      <c r="AP133" s="103">
        <v>4.0860000000000003</v>
      </c>
      <c r="AQ133" s="103">
        <v>4.0629999999999997</v>
      </c>
      <c r="AR133" s="103">
        <v>4.069</v>
      </c>
      <c r="AS133" s="103">
        <v>4.04</v>
      </c>
      <c r="AT133" s="103">
        <v>4.0380000000000003</v>
      </c>
      <c r="AU133" s="103">
        <v>4.0069999999999997</v>
      </c>
      <c r="AV133" s="103">
        <v>3.87</v>
      </c>
      <c r="AW133" s="103">
        <v>3.9239999999999999</v>
      </c>
      <c r="AX133" s="103">
        <v>4.0250000000000004</v>
      </c>
      <c r="AY133" s="103">
        <v>4.0199999999999996</v>
      </c>
      <c r="AZ133" s="103">
        <v>4.0330000000000004</v>
      </c>
      <c r="BA133" s="103">
        <v>4.0490000000000004</v>
      </c>
      <c r="BB133" s="103">
        <v>4.0540000000000003</v>
      </c>
      <c r="BC133" s="103">
        <v>4.0570000000000004</v>
      </c>
      <c r="BD133" s="103">
        <v>4.13</v>
      </c>
      <c r="BE133" s="103">
        <v>3.7719999999999998</v>
      </c>
      <c r="BF133" s="103">
        <v>3.9489999999999998</v>
      </c>
      <c r="BG133" s="103">
        <v>3.8730000000000002</v>
      </c>
      <c r="BH133" s="103">
        <v>3.9260000000000002</v>
      </c>
      <c r="BI133" s="103">
        <v>4.0739999999999998</v>
      </c>
      <c r="BJ133" s="103">
        <v>3.95</v>
      </c>
      <c r="BK133" s="103">
        <v>3.3439999999999999</v>
      </c>
      <c r="BL133" s="103">
        <v>3.5459999999999998</v>
      </c>
      <c r="BM133" s="103">
        <v>3.45</v>
      </c>
      <c r="BN133" s="103">
        <v>3.99</v>
      </c>
      <c r="BO133" s="103">
        <v>3.9060000000000001</v>
      </c>
      <c r="BP133" s="103">
        <v>3.9620000000000002</v>
      </c>
      <c r="BQ133" s="87">
        <v>3.3963939999999999</v>
      </c>
      <c r="BR133" s="87">
        <v>3.6688519999999998</v>
      </c>
      <c r="BS133" s="87">
        <v>4.2080869999999999</v>
      </c>
      <c r="BT133" s="87">
        <v>3.6509520000000002</v>
      </c>
      <c r="BU133" s="87">
        <v>3.7260650000000002</v>
      </c>
      <c r="BV133" s="87">
        <v>4.1394489999999999</v>
      </c>
      <c r="BW133" s="105">
        <v>3.9060000000000001</v>
      </c>
      <c r="BX133" s="105">
        <v>3.9039999999999999</v>
      </c>
      <c r="BY133" s="105">
        <v>3.94</v>
      </c>
      <c r="BZ133" s="105">
        <v>4.0170000000000003</v>
      </c>
      <c r="CA133" s="105">
        <v>4.0979999999999999</v>
      </c>
      <c r="CB133" s="105">
        <v>3.903</v>
      </c>
      <c r="CC133" s="105">
        <v>3.907</v>
      </c>
      <c r="CD133" s="105">
        <v>4.1669999999999998</v>
      </c>
      <c r="CE133" s="105">
        <v>4.1820000000000004</v>
      </c>
      <c r="CF133" s="105">
        <v>4.056</v>
      </c>
      <c r="CG133" s="105">
        <v>4.21</v>
      </c>
      <c r="CH133" s="105">
        <v>4.1890000000000001</v>
      </c>
      <c r="CI133" s="105">
        <v>4.194</v>
      </c>
      <c r="CJ133" s="106">
        <v>4.1399999999999997</v>
      </c>
      <c r="CK133" s="106">
        <v>4.1390000000000002</v>
      </c>
      <c r="CL133" s="105">
        <v>4.1319999999999997</v>
      </c>
      <c r="CM133" s="105">
        <v>3.9569999999999999</v>
      </c>
      <c r="CN133" s="105">
        <v>4.0199999999999996</v>
      </c>
      <c r="CO133" s="105">
        <v>4.2489999999999997</v>
      </c>
      <c r="CP133" s="105">
        <v>4.1459999999999999</v>
      </c>
      <c r="CQ133" s="105">
        <v>4.1890000000000001</v>
      </c>
      <c r="CR133" s="105">
        <v>4.2160000000000002</v>
      </c>
      <c r="CS133" s="105">
        <v>4.2549999999999999</v>
      </c>
      <c r="CT133" s="105">
        <v>4.2569999999999997</v>
      </c>
      <c r="CU133" s="105">
        <v>4.2919999999999998</v>
      </c>
      <c r="CV133" s="105">
        <v>3.9169999999999998</v>
      </c>
      <c r="CW133" s="105">
        <v>4.085</v>
      </c>
      <c r="CX133" s="105">
        <v>4.0720000000000001</v>
      </c>
      <c r="CY133" s="105">
        <v>4.1609999999999996</v>
      </c>
      <c r="CZ133" s="105">
        <v>4.3070000000000004</v>
      </c>
      <c r="DA133" s="105">
        <v>4.2080000000000002</v>
      </c>
      <c r="DB133" s="105">
        <v>3.63</v>
      </c>
      <c r="DC133" s="105">
        <v>3.8260000000000001</v>
      </c>
      <c r="DD133" s="105">
        <v>3.7519999999999998</v>
      </c>
      <c r="DE133" s="105">
        <v>4.0910000000000002</v>
      </c>
      <c r="DF133" s="105">
        <v>3.9940000000000002</v>
      </c>
      <c r="DG133" s="105">
        <v>4.0620000000000003</v>
      </c>
      <c r="DH133" s="115">
        <v>3.5053589999999999</v>
      </c>
      <c r="DI133" s="115">
        <v>3.7820230000000001</v>
      </c>
      <c r="DJ133" s="115">
        <v>4.3586330000000002</v>
      </c>
      <c r="DK133" s="115">
        <v>3.7696740000000002</v>
      </c>
      <c r="DL133" s="115">
        <v>3.842435</v>
      </c>
      <c r="DM133" s="115">
        <v>4.2891089999999998</v>
      </c>
    </row>
    <row r="134" spans="1:117">
      <c r="A134" s="1">
        <f t="shared" si="12"/>
        <v>132</v>
      </c>
      <c r="B134" s="2"/>
      <c r="C134" s="4">
        <v>14</v>
      </c>
      <c r="D134" s="4">
        <f t="shared" si="20"/>
        <v>1016</v>
      </c>
      <c r="E134" s="4" t="s">
        <v>160</v>
      </c>
      <c r="F134" s="4">
        <v>1</v>
      </c>
      <c r="G134" s="4" t="s">
        <v>11</v>
      </c>
      <c r="H134" s="4" t="s">
        <v>17</v>
      </c>
      <c r="I134" s="4"/>
      <c r="J134" s="5">
        <v>82.4</v>
      </c>
      <c r="K134" s="68"/>
      <c r="L134" s="99">
        <v>4.4969999999999999</v>
      </c>
      <c r="M134" s="7" t="s">
        <v>158</v>
      </c>
      <c r="N134" s="3" t="s">
        <v>205</v>
      </c>
      <c r="O134" s="6">
        <v>4.88</v>
      </c>
      <c r="P134" s="6">
        <v>4.54</v>
      </c>
      <c r="Q134" s="6">
        <v>5.3550000000000004</v>
      </c>
      <c r="R134" s="54"/>
      <c r="S134" s="6">
        <v>4.9260000000000002</v>
      </c>
      <c r="T134" s="6">
        <v>4.7050000000000001</v>
      </c>
      <c r="U134" s="6">
        <v>4.6959999999999997</v>
      </c>
      <c r="V134" s="6">
        <v>4.6390000000000002</v>
      </c>
      <c r="W134" s="54"/>
      <c r="X134" s="54"/>
      <c r="Y134" s="6">
        <v>4.7969999999999997</v>
      </c>
      <c r="Z134" s="6">
        <v>4.7949999999999999</v>
      </c>
      <c r="AA134" s="6">
        <v>4.7110000000000003</v>
      </c>
      <c r="AB134" s="6">
        <v>4.5590000000000002</v>
      </c>
      <c r="AC134" s="6">
        <v>4.5709999999999997</v>
      </c>
      <c r="AD134" s="22">
        <v>4.407</v>
      </c>
      <c r="AE134" s="22">
        <f t="shared" si="19"/>
        <v>4.4889999999999999</v>
      </c>
      <c r="AF134" s="103">
        <v>3.915</v>
      </c>
      <c r="AG134" s="103">
        <v>3.9420000000000002</v>
      </c>
      <c r="AH134" s="103">
        <v>4.0419999999999998</v>
      </c>
      <c r="AI134" s="103">
        <v>4.1760000000000002</v>
      </c>
      <c r="AJ134" s="108"/>
      <c r="AK134" s="103">
        <v>4.0759999999999996</v>
      </c>
      <c r="AL134" s="103">
        <v>4.0910000000000002</v>
      </c>
      <c r="AM134" s="103">
        <v>4.5010000000000003</v>
      </c>
      <c r="AN134" s="103">
        <v>4.5430000000000001</v>
      </c>
      <c r="AO134" s="103">
        <v>4.4189999999999996</v>
      </c>
      <c r="AP134" s="103">
        <v>4.6559999999999997</v>
      </c>
      <c r="AQ134" s="103">
        <v>4.6509999999999998</v>
      </c>
      <c r="AR134" s="103">
        <v>4.6749999999999998</v>
      </c>
      <c r="AS134" s="103">
        <v>4.3479999999999999</v>
      </c>
      <c r="AT134" s="103">
        <v>4.3410000000000002</v>
      </c>
      <c r="AU134" s="103">
        <v>4.5970000000000004</v>
      </c>
      <c r="AV134" s="103">
        <v>4.2030000000000003</v>
      </c>
      <c r="AW134" s="103">
        <v>4.2720000000000002</v>
      </c>
      <c r="AX134" s="103">
        <v>5.0369999999999999</v>
      </c>
      <c r="AY134" s="103">
        <v>4.6399999999999997</v>
      </c>
      <c r="AZ134" s="103">
        <v>4.83</v>
      </c>
      <c r="BA134" s="103">
        <v>4.8819999999999997</v>
      </c>
      <c r="BB134" s="103">
        <v>5.0119999999999996</v>
      </c>
      <c r="BC134" s="103">
        <v>5.024</v>
      </c>
      <c r="BD134" s="103">
        <v>4.9059999999999997</v>
      </c>
      <c r="BE134" s="103">
        <v>4.28</v>
      </c>
      <c r="BF134" s="103">
        <v>4.4630000000000001</v>
      </c>
      <c r="BG134" s="103">
        <v>4.6130000000000004</v>
      </c>
      <c r="BH134" s="103">
        <v>4.88</v>
      </c>
      <c r="BI134" s="103">
        <v>5.05</v>
      </c>
      <c r="BJ134" s="103">
        <v>4.9470000000000001</v>
      </c>
      <c r="BK134" s="103">
        <v>4.3609999999999998</v>
      </c>
      <c r="BL134" s="103">
        <v>4.6260000000000003</v>
      </c>
      <c r="BM134" s="103">
        <v>4.5750000000000002</v>
      </c>
      <c r="BN134" s="103">
        <v>4.2930000000000001</v>
      </c>
      <c r="BO134" s="103">
        <v>4.125</v>
      </c>
      <c r="BP134" s="103">
        <v>4.3090000000000002</v>
      </c>
      <c r="BQ134" s="87">
        <v>3.76769</v>
      </c>
      <c r="BR134" s="87">
        <v>4.2062220000000003</v>
      </c>
      <c r="BS134" s="87">
        <v>4.7668080000000002</v>
      </c>
      <c r="BT134" s="87">
        <v>4.1989369999999999</v>
      </c>
      <c r="BU134" s="87">
        <v>4.3104050000000003</v>
      </c>
      <c r="BV134" s="87">
        <v>4.6745299999999999</v>
      </c>
      <c r="BW134" s="105">
        <v>3.9689999999999999</v>
      </c>
      <c r="BX134" s="105">
        <v>4.0010000000000003</v>
      </c>
      <c r="BY134" s="105">
        <v>4.1050000000000004</v>
      </c>
      <c r="BZ134" s="105">
        <v>4.2450000000000001</v>
      </c>
      <c r="CA134" s="105">
        <v>4.3250000000000002</v>
      </c>
      <c r="CB134" s="105">
        <v>4.1500000000000004</v>
      </c>
      <c r="CC134" s="105">
        <v>4.165</v>
      </c>
      <c r="CD134" s="105">
        <v>4.5890000000000004</v>
      </c>
      <c r="CE134" s="105">
        <v>4.6369999999999996</v>
      </c>
      <c r="CF134" s="105">
        <v>4.5119999999999996</v>
      </c>
      <c r="CG134" s="105">
        <v>4.7670000000000003</v>
      </c>
      <c r="CH134" s="105">
        <v>4.7610000000000001</v>
      </c>
      <c r="CI134" s="105">
        <v>4.7830000000000004</v>
      </c>
      <c r="CJ134" s="106">
        <v>4.423</v>
      </c>
      <c r="CK134" s="106">
        <v>4.4169999999999998</v>
      </c>
      <c r="CL134" s="105">
        <v>4.7039999999999997</v>
      </c>
      <c r="CM134" s="105">
        <v>4.2839999999999998</v>
      </c>
      <c r="CN134" s="105">
        <v>4.351</v>
      </c>
      <c r="CO134" s="105">
        <v>5.2240000000000002</v>
      </c>
      <c r="CP134" s="105">
        <v>4.7560000000000002</v>
      </c>
      <c r="CQ134" s="105">
        <v>4.9749999999999996</v>
      </c>
      <c r="CR134" s="105">
        <v>5.0259999999999998</v>
      </c>
      <c r="CS134" s="105">
        <v>5.1740000000000004</v>
      </c>
      <c r="CT134" s="105">
        <v>5.1890000000000001</v>
      </c>
      <c r="CU134" s="105">
        <v>5.0679999999999996</v>
      </c>
      <c r="CV134" s="105">
        <v>4.3209999999999997</v>
      </c>
      <c r="CW134" s="105">
        <v>4.5369999999999999</v>
      </c>
      <c r="CX134" s="105">
        <v>4.6740000000000004</v>
      </c>
      <c r="CY134" s="105">
        <v>4.9889999999999999</v>
      </c>
      <c r="CZ134" s="105">
        <v>5.1970000000000001</v>
      </c>
      <c r="DA134" s="105">
        <v>5.0540000000000003</v>
      </c>
      <c r="DB134" s="105">
        <v>4.298</v>
      </c>
      <c r="DC134" s="105">
        <v>4.6950000000000003</v>
      </c>
      <c r="DD134" s="105">
        <v>4.6360000000000001</v>
      </c>
      <c r="DE134" s="105">
        <v>4.3689999999999998</v>
      </c>
      <c r="DF134" s="105">
        <v>4.1920000000000002</v>
      </c>
      <c r="DG134" s="105">
        <v>4.3879999999999999</v>
      </c>
      <c r="DH134" s="115">
        <v>3.872681</v>
      </c>
      <c r="DI134" s="115">
        <v>4.3223209999999996</v>
      </c>
      <c r="DJ134" s="115">
        <v>4.8945119999999998</v>
      </c>
      <c r="DK134" s="115">
        <v>4.3095509999999999</v>
      </c>
      <c r="DL134" s="115">
        <v>4.4286409999999998</v>
      </c>
      <c r="DM134" s="115">
        <v>4.8015189999999999</v>
      </c>
    </row>
    <row r="135" spans="1:117">
      <c r="A135" s="1">
        <f t="shared" si="12"/>
        <v>133</v>
      </c>
      <c r="B135" s="2"/>
      <c r="C135" s="4">
        <v>14</v>
      </c>
      <c r="D135" s="4">
        <f t="shared" si="20"/>
        <v>1016</v>
      </c>
      <c r="E135" s="4" t="s">
        <v>232</v>
      </c>
      <c r="F135" s="4">
        <v>1</v>
      </c>
      <c r="G135" s="4" t="s">
        <v>11</v>
      </c>
      <c r="H135" s="4" t="s">
        <v>12</v>
      </c>
      <c r="I135" s="4" t="s">
        <v>320</v>
      </c>
      <c r="J135" s="5">
        <v>77.599999999999994</v>
      </c>
      <c r="K135" s="68"/>
      <c r="L135" s="99">
        <v>4.8369999999999997</v>
      </c>
      <c r="M135" s="7" t="s">
        <v>158</v>
      </c>
      <c r="N135" s="3" t="s">
        <v>205</v>
      </c>
      <c r="O135" s="6">
        <v>5.4580000000000002</v>
      </c>
      <c r="P135" s="6">
        <v>4.9169999999999998</v>
      </c>
      <c r="Q135" s="6">
        <v>5.7249999999999996</v>
      </c>
      <c r="R135" s="54"/>
      <c r="S135" s="6">
        <v>5.3339999999999996</v>
      </c>
      <c r="T135" s="6">
        <v>5.1280000000000001</v>
      </c>
      <c r="U135" s="6">
        <v>5.1120000000000001</v>
      </c>
      <c r="V135" s="6">
        <v>5.0060000000000002</v>
      </c>
      <c r="W135" s="54"/>
      <c r="X135" s="54"/>
      <c r="Y135" s="6">
        <v>5.3949999999999996</v>
      </c>
      <c r="Z135" s="6">
        <v>5.3760000000000003</v>
      </c>
      <c r="AA135" s="6">
        <v>5.23</v>
      </c>
      <c r="AB135" s="6">
        <v>5.1390000000000002</v>
      </c>
      <c r="AC135" s="6">
        <v>4.9470000000000001</v>
      </c>
      <c r="AD135" s="22">
        <v>4.8259999999999996</v>
      </c>
      <c r="AE135" s="22">
        <f t="shared" si="19"/>
        <v>4.8864999999999998</v>
      </c>
      <c r="AF135" s="103">
        <v>4.5579999999999998</v>
      </c>
      <c r="AG135" s="103">
        <v>4.5659999999999998</v>
      </c>
      <c r="AH135" s="103">
        <v>4.6890000000000001</v>
      </c>
      <c r="AI135" s="103">
        <v>4.8120000000000003</v>
      </c>
      <c r="AJ135" s="108"/>
      <c r="AK135" s="103">
        <v>4.7119999999999997</v>
      </c>
      <c r="AL135" s="103">
        <v>4.7300000000000004</v>
      </c>
      <c r="AM135" s="103">
        <v>5.2549999999999999</v>
      </c>
      <c r="AN135" s="103">
        <v>5.048</v>
      </c>
      <c r="AO135" s="103">
        <v>4.7750000000000004</v>
      </c>
      <c r="AP135" s="103">
        <v>5.1070000000000002</v>
      </c>
      <c r="AQ135" s="103">
        <v>5.0529999999999999</v>
      </c>
      <c r="AR135" s="103">
        <v>5.2939999999999996</v>
      </c>
      <c r="AS135" s="103">
        <v>4.9779999999999998</v>
      </c>
      <c r="AT135" s="103">
        <v>4.9509999999999996</v>
      </c>
      <c r="AU135" s="103">
        <v>5.1210000000000004</v>
      </c>
      <c r="AV135" s="103">
        <v>4.5609999999999999</v>
      </c>
      <c r="AW135" s="103">
        <v>4.8719999999999999</v>
      </c>
      <c r="AX135" s="103">
        <v>5.6180000000000003</v>
      </c>
      <c r="AY135" s="103">
        <v>5.0810000000000004</v>
      </c>
      <c r="AZ135" s="103">
        <v>5.282</v>
      </c>
      <c r="BA135" s="103">
        <v>5.3109999999999999</v>
      </c>
      <c r="BB135" s="103">
        <v>5.452</v>
      </c>
      <c r="BC135" s="103">
        <v>5.3710000000000004</v>
      </c>
      <c r="BD135" s="103">
        <v>5.0830000000000002</v>
      </c>
      <c r="BE135" s="103">
        <v>4.8559999999999999</v>
      </c>
      <c r="BF135" s="103">
        <v>5.09</v>
      </c>
      <c r="BG135" s="103">
        <v>5.2220000000000004</v>
      </c>
      <c r="BH135" s="103">
        <v>5.3529999999999998</v>
      </c>
      <c r="BI135" s="103">
        <v>5.5529999999999999</v>
      </c>
      <c r="BJ135" s="103">
        <v>5.47</v>
      </c>
      <c r="BK135" s="103">
        <v>4.53</v>
      </c>
      <c r="BL135" s="103">
        <v>5.1630000000000003</v>
      </c>
      <c r="BM135" s="103">
        <v>5.1379999999999999</v>
      </c>
      <c r="BN135" s="103">
        <v>5.0599999999999996</v>
      </c>
      <c r="BO135" s="103">
        <v>4.8689999999999998</v>
      </c>
      <c r="BP135" s="103">
        <v>5.1100000000000003</v>
      </c>
      <c r="BQ135" s="87">
        <v>4.2864279999999999</v>
      </c>
      <c r="BR135" s="87">
        <v>4.8275889999999997</v>
      </c>
      <c r="BS135" s="87">
        <v>5.8200459999999996</v>
      </c>
      <c r="BT135" s="87">
        <v>4.8896839999999999</v>
      </c>
      <c r="BU135" s="87">
        <v>4.9615970000000003</v>
      </c>
      <c r="BV135" s="87">
        <v>5.5462540000000002</v>
      </c>
      <c r="BW135" s="105">
        <v>4.5880000000000001</v>
      </c>
      <c r="BX135" s="105">
        <v>4.6029999999999998</v>
      </c>
      <c r="BY135" s="105">
        <v>4.7300000000000004</v>
      </c>
      <c r="BZ135" s="105">
        <v>4.8600000000000003</v>
      </c>
      <c r="CA135" s="105">
        <v>4.9880000000000004</v>
      </c>
      <c r="CB135" s="105">
        <v>4.7679999999999998</v>
      </c>
      <c r="CC135" s="105">
        <v>4.7850000000000001</v>
      </c>
      <c r="CD135" s="105">
        <v>5.319</v>
      </c>
      <c r="CE135" s="105">
        <v>5.1260000000000003</v>
      </c>
      <c r="CF135" s="105">
        <v>4.8659999999999997</v>
      </c>
      <c r="CG135" s="105">
        <v>5.2169999999999996</v>
      </c>
      <c r="CH135" s="105">
        <v>5.1639999999999997</v>
      </c>
      <c r="CI135" s="105">
        <v>5.3620000000000001</v>
      </c>
      <c r="CJ135" s="106">
        <v>5.0350000000000001</v>
      </c>
      <c r="CK135" s="106">
        <v>5.0140000000000002</v>
      </c>
      <c r="CL135" s="105">
        <v>5.18</v>
      </c>
      <c r="CM135" s="105">
        <v>4.6020000000000003</v>
      </c>
      <c r="CN135" s="105">
        <v>4.92</v>
      </c>
      <c r="CO135" s="105">
        <v>5.694</v>
      </c>
      <c r="CP135" s="105">
        <v>5.14</v>
      </c>
      <c r="CQ135" s="105">
        <v>5.3479999999999999</v>
      </c>
      <c r="CR135" s="105">
        <v>5.3789999999999996</v>
      </c>
      <c r="CS135" s="105">
        <v>5.5229999999999997</v>
      </c>
      <c r="CT135" s="105">
        <v>5.4450000000000003</v>
      </c>
      <c r="CU135" s="105">
        <v>5.2110000000000003</v>
      </c>
      <c r="CV135" s="105">
        <v>4.9009999999999998</v>
      </c>
      <c r="CW135" s="105">
        <v>5.1509999999999998</v>
      </c>
      <c r="CX135" s="105">
        <v>5.298</v>
      </c>
      <c r="CY135" s="105">
        <v>5.4329999999999998</v>
      </c>
      <c r="CZ135" s="105">
        <v>5.6479999999999997</v>
      </c>
      <c r="DA135" s="105">
        <v>5.5670000000000002</v>
      </c>
      <c r="DB135" s="105">
        <v>4.5570000000000004</v>
      </c>
      <c r="DC135" s="105">
        <v>5.2359999999999998</v>
      </c>
      <c r="DD135" s="105">
        <v>5.2119999999999997</v>
      </c>
      <c r="DE135" s="105">
        <v>5.1100000000000003</v>
      </c>
      <c r="DF135" s="105">
        <v>4.9119999999999999</v>
      </c>
      <c r="DG135" s="105">
        <v>5.1619999999999999</v>
      </c>
      <c r="DH135" s="115">
        <v>4.3500880000000004</v>
      </c>
      <c r="DI135" s="115">
        <v>4.8906409999999996</v>
      </c>
      <c r="DJ135" s="115">
        <v>5.8680589999999997</v>
      </c>
      <c r="DK135" s="115">
        <v>4.9559119999999997</v>
      </c>
      <c r="DL135" s="115">
        <v>5.0256290000000003</v>
      </c>
      <c r="DM135" s="115">
        <v>5.593661</v>
      </c>
    </row>
    <row r="136" spans="1:117">
      <c r="A136" s="1">
        <f t="shared" si="12"/>
        <v>134</v>
      </c>
      <c r="B136" s="2"/>
      <c r="C136" s="4">
        <v>14</v>
      </c>
      <c r="D136" s="4">
        <f t="shared" si="20"/>
        <v>1016</v>
      </c>
      <c r="E136" s="4" t="s">
        <v>150</v>
      </c>
      <c r="F136" s="4">
        <v>1</v>
      </c>
      <c r="G136" s="4" t="s">
        <v>11</v>
      </c>
      <c r="H136" s="4" t="s">
        <v>17</v>
      </c>
      <c r="I136" s="4"/>
      <c r="J136" s="5">
        <v>85.8</v>
      </c>
      <c r="K136" s="68"/>
      <c r="L136" s="99">
        <v>5.1150000000000002</v>
      </c>
      <c r="M136" s="7" t="s">
        <v>158</v>
      </c>
      <c r="N136" s="3" t="s">
        <v>205</v>
      </c>
      <c r="O136" s="6">
        <v>5.0190000000000001</v>
      </c>
      <c r="P136" s="6">
        <v>4.9429999999999996</v>
      </c>
      <c r="Q136" s="6">
        <v>5.9139999999999997</v>
      </c>
      <c r="R136" s="54"/>
      <c r="S136" s="6">
        <v>5.5170000000000003</v>
      </c>
      <c r="T136" s="6">
        <v>5.27</v>
      </c>
      <c r="U136" s="6">
        <v>5.274</v>
      </c>
      <c r="V136" s="6">
        <v>5.2709999999999999</v>
      </c>
      <c r="W136" s="54"/>
      <c r="X136" s="54"/>
      <c r="Y136" s="6">
        <v>5.4790000000000001</v>
      </c>
      <c r="Z136" s="6">
        <v>5.4489999999999998</v>
      </c>
      <c r="AA136" s="6">
        <v>5.2809999999999997</v>
      </c>
      <c r="AB136" s="6">
        <v>5.2089999999999996</v>
      </c>
      <c r="AC136" s="6">
        <v>4.96</v>
      </c>
      <c r="AD136" s="22">
        <v>5.5369999999999999</v>
      </c>
      <c r="AE136" s="22">
        <f t="shared" si="19"/>
        <v>5.2484999999999999</v>
      </c>
      <c r="AF136" s="103">
        <v>4.6509999999999998</v>
      </c>
      <c r="AG136" s="103">
        <v>4.7060000000000004</v>
      </c>
      <c r="AH136" s="103">
        <v>4.8890000000000002</v>
      </c>
      <c r="AI136" s="103">
        <v>4.992</v>
      </c>
      <c r="AJ136" s="108"/>
      <c r="AK136" s="103">
        <v>4.8849999999999998</v>
      </c>
      <c r="AL136" s="103">
        <v>4.9109999999999996</v>
      </c>
      <c r="AM136" s="103">
        <v>5.5519999999999996</v>
      </c>
      <c r="AN136" s="103">
        <v>5.32</v>
      </c>
      <c r="AO136" s="103">
        <v>5.1719999999999997</v>
      </c>
      <c r="AP136" s="103">
        <v>5.43</v>
      </c>
      <c r="AQ136" s="103">
        <v>5.375</v>
      </c>
      <c r="AR136" s="103">
        <v>5.4619999999999997</v>
      </c>
      <c r="AS136" s="103">
        <v>5.1479999999999997</v>
      </c>
      <c r="AT136" s="103">
        <v>5.141</v>
      </c>
      <c r="AU136" s="103">
        <v>5.4269999999999996</v>
      </c>
      <c r="AV136" s="103">
        <v>4.7450000000000001</v>
      </c>
      <c r="AW136" s="103">
        <v>5.1130000000000004</v>
      </c>
      <c r="AX136" s="103">
        <v>6.1470000000000002</v>
      </c>
      <c r="AY136" s="103">
        <v>5.3609999999999998</v>
      </c>
      <c r="AZ136" s="103">
        <v>5.556</v>
      </c>
      <c r="BA136" s="103">
        <v>5.6120000000000001</v>
      </c>
      <c r="BB136" s="103">
        <v>5.7069999999999999</v>
      </c>
      <c r="BC136" s="103">
        <v>5.6319999999999997</v>
      </c>
      <c r="BD136" s="103">
        <v>5.4390000000000001</v>
      </c>
      <c r="BE136" s="103">
        <v>4.8879999999999999</v>
      </c>
      <c r="BF136" s="103">
        <v>5.3040000000000003</v>
      </c>
      <c r="BG136" s="103">
        <v>5.3239999999999998</v>
      </c>
      <c r="BH136" s="103">
        <v>5.5979999999999999</v>
      </c>
      <c r="BI136" s="103">
        <v>5.9550000000000001</v>
      </c>
      <c r="BJ136" s="103">
        <v>5.9109999999999996</v>
      </c>
      <c r="BK136" s="103">
        <v>3.6280000000000001</v>
      </c>
      <c r="BL136" s="103">
        <v>5.2569999999999997</v>
      </c>
      <c r="BM136" s="103">
        <v>5.2030000000000003</v>
      </c>
      <c r="BN136" s="103">
        <v>5.2169999999999996</v>
      </c>
      <c r="BO136" s="103">
        <v>5.0140000000000002</v>
      </c>
      <c r="BP136" s="103">
        <v>5.2759999999999998</v>
      </c>
      <c r="BQ136" s="87">
        <v>4.5622749999999996</v>
      </c>
      <c r="BR136" s="87">
        <v>4.9987219999999999</v>
      </c>
      <c r="BS136" s="87">
        <v>6.4183729999999999</v>
      </c>
      <c r="BT136" s="87">
        <v>5.074217</v>
      </c>
      <c r="BU136" s="87">
        <v>5.1244930000000002</v>
      </c>
      <c r="BV136" s="87">
        <v>6.1861689999999996</v>
      </c>
      <c r="BW136" s="105">
        <v>4.6529999999999996</v>
      </c>
      <c r="BX136" s="105">
        <v>4.7089999999999996</v>
      </c>
      <c r="BY136" s="105">
        <v>4.8929999999999998</v>
      </c>
      <c r="BZ136" s="105">
        <v>4.9969999999999999</v>
      </c>
      <c r="CA136" s="105">
        <v>5.2610000000000001</v>
      </c>
      <c r="CB136" s="105">
        <v>4.8929999999999998</v>
      </c>
      <c r="CC136" s="105">
        <v>4.9189999999999996</v>
      </c>
      <c r="CD136" s="105">
        <v>5.5620000000000003</v>
      </c>
      <c r="CE136" s="105">
        <v>5.3319999999999999</v>
      </c>
      <c r="CF136" s="105">
        <v>5.1849999999999996</v>
      </c>
      <c r="CG136" s="105">
        <v>5.4480000000000004</v>
      </c>
      <c r="CH136" s="105">
        <v>5.3929999999999998</v>
      </c>
      <c r="CI136" s="105">
        <v>5.4729999999999999</v>
      </c>
      <c r="CJ136" s="106">
        <v>5.1559999999999997</v>
      </c>
      <c r="CK136" s="106">
        <v>5.149</v>
      </c>
      <c r="CL136" s="105">
        <v>5.4370000000000003</v>
      </c>
      <c r="CM136" s="105">
        <v>4.7489999999999997</v>
      </c>
      <c r="CN136" s="105">
        <v>5.1189999999999998</v>
      </c>
      <c r="CO136" s="105">
        <v>6.173</v>
      </c>
      <c r="CP136" s="105">
        <v>5.37</v>
      </c>
      <c r="CQ136" s="105">
        <v>5.57</v>
      </c>
      <c r="CR136" s="105">
        <v>5.6269999999999998</v>
      </c>
      <c r="CS136" s="105">
        <v>5.7249999999999996</v>
      </c>
      <c r="CT136" s="105">
        <v>5.65</v>
      </c>
      <c r="CU136" s="105">
        <v>5.4619999999999997</v>
      </c>
      <c r="CV136" s="105">
        <v>4.9009999999999998</v>
      </c>
      <c r="CW136" s="105">
        <v>5.3179999999999996</v>
      </c>
      <c r="CX136" s="105">
        <v>5.3449999999999998</v>
      </c>
      <c r="CY136" s="105">
        <v>5.6210000000000004</v>
      </c>
      <c r="CZ136" s="105">
        <v>5.9829999999999997</v>
      </c>
      <c r="DA136" s="105">
        <v>5.7450000000000001</v>
      </c>
      <c r="DB136" s="105">
        <v>3.6360000000000001</v>
      </c>
      <c r="DC136" s="105">
        <v>5.2789999999999999</v>
      </c>
      <c r="DD136" s="105">
        <v>5.2240000000000002</v>
      </c>
      <c r="DE136" s="105">
        <v>5.2210000000000001</v>
      </c>
      <c r="DF136" s="105">
        <v>5.0170000000000003</v>
      </c>
      <c r="DG136" s="105">
        <v>5.282</v>
      </c>
      <c r="DH136" s="115">
        <v>4.5678609999999997</v>
      </c>
      <c r="DI136" s="115">
        <v>5.0053380000000001</v>
      </c>
      <c r="DJ136" s="115">
        <v>6.4260789999999997</v>
      </c>
      <c r="DK136" s="115">
        <v>5.0813920000000001</v>
      </c>
      <c r="DL136" s="115">
        <v>5.1316119999999996</v>
      </c>
      <c r="DM136" s="115">
        <v>6.193225</v>
      </c>
    </row>
    <row r="137" spans="1:117">
      <c r="A137" s="1">
        <f t="shared" si="12"/>
        <v>135</v>
      </c>
      <c r="B137" s="2"/>
      <c r="C137" s="4">
        <v>14</v>
      </c>
      <c r="D137" s="4">
        <f t="shared" si="20"/>
        <v>1016</v>
      </c>
      <c r="E137" s="4" t="s">
        <v>166</v>
      </c>
      <c r="F137" s="4">
        <v>3</v>
      </c>
      <c r="G137" s="4" t="s">
        <v>11</v>
      </c>
      <c r="H137" s="4" t="s">
        <v>17</v>
      </c>
      <c r="I137" s="4"/>
      <c r="J137" s="5">
        <v>97.1</v>
      </c>
      <c r="K137" s="68"/>
      <c r="L137" s="99">
        <v>2.4080000000000004</v>
      </c>
      <c r="M137" s="7" t="s">
        <v>260</v>
      </c>
      <c r="N137" s="3" t="s">
        <v>205</v>
      </c>
      <c r="O137" s="6">
        <v>2.8450000000000002</v>
      </c>
      <c r="P137" s="6">
        <v>2.54</v>
      </c>
      <c r="Q137" s="6">
        <v>2.9129999999999998</v>
      </c>
      <c r="R137" s="54"/>
      <c r="S137" s="6">
        <v>2.3519999999999999</v>
      </c>
      <c r="T137" s="54"/>
      <c r="U137" s="54"/>
      <c r="V137" s="54"/>
      <c r="W137" s="54"/>
      <c r="X137" s="54"/>
      <c r="Y137" s="6">
        <v>2.6480000000000001</v>
      </c>
      <c r="Z137" s="6">
        <v>2.653</v>
      </c>
      <c r="AA137" s="6">
        <v>2.617</v>
      </c>
      <c r="AB137" s="6">
        <v>2.4700000000000002</v>
      </c>
      <c r="AC137" s="22">
        <v>2.5510000000000002</v>
      </c>
      <c r="AD137" s="22">
        <v>2.1150000000000002</v>
      </c>
      <c r="AE137" s="22">
        <f t="shared" si="19"/>
        <v>2.3330000000000002</v>
      </c>
      <c r="AF137" s="103">
        <v>1.855</v>
      </c>
      <c r="AG137" s="103">
        <v>1.929</v>
      </c>
      <c r="AH137" s="103">
        <v>1.9139999999999999</v>
      </c>
      <c r="AI137" s="103">
        <v>1.7869999999999999</v>
      </c>
      <c r="AJ137" s="108"/>
      <c r="AK137" s="103">
        <v>1.865</v>
      </c>
      <c r="AL137" s="103">
        <v>1.8740000000000001</v>
      </c>
      <c r="AM137" s="103">
        <v>1.901</v>
      </c>
      <c r="AN137" s="103">
        <v>2.085</v>
      </c>
      <c r="AO137" s="103">
        <v>1.988</v>
      </c>
      <c r="AP137" s="103">
        <v>2.3010000000000002</v>
      </c>
      <c r="AQ137" s="103">
        <v>2.2749999999999999</v>
      </c>
      <c r="AR137" s="103">
        <v>2.2919999999999998</v>
      </c>
      <c r="AS137" s="103">
        <v>2.024</v>
      </c>
      <c r="AT137" s="103">
        <v>2.0190000000000001</v>
      </c>
      <c r="AU137" s="103">
        <v>1.75</v>
      </c>
      <c r="AV137" s="103">
        <v>2.0459999999999998</v>
      </c>
      <c r="AW137" s="103">
        <v>1.8560000000000001</v>
      </c>
      <c r="AX137" s="108"/>
      <c r="AY137" s="103">
        <v>1.889</v>
      </c>
      <c r="AZ137" s="103">
        <v>2.0659999999999998</v>
      </c>
      <c r="BA137" s="103">
        <v>1.7090000000000001</v>
      </c>
      <c r="BB137" s="103">
        <v>1.5609999999999999</v>
      </c>
      <c r="BC137" s="103">
        <v>1.24</v>
      </c>
      <c r="BD137" s="103">
        <v>1.92</v>
      </c>
      <c r="BE137" s="108"/>
      <c r="BF137" s="108"/>
      <c r="BG137" s="108"/>
      <c r="BH137" s="108"/>
      <c r="BI137" s="108"/>
      <c r="BJ137" s="108"/>
      <c r="BK137" s="108"/>
      <c r="BL137" s="108"/>
      <c r="BM137" s="108"/>
      <c r="BN137" s="103">
        <v>2.1720000000000002</v>
      </c>
      <c r="BO137" s="103">
        <v>1.93</v>
      </c>
      <c r="BP137" s="103">
        <v>2.1080000000000001</v>
      </c>
      <c r="BQ137" s="87">
        <v>1.614406</v>
      </c>
      <c r="BR137" s="87">
        <v>1.7897419999999999</v>
      </c>
      <c r="BS137" s="87">
        <v>2.3206709999999999</v>
      </c>
      <c r="BT137" s="87">
        <v>1.7226589999999999</v>
      </c>
      <c r="BU137" s="87">
        <v>1.8044089999999999</v>
      </c>
      <c r="BV137" s="87">
        <v>2.3017979999999998</v>
      </c>
      <c r="BW137" s="105">
        <v>2.121</v>
      </c>
      <c r="BX137" s="105">
        <v>2.1539999999999999</v>
      </c>
      <c r="BY137" s="105">
        <v>2.1720000000000002</v>
      </c>
      <c r="BZ137" s="105">
        <v>2.1669999999999998</v>
      </c>
      <c r="CA137" s="105">
        <v>1.768</v>
      </c>
      <c r="CB137" s="105">
        <v>2.1930000000000001</v>
      </c>
      <c r="CC137" s="105">
        <v>2.21</v>
      </c>
      <c r="CD137" s="105">
        <v>2.3250000000000002</v>
      </c>
      <c r="CE137" s="105">
        <v>2.3969999999999998</v>
      </c>
      <c r="CF137" s="105">
        <v>2.3119999999999998</v>
      </c>
      <c r="CG137" s="105">
        <v>2.5390000000000001</v>
      </c>
      <c r="CH137" s="105">
        <v>2.5169999999999999</v>
      </c>
      <c r="CI137" s="105">
        <v>2.5449999999999999</v>
      </c>
      <c r="CJ137" s="106">
        <v>2.3260000000000001</v>
      </c>
      <c r="CK137" s="106">
        <v>2.3180000000000001</v>
      </c>
      <c r="CL137" s="105">
        <v>2.29</v>
      </c>
      <c r="CM137" s="105">
        <v>2.25</v>
      </c>
      <c r="CN137" s="105">
        <v>2.218</v>
      </c>
      <c r="CO137" s="105">
        <v>2.2229999999999999</v>
      </c>
      <c r="CP137" s="105">
        <v>2.347</v>
      </c>
      <c r="CQ137" s="105">
        <v>2.476</v>
      </c>
      <c r="CR137" s="105">
        <v>2.395</v>
      </c>
      <c r="CS137" s="105">
        <v>2.4289999999999998</v>
      </c>
      <c r="CT137" s="105">
        <v>2.3439999999999999</v>
      </c>
      <c r="CU137" s="105">
        <v>2.4470000000000001</v>
      </c>
      <c r="CV137" s="105">
        <v>2.3650000000000002</v>
      </c>
      <c r="CW137" s="105">
        <v>2.2629999999999999</v>
      </c>
      <c r="CX137" s="105">
        <v>2.4</v>
      </c>
      <c r="CY137" s="105">
        <v>2.4489999999999998</v>
      </c>
      <c r="CZ137" s="105">
        <v>2.3450000000000002</v>
      </c>
      <c r="DA137" s="105">
        <v>2.4329999999999998</v>
      </c>
      <c r="DB137" s="105">
        <v>2.9870000000000001</v>
      </c>
      <c r="DC137" s="105">
        <v>2.395</v>
      </c>
      <c r="DD137" s="105">
        <v>2.3879999999999999</v>
      </c>
      <c r="DE137" s="105">
        <v>2.3650000000000002</v>
      </c>
      <c r="DF137" s="105">
        <v>2.2069999999999999</v>
      </c>
      <c r="DG137" s="105">
        <v>2.339</v>
      </c>
      <c r="DH137" s="115">
        <v>1.8366279999999999</v>
      </c>
      <c r="DI137" s="115">
        <v>2.067593</v>
      </c>
      <c r="DJ137" s="115">
        <v>2.3017979999999998</v>
      </c>
      <c r="DK137" s="115">
        <v>2.044187</v>
      </c>
      <c r="DL137" s="115">
        <v>2.11374</v>
      </c>
      <c r="DM137" s="115">
        <v>2.5056020000000001</v>
      </c>
    </row>
    <row r="138" spans="1:117">
      <c r="A138" s="1">
        <f t="shared" si="12"/>
        <v>136</v>
      </c>
      <c r="B138" s="2"/>
      <c r="C138" s="4">
        <v>14</v>
      </c>
      <c r="D138" s="4">
        <f t="shared" si="20"/>
        <v>1016</v>
      </c>
      <c r="E138" s="4" t="s">
        <v>165</v>
      </c>
      <c r="F138" s="4">
        <v>3</v>
      </c>
      <c r="G138" s="4" t="s">
        <v>11</v>
      </c>
      <c r="H138" s="4" t="s">
        <v>12</v>
      </c>
      <c r="I138" s="4"/>
      <c r="J138" s="5">
        <v>96.4</v>
      </c>
      <c r="K138" s="68"/>
      <c r="L138" s="99">
        <v>3.0550000000000002</v>
      </c>
      <c r="M138" s="7" t="s">
        <v>260</v>
      </c>
      <c r="N138" s="3" t="s">
        <v>205</v>
      </c>
      <c r="O138" s="6">
        <v>3.3090000000000002</v>
      </c>
      <c r="P138" s="6">
        <v>2.93</v>
      </c>
      <c r="Q138" s="6">
        <v>3.649</v>
      </c>
      <c r="R138" s="54"/>
      <c r="S138" s="6">
        <v>3.2210000000000001</v>
      </c>
      <c r="T138" s="54"/>
      <c r="U138" s="54"/>
      <c r="V138" s="54"/>
      <c r="W138" s="54"/>
      <c r="X138" s="54"/>
      <c r="Y138" s="6">
        <v>3.45</v>
      </c>
      <c r="Z138" s="6">
        <v>3.42</v>
      </c>
      <c r="AA138" s="6">
        <v>3.26</v>
      </c>
      <c r="AB138" s="6">
        <v>3.222</v>
      </c>
      <c r="AC138" s="22">
        <v>2.9660000000000002</v>
      </c>
      <c r="AD138" s="22">
        <v>3.044</v>
      </c>
      <c r="AE138" s="22">
        <f t="shared" si="19"/>
        <v>3.0049999999999999</v>
      </c>
      <c r="AF138" s="103">
        <v>2.4550000000000001</v>
      </c>
      <c r="AG138" s="103">
        <v>2.544</v>
      </c>
      <c r="AH138" s="103">
        <v>2.6349999999999998</v>
      </c>
      <c r="AI138" s="103">
        <v>2.6179999999999999</v>
      </c>
      <c r="AJ138" s="108"/>
      <c r="AK138" s="103">
        <v>2.7610000000000001</v>
      </c>
      <c r="AL138" s="103">
        <v>2.7789999999999999</v>
      </c>
      <c r="AM138" s="103">
        <v>2.9729999999999999</v>
      </c>
      <c r="AN138" s="103">
        <v>2.8439999999999999</v>
      </c>
      <c r="AO138" s="103">
        <v>2.8809999999999998</v>
      </c>
      <c r="AP138" s="103">
        <v>2.9529999999999998</v>
      </c>
      <c r="AQ138" s="103">
        <v>2.895</v>
      </c>
      <c r="AR138" s="103">
        <v>3.0680000000000001</v>
      </c>
      <c r="AS138" s="103">
        <v>2.7970000000000002</v>
      </c>
      <c r="AT138" s="103">
        <v>2.78</v>
      </c>
      <c r="AU138" s="103">
        <v>2.9049999999999998</v>
      </c>
      <c r="AV138" s="103">
        <v>2.5569999999999999</v>
      </c>
      <c r="AW138" s="103">
        <v>2.7490000000000001</v>
      </c>
      <c r="AX138" s="108"/>
      <c r="AY138" s="103">
        <v>2.88</v>
      </c>
      <c r="AZ138" s="103">
        <v>3.1320000000000001</v>
      </c>
      <c r="BA138" s="103">
        <v>3.0310000000000001</v>
      </c>
      <c r="BB138" s="103">
        <v>3.1160000000000001</v>
      </c>
      <c r="BC138" s="103">
        <v>2.97</v>
      </c>
      <c r="BD138" s="103">
        <v>2.8420000000000001</v>
      </c>
      <c r="BE138" s="108"/>
      <c r="BF138" s="108"/>
      <c r="BG138" s="108"/>
      <c r="BH138" s="108"/>
      <c r="BI138" s="108"/>
      <c r="BJ138" s="108"/>
      <c r="BK138" s="108"/>
      <c r="BL138" s="108"/>
      <c r="BM138" s="108"/>
      <c r="BN138" s="103">
        <v>2.8759999999999999</v>
      </c>
      <c r="BO138" s="103">
        <v>2.6880000000000002</v>
      </c>
      <c r="BP138" s="103">
        <v>2.9209999999999998</v>
      </c>
      <c r="BQ138" s="87">
        <v>2.3176489999999998</v>
      </c>
      <c r="BR138" s="87">
        <v>2.671001</v>
      </c>
      <c r="BS138" s="87">
        <v>3.6502699999999999</v>
      </c>
      <c r="BT138" s="87">
        <v>2.6780680000000001</v>
      </c>
      <c r="BU138" s="87">
        <v>2.7597999999999998</v>
      </c>
      <c r="BV138" s="87">
        <v>3.4552740000000002</v>
      </c>
      <c r="BW138" s="105">
        <v>2.5209999999999999</v>
      </c>
      <c r="BX138" s="105">
        <v>2.5870000000000002</v>
      </c>
      <c r="BY138" s="105">
        <v>2.6880000000000002</v>
      </c>
      <c r="BZ138" s="105">
        <v>2.6829999999999998</v>
      </c>
      <c r="CA138" s="105">
        <v>2.69</v>
      </c>
      <c r="CB138" s="105">
        <v>2.7839999999999998</v>
      </c>
      <c r="CC138" s="105">
        <v>2.8029999999999999</v>
      </c>
      <c r="CD138" s="105">
        <v>3.044</v>
      </c>
      <c r="CE138" s="105">
        <v>2.8929999999999998</v>
      </c>
      <c r="CF138" s="105">
        <v>2.9129999999999998</v>
      </c>
      <c r="CG138" s="105">
        <v>3.0089999999999999</v>
      </c>
      <c r="CH138" s="105">
        <v>2.9409999999999998</v>
      </c>
      <c r="CI138" s="105">
        <v>3.1120000000000001</v>
      </c>
      <c r="CJ138" s="106">
        <v>2.8319999999999999</v>
      </c>
      <c r="CK138" s="106">
        <v>2.8149999999999999</v>
      </c>
      <c r="CL138" s="105">
        <v>2.9740000000000002</v>
      </c>
      <c r="CM138" s="105">
        <v>2.5990000000000002</v>
      </c>
      <c r="CN138" s="105">
        <v>2.8090000000000002</v>
      </c>
      <c r="CO138" s="105">
        <v>3.379</v>
      </c>
      <c r="CP138" s="105">
        <v>2.9350000000000001</v>
      </c>
      <c r="CQ138" s="105">
        <v>3.1739999999999999</v>
      </c>
      <c r="CR138" s="105">
        <v>3.0960000000000001</v>
      </c>
      <c r="CS138" s="105">
        <v>3.1850000000000001</v>
      </c>
      <c r="CT138" s="105">
        <v>3.056</v>
      </c>
      <c r="CU138" s="105">
        <v>2.8959999999999999</v>
      </c>
      <c r="CV138" s="105">
        <v>2.8730000000000002</v>
      </c>
      <c r="CW138" s="105">
        <v>2.923</v>
      </c>
      <c r="CX138" s="105">
        <v>3.0710000000000002</v>
      </c>
      <c r="CY138" s="105">
        <v>3.1960000000000002</v>
      </c>
      <c r="CZ138" s="105">
        <v>3.238</v>
      </c>
      <c r="DA138" s="105">
        <v>3.2349999999999999</v>
      </c>
      <c r="DB138" s="105">
        <v>2.6989999999999998</v>
      </c>
      <c r="DC138" s="105">
        <v>3.0939999999999999</v>
      </c>
      <c r="DD138" s="105">
        <v>3.0779999999999998</v>
      </c>
      <c r="DE138" s="105">
        <v>2.9079999999999999</v>
      </c>
      <c r="DF138" s="105">
        <v>2.7389999999999999</v>
      </c>
      <c r="DG138" s="105">
        <v>2.9609999999999999</v>
      </c>
      <c r="DH138" s="115">
        <v>2.358123</v>
      </c>
      <c r="DI138" s="115">
        <v>2.7164609999999998</v>
      </c>
      <c r="DJ138" s="115">
        <v>3.4552740000000002</v>
      </c>
      <c r="DK138" s="115">
        <v>2.7285490000000001</v>
      </c>
      <c r="DL138" s="115">
        <v>2.8078910000000001</v>
      </c>
      <c r="DM138" s="115">
        <v>3.4908860000000002</v>
      </c>
    </row>
    <row r="139" spans="1:117">
      <c r="A139" s="1">
        <f t="shared" si="12"/>
        <v>137</v>
      </c>
      <c r="B139" s="2"/>
      <c r="C139" s="4">
        <v>14</v>
      </c>
      <c r="D139" s="4">
        <f t="shared" si="20"/>
        <v>1016</v>
      </c>
      <c r="E139" s="4" t="s">
        <v>164</v>
      </c>
      <c r="F139" s="4">
        <v>3</v>
      </c>
      <c r="G139" s="4" t="s">
        <v>11</v>
      </c>
      <c r="H139" s="4" t="s">
        <v>17</v>
      </c>
      <c r="I139" s="4"/>
      <c r="J139" s="5">
        <v>96.7</v>
      </c>
      <c r="K139" s="68"/>
      <c r="L139" s="99">
        <v>3.3759999999999999</v>
      </c>
      <c r="M139" s="7" t="s">
        <v>260</v>
      </c>
      <c r="N139" s="3" t="s">
        <v>205</v>
      </c>
      <c r="O139" s="6">
        <v>3.6859999999999999</v>
      </c>
      <c r="P139" s="6">
        <v>3.53</v>
      </c>
      <c r="Q139" s="6">
        <v>3.9729999999999999</v>
      </c>
      <c r="R139" s="54"/>
      <c r="S139" s="6">
        <v>3.4159999999999999</v>
      </c>
      <c r="T139" s="54"/>
      <c r="U139" s="54"/>
      <c r="V139" s="54"/>
      <c r="W139" s="54"/>
      <c r="X139" s="54"/>
      <c r="Y139" s="6">
        <v>3.536</v>
      </c>
      <c r="Z139" s="6">
        <v>3.5379999999999998</v>
      </c>
      <c r="AA139" s="6">
        <v>3.536</v>
      </c>
      <c r="AB139" s="6">
        <v>3.3380000000000001</v>
      </c>
      <c r="AC139" s="22">
        <v>3.5339999999999998</v>
      </c>
      <c r="AD139" s="22">
        <v>3.0139999999999998</v>
      </c>
      <c r="AE139" s="22">
        <f t="shared" si="19"/>
        <v>3.274</v>
      </c>
      <c r="AF139" s="103">
        <v>3.016</v>
      </c>
      <c r="AG139" s="103">
        <v>3.0270000000000001</v>
      </c>
      <c r="AH139" s="103">
        <v>3.0390000000000001</v>
      </c>
      <c r="AI139" s="103">
        <v>3.03</v>
      </c>
      <c r="AJ139" s="108"/>
      <c r="AK139" s="103">
        <v>2.9740000000000002</v>
      </c>
      <c r="AL139" s="103">
        <v>2.9889999999999999</v>
      </c>
      <c r="AM139" s="103">
        <v>3.14</v>
      </c>
      <c r="AN139" s="103">
        <v>3.2269999999999999</v>
      </c>
      <c r="AO139" s="103">
        <v>3.121</v>
      </c>
      <c r="AP139" s="103">
        <v>3.2850000000000001</v>
      </c>
      <c r="AQ139" s="103">
        <v>3.2269999999999999</v>
      </c>
      <c r="AR139" s="103">
        <v>3.25</v>
      </c>
      <c r="AS139" s="103">
        <v>3.2010000000000001</v>
      </c>
      <c r="AT139" s="103">
        <v>3.194</v>
      </c>
      <c r="AU139" s="103">
        <v>3.0619999999999998</v>
      </c>
      <c r="AV139" s="103">
        <v>3.0680000000000001</v>
      </c>
      <c r="AW139" s="103">
        <v>3.0510000000000002</v>
      </c>
      <c r="AX139" s="108"/>
      <c r="AY139" s="103">
        <v>3.1040000000000001</v>
      </c>
      <c r="AZ139" s="103">
        <v>3.15</v>
      </c>
      <c r="BA139" s="103">
        <v>3.0680000000000001</v>
      </c>
      <c r="BB139" s="103">
        <v>3.03</v>
      </c>
      <c r="BC139" s="103">
        <v>2.9620000000000002</v>
      </c>
      <c r="BD139" s="103">
        <v>3.177</v>
      </c>
      <c r="BE139" s="108"/>
      <c r="BF139" s="108"/>
      <c r="BG139" s="108"/>
      <c r="BH139" s="108"/>
      <c r="BI139" s="108"/>
      <c r="BJ139" s="108"/>
      <c r="BK139" s="108"/>
      <c r="BL139" s="108"/>
      <c r="BM139" s="108"/>
      <c r="BN139" s="103">
        <v>3.1850000000000001</v>
      </c>
      <c r="BO139" s="103">
        <v>3.0640000000000001</v>
      </c>
      <c r="BP139" s="103">
        <v>3.1629999999999998</v>
      </c>
      <c r="BQ139" s="87">
        <v>2.5049250000000001</v>
      </c>
      <c r="BR139" s="87">
        <v>2.7468520000000001</v>
      </c>
      <c r="BS139" s="87">
        <v>3.1512549999999999</v>
      </c>
      <c r="BT139" s="87">
        <v>2.6968269999999999</v>
      </c>
      <c r="BU139" s="87">
        <v>2.7869540000000002</v>
      </c>
      <c r="BV139" s="87">
        <v>3.0996990000000002</v>
      </c>
      <c r="BW139" s="105">
        <v>3.0739999999999998</v>
      </c>
      <c r="BX139" s="105">
        <v>3.077</v>
      </c>
      <c r="BY139" s="105">
        <v>3.0939999999999999</v>
      </c>
      <c r="BZ139" s="105">
        <v>3.1080000000000001</v>
      </c>
      <c r="CA139" s="105">
        <v>2.9430000000000001</v>
      </c>
      <c r="CB139" s="105">
        <v>3.048</v>
      </c>
      <c r="CC139" s="105">
        <v>3.0659999999999998</v>
      </c>
      <c r="CD139" s="105">
        <v>3.234</v>
      </c>
      <c r="CE139" s="105">
        <v>3.3050000000000002</v>
      </c>
      <c r="CF139" s="105">
        <v>3.1930000000000001</v>
      </c>
      <c r="CG139" s="105">
        <v>3.3540000000000001</v>
      </c>
      <c r="CH139" s="105">
        <v>3.3090000000000002</v>
      </c>
      <c r="CI139" s="105">
        <v>3.3370000000000002</v>
      </c>
      <c r="CJ139" s="106">
        <v>3.2629999999999999</v>
      </c>
      <c r="CK139" s="106">
        <v>3.254</v>
      </c>
      <c r="CL139" s="105">
        <v>3.1819999999999999</v>
      </c>
      <c r="CM139" s="105">
        <v>3.1230000000000002</v>
      </c>
      <c r="CN139" s="105">
        <v>3.129</v>
      </c>
      <c r="CO139" s="105">
        <v>3.1720000000000002</v>
      </c>
      <c r="CP139" s="105">
        <v>3.218</v>
      </c>
      <c r="CQ139" s="105">
        <v>3.274</v>
      </c>
      <c r="CR139" s="105">
        <v>3.2389999999999999</v>
      </c>
      <c r="CS139" s="105">
        <v>3.2480000000000002</v>
      </c>
      <c r="CT139" s="105">
        <v>3.202</v>
      </c>
      <c r="CU139" s="105">
        <v>3.3119999999999998</v>
      </c>
      <c r="CV139" s="105">
        <v>3.3149999999999999</v>
      </c>
      <c r="CW139" s="105">
        <v>3.2410000000000001</v>
      </c>
      <c r="CX139" s="105">
        <v>3.3740000000000001</v>
      </c>
      <c r="CY139" s="105">
        <v>3.37</v>
      </c>
      <c r="CZ139" s="105">
        <v>3.306</v>
      </c>
      <c r="DA139" s="105">
        <v>3.3969999999999998</v>
      </c>
      <c r="DB139" s="105">
        <v>3.7080000000000002</v>
      </c>
      <c r="DC139" s="105">
        <v>3.282</v>
      </c>
      <c r="DD139" s="105">
        <v>3.26</v>
      </c>
      <c r="DE139" s="105">
        <v>3.2330000000000001</v>
      </c>
      <c r="DF139" s="105">
        <v>3.1240000000000001</v>
      </c>
      <c r="DG139" s="105">
        <v>3.2189999999999999</v>
      </c>
      <c r="DH139" s="115">
        <v>2.5717590000000001</v>
      </c>
      <c r="DI139" s="115">
        <v>2.8252139999999999</v>
      </c>
      <c r="DJ139" s="115">
        <v>3.0996990000000002</v>
      </c>
      <c r="DK139" s="115">
        <v>2.7871389999999998</v>
      </c>
      <c r="DL139" s="115">
        <v>2.8724349999999998</v>
      </c>
      <c r="DM139" s="115">
        <v>3.177149</v>
      </c>
    </row>
    <row r="140" spans="1:117">
      <c r="A140" s="1">
        <f t="shared" si="12"/>
        <v>138</v>
      </c>
      <c r="B140" s="2"/>
      <c r="C140" s="4">
        <v>14</v>
      </c>
      <c r="D140" s="4">
        <f t="shared" si="20"/>
        <v>1016</v>
      </c>
      <c r="E140" s="4" t="s">
        <v>233</v>
      </c>
      <c r="F140" s="4">
        <v>3</v>
      </c>
      <c r="G140" s="4" t="s">
        <v>11</v>
      </c>
      <c r="H140" s="4" t="s">
        <v>17</v>
      </c>
      <c r="I140" s="4"/>
      <c r="J140" s="5">
        <v>97.4</v>
      </c>
      <c r="K140" s="68"/>
      <c r="L140" s="99">
        <v>3.5539999999999994</v>
      </c>
      <c r="M140" s="7" t="s">
        <v>260</v>
      </c>
      <c r="N140" s="3" t="s">
        <v>205</v>
      </c>
      <c r="O140" s="6">
        <v>3.887</v>
      </c>
      <c r="P140" s="6">
        <v>3.6779999999999999</v>
      </c>
      <c r="Q140" s="6">
        <v>3.9089999999999998</v>
      </c>
      <c r="R140" s="54"/>
      <c r="S140" s="6">
        <v>3.5459999999999998</v>
      </c>
      <c r="T140" s="54"/>
      <c r="U140" s="54"/>
      <c r="V140" s="54"/>
      <c r="W140" s="54"/>
      <c r="X140" s="54"/>
      <c r="Y140" s="6">
        <v>3.718</v>
      </c>
      <c r="Z140" s="6">
        <v>3.7240000000000002</v>
      </c>
      <c r="AA140" s="6">
        <v>3.7109999999999999</v>
      </c>
      <c r="AB140" s="6">
        <v>3.5590000000000002</v>
      </c>
      <c r="AC140" s="22">
        <v>3.673</v>
      </c>
      <c r="AD140" s="22">
        <v>3.2989999999999999</v>
      </c>
      <c r="AE140" s="22">
        <f t="shared" ref="AE140" si="21">SUM(AC140:AD140)/2</f>
        <v>3.4859999999999998</v>
      </c>
      <c r="AF140" s="103">
        <v>3.0710000000000002</v>
      </c>
      <c r="AG140" s="103">
        <v>3.1379999999999999</v>
      </c>
      <c r="AH140" s="103">
        <v>3.1549999999999998</v>
      </c>
      <c r="AI140" s="103">
        <v>3.0819999999999999</v>
      </c>
      <c r="AJ140" s="108"/>
      <c r="AK140" s="103">
        <v>3.0779999999999998</v>
      </c>
      <c r="AL140" s="103">
        <v>3.0960000000000001</v>
      </c>
      <c r="AM140" s="103">
        <v>3.2919999999999998</v>
      </c>
      <c r="AN140" s="103">
        <v>3.4289999999999998</v>
      </c>
      <c r="AO140" s="103">
        <v>3.29</v>
      </c>
      <c r="AP140" s="103">
        <v>3.5579999999999998</v>
      </c>
      <c r="AQ140" s="103">
        <v>3.5590000000000002</v>
      </c>
      <c r="AR140" s="103">
        <v>3.5910000000000002</v>
      </c>
      <c r="AS140" s="103">
        <v>3.35</v>
      </c>
      <c r="AT140" s="103">
        <v>3.3410000000000002</v>
      </c>
      <c r="AU140" s="103">
        <v>3.149</v>
      </c>
      <c r="AV140" s="103">
        <v>3.2629999999999999</v>
      </c>
      <c r="AW140" s="103">
        <v>3.1539999999999999</v>
      </c>
      <c r="AX140" s="108"/>
      <c r="AY140" s="103">
        <v>3.2480000000000002</v>
      </c>
      <c r="AZ140" s="103">
        <v>3.4119999999999999</v>
      </c>
      <c r="BA140" s="103">
        <v>3.1760000000000002</v>
      </c>
      <c r="BB140" s="103">
        <v>3.1120000000000001</v>
      </c>
      <c r="BC140" s="103">
        <v>2.9119999999999999</v>
      </c>
      <c r="BD140" s="103">
        <v>3.2919999999999998</v>
      </c>
      <c r="BE140" s="108"/>
      <c r="BF140" s="108"/>
      <c r="BG140" s="108"/>
      <c r="BH140" s="108"/>
      <c r="BI140" s="108"/>
      <c r="BJ140" s="108"/>
      <c r="BK140" s="108"/>
      <c r="BL140" s="108"/>
      <c r="BM140" s="108"/>
      <c r="BN140" s="103">
        <v>3.4340000000000002</v>
      </c>
      <c r="BO140" s="103">
        <v>3.181</v>
      </c>
      <c r="BP140" s="103">
        <v>3.391</v>
      </c>
      <c r="BQ140" s="87">
        <v>2.6844290000000002</v>
      </c>
      <c r="BR140" s="87">
        <v>2.9510529999999999</v>
      </c>
      <c r="BS140" s="87">
        <v>3.612733</v>
      </c>
      <c r="BT140" s="87">
        <v>2.9175049999999998</v>
      </c>
      <c r="BU140" s="87">
        <v>2.9924949999999999</v>
      </c>
      <c r="BV140" s="87">
        <v>3.5717880000000002</v>
      </c>
      <c r="BW140" s="105">
        <v>3.2519999999999998</v>
      </c>
      <c r="BX140" s="105">
        <v>3.2850000000000001</v>
      </c>
      <c r="BY140" s="105">
        <v>3.3159999999999998</v>
      </c>
      <c r="BZ140" s="105">
        <v>3.3159999999999998</v>
      </c>
      <c r="CA140" s="105">
        <v>2.8620000000000001</v>
      </c>
      <c r="CB140" s="105">
        <v>3.2869999999999999</v>
      </c>
      <c r="CC140" s="105">
        <v>3.3130000000000002</v>
      </c>
      <c r="CD140" s="105">
        <v>3.5259999999999998</v>
      </c>
      <c r="CE140" s="105">
        <v>3.6080000000000001</v>
      </c>
      <c r="CF140" s="105">
        <v>3.4750000000000001</v>
      </c>
      <c r="CG140" s="105">
        <v>3.698</v>
      </c>
      <c r="CH140" s="105">
        <v>3.69</v>
      </c>
      <c r="CI140" s="105">
        <v>3.7320000000000002</v>
      </c>
      <c r="CJ140" s="106">
        <v>3.5310000000000001</v>
      </c>
      <c r="CK140" s="106">
        <v>3.52</v>
      </c>
      <c r="CL140" s="105">
        <v>3.4409999999999998</v>
      </c>
      <c r="CM140" s="105">
        <v>3.39</v>
      </c>
      <c r="CN140" s="105">
        <v>3.37</v>
      </c>
      <c r="CO140" s="105">
        <v>3.31</v>
      </c>
      <c r="CP140" s="105">
        <v>3.5009999999999999</v>
      </c>
      <c r="CQ140" s="105">
        <v>3.62</v>
      </c>
      <c r="CR140" s="105">
        <v>3.5289999999999999</v>
      </c>
      <c r="CS140" s="105">
        <v>3.5430000000000001</v>
      </c>
      <c r="CT140" s="105">
        <v>3.427</v>
      </c>
      <c r="CU140" s="105">
        <v>3.5630000000000002</v>
      </c>
      <c r="CV140" s="105">
        <v>3.5139999999999998</v>
      </c>
      <c r="CW140" s="105">
        <v>3.4220000000000002</v>
      </c>
      <c r="CX140" s="105">
        <v>3.5409999999999999</v>
      </c>
      <c r="CY140" s="105">
        <v>3.577</v>
      </c>
      <c r="CZ140" s="105">
        <v>3.476</v>
      </c>
      <c r="DA140" s="105">
        <v>3.5569999999999999</v>
      </c>
      <c r="DB140" s="105">
        <v>4.0449999999999999</v>
      </c>
      <c r="DC140" s="105">
        <v>3.5049999999999999</v>
      </c>
      <c r="DD140" s="105">
        <v>3.5030000000000001</v>
      </c>
      <c r="DE140" s="105">
        <v>3.5489999999999999</v>
      </c>
      <c r="DF140" s="105">
        <v>3.3570000000000002</v>
      </c>
      <c r="DG140" s="105">
        <v>3.524</v>
      </c>
      <c r="DH140" s="115">
        <v>2.8248980000000001</v>
      </c>
      <c r="DI140" s="115">
        <v>3.1248740000000002</v>
      </c>
      <c r="DJ140" s="115">
        <v>3.5717880000000002</v>
      </c>
      <c r="DK140" s="115">
        <v>3.1120420000000002</v>
      </c>
      <c r="DL140" s="115">
        <v>3.183799</v>
      </c>
      <c r="DM140" s="115">
        <v>3.6955990000000001</v>
      </c>
    </row>
    <row r="141" spans="1:117">
      <c r="A141" s="1">
        <f t="shared" si="12"/>
        <v>139</v>
      </c>
      <c r="B141" s="2" t="s">
        <v>371</v>
      </c>
      <c r="C141" s="4">
        <v>11</v>
      </c>
      <c r="D141" s="4">
        <f t="shared" si="20"/>
        <v>1016</v>
      </c>
      <c r="E141" s="4" t="s">
        <v>128</v>
      </c>
      <c r="F141" s="4">
        <v>1</v>
      </c>
      <c r="G141" s="4" t="s">
        <v>11</v>
      </c>
      <c r="H141" s="4" t="s">
        <v>12</v>
      </c>
      <c r="I141" s="4"/>
      <c r="J141" s="5">
        <v>87.9</v>
      </c>
      <c r="K141" s="63">
        <v>0</v>
      </c>
      <c r="L141" s="99">
        <v>4.1859999999999999</v>
      </c>
      <c r="M141" s="7" t="s">
        <v>113</v>
      </c>
      <c r="N141" s="3" t="s">
        <v>205</v>
      </c>
      <c r="O141" s="6">
        <v>4.2309999999999999</v>
      </c>
      <c r="P141" s="6">
        <v>4.0940000000000003</v>
      </c>
      <c r="Q141" s="6">
        <v>4.6029999999999998</v>
      </c>
      <c r="R141" s="54"/>
      <c r="S141" s="6">
        <v>4.4509999999999996</v>
      </c>
      <c r="T141" s="6">
        <v>4.3010000000000002</v>
      </c>
      <c r="U141" s="6">
        <v>4.2889999999999997</v>
      </c>
      <c r="V141" s="6">
        <v>4.2629999999999999</v>
      </c>
      <c r="W141" s="6">
        <v>4.1689999999999996</v>
      </c>
      <c r="X141" s="54"/>
      <c r="Y141" s="6">
        <v>4.3769999999999998</v>
      </c>
      <c r="Z141" s="6">
        <v>4.5369999999999999</v>
      </c>
      <c r="AA141" s="6">
        <v>4.3970000000000002</v>
      </c>
      <c r="AB141" s="6">
        <v>4.1189999999999998</v>
      </c>
      <c r="AC141" s="6">
        <v>3.93</v>
      </c>
      <c r="AD141" s="6">
        <v>4.4749999999999996</v>
      </c>
      <c r="AE141" s="6">
        <f t="shared" ref="AE141" si="22">AVERAGE(AC141:AD141)</f>
        <v>4.2024999999999997</v>
      </c>
      <c r="AF141" s="103">
        <v>3.613</v>
      </c>
      <c r="AG141" s="103">
        <v>3.669</v>
      </c>
      <c r="AH141" s="103">
        <v>3.8010000000000002</v>
      </c>
      <c r="AI141" s="103">
        <v>3.891</v>
      </c>
      <c r="AJ141" s="103">
        <v>4.0259999999999998</v>
      </c>
      <c r="AK141" s="103">
        <v>3.9020000000000001</v>
      </c>
      <c r="AL141" s="103">
        <v>3.9089999999999998</v>
      </c>
      <c r="AM141" s="103">
        <v>4.29</v>
      </c>
      <c r="AN141" s="103">
        <v>4.1210000000000004</v>
      </c>
      <c r="AO141" s="103">
        <v>3.9060000000000001</v>
      </c>
      <c r="AP141" s="103">
        <v>4.1630000000000003</v>
      </c>
      <c r="AQ141" s="103">
        <v>4.1310000000000002</v>
      </c>
      <c r="AR141" s="103">
        <v>4.3330000000000002</v>
      </c>
      <c r="AS141" s="103">
        <v>4.03</v>
      </c>
      <c r="AT141" s="103">
        <v>4.008</v>
      </c>
      <c r="AU141" s="103">
        <v>4.2290000000000001</v>
      </c>
      <c r="AV141" s="103">
        <v>3.746</v>
      </c>
      <c r="AW141" s="103">
        <v>3.9849999999999999</v>
      </c>
      <c r="AX141" s="103">
        <v>4.7069999999999999</v>
      </c>
      <c r="AY141" s="103">
        <v>4.2009999999999996</v>
      </c>
      <c r="AZ141" s="103">
        <v>4.3600000000000003</v>
      </c>
      <c r="BA141" s="103">
        <v>4.3869999999999996</v>
      </c>
      <c r="BB141" s="103">
        <v>4.4749999999999996</v>
      </c>
      <c r="BC141" s="103">
        <v>4.4130000000000003</v>
      </c>
      <c r="BD141" s="103">
        <v>4.1319999999999997</v>
      </c>
      <c r="BE141" s="103">
        <v>3.9129999999999998</v>
      </c>
      <c r="BF141" s="103">
        <v>4.1550000000000002</v>
      </c>
      <c r="BG141" s="103">
        <v>4.2380000000000004</v>
      </c>
      <c r="BH141" s="103">
        <v>4.3940000000000001</v>
      </c>
      <c r="BI141" s="103">
        <v>4.6020000000000003</v>
      </c>
      <c r="BJ141" s="103">
        <v>4.4889999999999999</v>
      </c>
      <c r="BK141" s="103">
        <v>3.335</v>
      </c>
      <c r="BL141" s="103">
        <v>4.1669999999999998</v>
      </c>
      <c r="BM141" s="103">
        <v>4.1239999999999997</v>
      </c>
      <c r="BN141" s="103">
        <v>4.05</v>
      </c>
      <c r="BO141" s="103">
        <v>3.8860000000000001</v>
      </c>
      <c r="BP141" s="103">
        <v>4.0860000000000003</v>
      </c>
      <c r="BQ141" s="113">
        <v>3.4876360000000002</v>
      </c>
      <c r="BR141" s="87">
        <v>3.907645</v>
      </c>
      <c r="BS141" s="87">
        <v>4.920617</v>
      </c>
      <c r="BT141" s="87">
        <v>3.9971649999999999</v>
      </c>
      <c r="BU141" s="87">
        <v>4.0693770000000002</v>
      </c>
      <c r="BV141" s="87">
        <v>4.710458</v>
      </c>
      <c r="BW141" s="105">
        <v>3.6259999999999999</v>
      </c>
      <c r="BX141" s="105">
        <v>3.6850000000000001</v>
      </c>
      <c r="BY141" s="105">
        <v>3.819</v>
      </c>
      <c r="BZ141" s="105">
        <v>3.9140000000000001</v>
      </c>
      <c r="CA141" s="105">
        <v>4.0590000000000002</v>
      </c>
      <c r="CB141" s="105">
        <v>3.9279999999999999</v>
      </c>
      <c r="CC141" s="105">
        <v>3.9369999999999998</v>
      </c>
      <c r="CD141" s="105">
        <v>4.3280000000000003</v>
      </c>
      <c r="CE141" s="105">
        <v>4.1660000000000004</v>
      </c>
      <c r="CF141" s="105">
        <v>3.9630000000000001</v>
      </c>
      <c r="CG141" s="105">
        <v>4.2309999999999999</v>
      </c>
      <c r="CH141" s="105">
        <v>4.2009999999999996</v>
      </c>
      <c r="CI141" s="105">
        <v>4.375</v>
      </c>
      <c r="CJ141" s="105">
        <v>4.0609999999999999</v>
      </c>
      <c r="CK141" s="105">
        <v>4.0410000000000004</v>
      </c>
      <c r="CL141" s="105">
        <v>4.258</v>
      </c>
      <c r="CM141" s="105">
        <v>3.7629999999999999</v>
      </c>
      <c r="CN141" s="105">
        <v>4.0069999999999997</v>
      </c>
      <c r="CO141" s="105">
        <v>4.7489999999999997</v>
      </c>
      <c r="CP141" s="105">
        <v>4.2300000000000004</v>
      </c>
      <c r="CQ141" s="105">
        <v>4.3929999999999998</v>
      </c>
      <c r="CR141" s="105">
        <v>4.42</v>
      </c>
      <c r="CS141" s="105">
        <v>4.5110000000000001</v>
      </c>
      <c r="CT141" s="105">
        <v>4.45</v>
      </c>
      <c r="CU141" s="105">
        <v>4.2089999999999996</v>
      </c>
      <c r="CV141" s="105">
        <v>3.9409999999999998</v>
      </c>
      <c r="CW141" s="105">
        <v>4.1929999999999996</v>
      </c>
      <c r="CX141" s="105">
        <v>4.2919999999999998</v>
      </c>
      <c r="CY141" s="105">
        <v>4.4480000000000004</v>
      </c>
      <c r="CZ141" s="105">
        <v>4.6660000000000004</v>
      </c>
      <c r="DA141" s="105">
        <v>4.5599999999999996</v>
      </c>
      <c r="DB141" s="105">
        <v>3.3439999999999999</v>
      </c>
      <c r="DC141" s="105">
        <v>4.2190000000000003</v>
      </c>
      <c r="DD141" s="105">
        <v>4.1779999999999999</v>
      </c>
      <c r="DE141" s="105">
        <v>4.0750000000000002</v>
      </c>
      <c r="DF141" s="105">
        <v>3.9060000000000001</v>
      </c>
      <c r="DG141" s="105">
        <v>4.1130000000000004</v>
      </c>
      <c r="DH141" s="115">
        <v>3.5191840000000001</v>
      </c>
      <c r="DI141" s="115">
        <v>3.93865</v>
      </c>
      <c r="DJ141" s="115">
        <v>4.9478569999999999</v>
      </c>
      <c r="DK141" s="115">
        <v>4.0309020000000002</v>
      </c>
      <c r="DL141" s="115">
        <v>4.1011749999999996</v>
      </c>
      <c r="DM141" s="115">
        <v>4.736586</v>
      </c>
    </row>
    <row r="142" spans="1:117">
      <c r="A142" s="1">
        <f t="shared" si="12"/>
        <v>140</v>
      </c>
      <c r="B142" s="19"/>
      <c r="C142" s="4">
        <v>11</v>
      </c>
      <c r="D142" s="4">
        <f t="shared" si="20"/>
        <v>1016</v>
      </c>
      <c r="E142" s="4" t="s">
        <v>118</v>
      </c>
      <c r="F142" s="4">
        <v>1</v>
      </c>
      <c r="G142" s="4" t="s">
        <v>11</v>
      </c>
      <c r="H142" s="4" t="s">
        <v>17</v>
      </c>
      <c r="I142" s="4"/>
      <c r="J142" s="5">
        <v>86.1</v>
      </c>
      <c r="K142" s="63">
        <v>1.2999999999999999E-2</v>
      </c>
      <c r="L142" s="100">
        <v>4.5999999999999996</v>
      </c>
      <c r="M142" s="7" t="s">
        <v>113</v>
      </c>
      <c r="N142" s="3" t="s">
        <v>205</v>
      </c>
      <c r="O142" s="6">
        <v>4.8040000000000003</v>
      </c>
      <c r="P142" s="6">
        <v>4.7409999999999997</v>
      </c>
      <c r="Q142" s="6">
        <v>5.1420000000000003</v>
      </c>
      <c r="R142" s="54"/>
      <c r="S142" s="6">
        <v>4.7969999999999997</v>
      </c>
      <c r="T142" s="6">
        <v>4.7030000000000003</v>
      </c>
      <c r="U142" s="6">
        <v>4.7050000000000001</v>
      </c>
      <c r="V142" s="6">
        <v>4.6580000000000004</v>
      </c>
      <c r="W142" s="6">
        <v>4.6029999999999998</v>
      </c>
      <c r="X142" s="54"/>
      <c r="Y142" s="6">
        <v>4.6440000000000001</v>
      </c>
      <c r="Z142" s="6">
        <v>4.6369999999999996</v>
      </c>
      <c r="AA142" s="6">
        <v>4.6769999999999996</v>
      </c>
      <c r="AB142" s="6">
        <v>4.4109999999999996</v>
      </c>
      <c r="AC142" s="6">
        <v>4.7489999999999997</v>
      </c>
      <c r="AD142" s="6">
        <v>4.5529999999999999</v>
      </c>
      <c r="AE142" s="6">
        <f t="shared" ref="AE142:AE153" si="23">AVERAGE(AC142:AD142)</f>
        <v>4.6509999999999998</v>
      </c>
      <c r="AF142" s="103">
        <v>4.5369999999999999</v>
      </c>
      <c r="AG142" s="103">
        <v>4.5449999999999999</v>
      </c>
      <c r="AH142" s="103">
        <v>4.601</v>
      </c>
      <c r="AI142" s="103">
        <v>4.7169999999999996</v>
      </c>
      <c r="AJ142" s="103">
        <v>4.8390000000000004</v>
      </c>
      <c r="AK142" s="103">
        <v>4.5979999999999999</v>
      </c>
      <c r="AL142" s="103">
        <v>4.6029999999999998</v>
      </c>
      <c r="AM142" s="103">
        <v>4.9459999999999997</v>
      </c>
      <c r="AN142" s="103">
        <v>4.9379999999999997</v>
      </c>
      <c r="AO142" s="103">
        <v>4.8099999999999996</v>
      </c>
      <c r="AP142" s="103">
        <v>4.9969999999999999</v>
      </c>
      <c r="AQ142" s="103">
        <v>4.9850000000000003</v>
      </c>
      <c r="AR142" s="103">
        <v>4.99</v>
      </c>
      <c r="AS142" s="103">
        <v>4.8970000000000002</v>
      </c>
      <c r="AT142" s="103">
        <v>4.8949999999999996</v>
      </c>
      <c r="AU142" s="103">
        <v>4.8840000000000003</v>
      </c>
      <c r="AV142" s="103">
        <v>4.5720000000000001</v>
      </c>
      <c r="AW142" s="103">
        <v>4.7190000000000003</v>
      </c>
      <c r="AX142" s="103">
        <v>5.0430000000000001</v>
      </c>
      <c r="AY142" s="103">
        <v>4.8840000000000003</v>
      </c>
      <c r="AZ142" s="103">
        <v>4.97</v>
      </c>
      <c r="BA142" s="103">
        <v>5.008</v>
      </c>
      <c r="BB142" s="103">
        <v>5.077</v>
      </c>
      <c r="BC142" s="103">
        <v>5.069</v>
      </c>
      <c r="BD142" s="103">
        <v>5.077</v>
      </c>
      <c r="BE142" s="103">
        <v>4.6079999999999997</v>
      </c>
      <c r="BF142" s="103">
        <v>4.8410000000000002</v>
      </c>
      <c r="BG142" s="103">
        <v>4.7960000000000003</v>
      </c>
      <c r="BH142" s="103">
        <v>4.891</v>
      </c>
      <c r="BI142" s="103">
        <v>5.109</v>
      </c>
      <c r="BJ142" s="103">
        <v>4.9450000000000003</v>
      </c>
      <c r="BK142" s="103">
        <v>4.0869999999999997</v>
      </c>
      <c r="BL142" s="103">
        <v>4.4660000000000002</v>
      </c>
      <c r="BM142" s="103">
        <v>4.3730000000000002</v>
      </c>
      <c r="BN142" s="103">
        <v>4.8079999999999998</v>
      </c>
      <c r="BO142" s="103">
        <v>4.6660000000000004</v>
      </c>
      <c r="BP142" s="103">
        <v>4.7729999999999997</v>
      </c>
      <c r="BQ142" s="114">
        <v>4.2884180000000001</v>
      </c>
      <c r="BR142" s="87">
        <v>4.5811710000000003</v>
      </c>
      <c r="BS142" s="87">
        <v>5.2220240000000002</v>
      </c>
      <c r="BT142" s="87">
        <v>4.636145</v>
      </c>
      <c r="BU142" s="87">
        <v>4.6829260000000001</v>
      </c>
      <c r="BV142" s="87">
        <v>5.1514660000000001</v>
      </c>
      <c r="BW142" s="105">
        <v>4.6020000000000003</v>
      </c>
      <c r="BX142" s="105">
        <v>4.6079999999999997</v>
      </c>
      <c r="BY142" s="105">
        <v>4.6630000000000003</v>
      </c>
      <c r="BZ142" s="105">
        <v>4.78</v>
      </c>
      <c r="CA142" s="105">
        <v>4.9109999999999996</v>
      </c>
      <c r="CB142" s="105">
        <v>4.665</v>
      </c>
      <c r="CC142" s="105">
        <v>4.6689999999999996</v>
      </c>
      <c r="CD142" s="105">
        <v>5.0199999999999996</v>
      </c>
      <c r="CE142" s="105">
        <v>5.0149999999999997</v>
      </c>
      <c r="CF142" s="105">
        <v>4.8810000000000002</v>
      </c>
      <c r="CG142" s="105">
        <v>5.0739999999999998</v>
      </c>
      <c r="CH142" s="105">
        <v>5.0629999999999997</v>
      </c>
      <c r="CI142" s="105">
        <v>5.0679999999999996</v>
      </c>
      <c r="CJ142" s="105">
        <v>4.9660000000000002</v>
      </c>
      <c r="CK142" s="105">
        <v>4.9640000000000004</v>
      </c>
      <c r="CL142" s="105">
        <v>4.96</v>
      </c>
      <c r="CM142" s="105">
        <v>4.6310000000000002</v>
      </c>
      <c r="CN142" s="105">
        <v>4.7830000000000004</v>
      </c>
      <c r="CO142" s="105">
        <v>5.1779999999999999</v>
      </c>
      <c r="CP142" s="105">
        <v>4.9580000000000002</v>
      </c>
      <c r="CQ142" s="105">
        <v>5.056</v>
      </c>
      <c r="CR142" s="105">
        <v>5.1029999999999998</v>
      </c>
      <c r="CS142" s="105">
        <v>5.1959999999999997</v>
      </c>
      <c r="CT142" s="105">
        <v>5.1879999999999997</v>
      </c>
      <c r="CU142" s="105">
        <v>5.1719999999999997</v>
      </c>
      <c r="CV142" s="105">
        <v>4.7169999999999996</v>
      </c>
      <c r="CW142" s="105">
        <v>4.9340000000000002</v>
      </c>
      <c r="CX142" s="105">
        <v>4.9480000000000004</v>
      </c>
      <c r="CY142" s="105">
        <v>5.0579999999999998</v>
      </c>
      <c r="CZ142" s="105">
        <v>5.2629999999999999</v>
      </c>
      <c r="DA142" s="105">
        <v>5.1360000000000001</v>
      </c>
      <c r="DB142" s="105">
        <v>4.3520000000000003</v>
      </c>
      <c r="DC142" s="105">
        <v>4.6829999999999998</v>
      </c>
      <c r="DD142" s="105">
        <v>4.6130000000000004</v>
      </c>
      <c r="DE142" s="105">
        <v>4.8760000000000003</v>
      </c>
      <c r="DF142" s="105">
        <v>4.7320000000000002</v>
      </c>
      <c r="DG142" s="105">
        <v>4.843</v>
      </c>
      <c r="DH142" s="115">
        <v>4.3459909999999997</v>
      </c>
      <c r="DI142" s="115">
        <v>4.6407610000000004</v>
      </c>
      <c r="DJ142" s="115">
        <v>5.3247640000000001</v>
      </c>
      <c r="DK142" s="115">
        <v>4.698658</v>
      </c>
      <c r="DL142" s="115">
        <v>4.7443720000000003</v>
      </c>
      <c r="DM142" s="115">
        <v>5.2545320000000002</v>
      </c>
    </row>
    <row r="143" spans="1:117">
      <c r="A143" s="1">
        <f t="shared" ref="A143:A156" si="24">A142+1</f>
        <v>141</v>
      </c>
      <c r="B143" s="2"/>
      <c r="C143" s="4">
        <v>11</v>
      </c>
      <c r="D143" s="4">
        <f t="shared" si="20"/>
        <v>1016</v>
      </c>
      <c r="E143" s="4" t="s">
        <v>131</v>
      </c>
      <c r="F143" s="4">
        <v>1</v>
      </c>
      <c r="G143" s="4" t="s">
        <v>11</v>
      </c>
      <c r="H143" s="4" t="s">
        <v>12</v>
      </c>
      <c r="I143" s="4"/>
      <c r="J143" s="5">
        <v>87.3</v>
      </c>
      <c r="K143" s="68"/>
      <c r="L143" s="99">
        <v>4.794999999999999</v>
      </c>
      <c r="M143" s="7" t="s">
        <v>113</v>
      </c>
      <c r="N143" s="3" t="s">
        <v>205</v>
      </c>
      <c r="O143" s="6">
        <v>4.8529999999999998</v>
      </c>
      <c r="P143" s="6">
        <v>4.7910000000000004</v>
      </c>
      <c r="Q143" s="6">
        <v>5.1580000000000004</v>
      </c>
      <c r="R143" s="54"/>
      <c r="S143" s="6">
        <v>5.0389999999999997</v>
      </c>
      <c r="T143" s="6">
        <v>4.9130000000000003</v>
      </c>
      <c r="U143" s="6">
        <v>4.9039999999999999</v>
      </c>
      <c r="V143" s="6">
        <v>4.8730000000000002</v>
      </c>
      <c r="W143" s="6">
        <v>4.7910000000000004</v>
      </c>
      <c r="X143" s="54"/>
      <c r="Y143" s="6">
        <v>4.9420000000000002</v>
      </c>
      <c r="Z143" s="6">
        <v>5.1219999999999999</v>
      </c>
      <c r="AA143" s="6">
        <v>4.7919999999999998</v>
      </c>
      <c r="AB143" s="6">
        <v>4.6929999999999996</v>
      </c>
      <c r="AC143" s="6">
        <v>4.5890000000000004</v>
      </c>
      <c r="AD143" s="6">
        <v>5.0250000000000004</v>
      </c>
      <c r="AE143" s="6">
        <f t="shared" si="23"/>
        <v>4.8070000000000004</v>
      </c>
      <c r="AF143" s="103">
        <v>4.2830000000000004</v>
      </c>
      <c r="AG143" s="103">
        <v>4.3239999999999998</v>
      </c>
      <c r="AH143" s="103">
        <v>4.4450000000000003</v>
      </c>
      <c r="AI143" s="103">
        <v>4.5339999999999998</v>
      </c>
      <c r="AJ143" s="103">
        <v>4.6619999999999999</v>
      </c>
      <c r="AK143" s="103">
        <v>4.53</v>
      </c>
      <c r="AL143" s="103">
        <v>4.5410000000000004</v>
      </c>
      <c r="AM143" s="103">
        <v>4.9089999999999998</v>
      </c>
      <c r="AN143" s="103">
        <v>4.7329999999999997</v>
      </c>
      <c r="AO143" s="103">
        <v>4.4740000000000002</v>
      </c>
      <c r="AP143" s="103">
        <v>4.7279999999999998</v>
      </c>
      <c r="AQ143" s="103">
        <v>4.7060000000000004</v>
      </c>
      <c r="AR143" s="103">
        <v>4.9219999999999997</v>
      </c>
      <c r="AS143" s="103">
        <v>4.665</v>
      </c>
      <c r="AT143" s="103">
        <v>4.641</v>
      </c>
      <c r="AU143" s="103">
        <v>4.8170000000000002</v>
      </c>
      <c r="AV143" s="103">
        <v>4.391</v>
      </c>
      <c r="AW143" s="103">
        <v>4.6079999999999997</v>
      </c>
      <c r="AX143" s="103">
        <v>5.2140000000000004</v>
      </c>
      <c r="AY143" s="103">
        <v>4.7930000000000001</v>
      </c>
      <c r="AZ143" s="103">
        <v>4.9249999999999998</v>
      </c>
      <c r="BA143" s="103">
        <v>4.9489999999999998</v>
      </c>
      <c r="BB143" s="103">
        <v>5.0229999999999997</v>
      </c>
      <c r="BC143" s="103">
        <v>4.95</v>
      </c>
      <c r="BD143" s="103">
        <v>4.6660000000000004</v>
      </c>
      <c r="BE143" s="103">
        <v>4.5640000000000001</v>
      </c>
      <c r="BF143" s="103">
        <v>4.7779999999999996</v>
      </c>
      <c r="BG143" s="103">
        <v>4.8529999999999998</v>
      </c>
      <c r="BH143" s="103">
        <v>4.9690000000000003</v>
      </c>
      <c r="BI143" s="103">
        <v>5.15</v>
      </c>
      <c r="BJ143" s="103">
        <v>5.0620000000000003</v>
      </c>
      <c r="BK143" s="103">
        <v>4.0490000000000004</v>
      </c>
      <c r="BL143" s="103">
        <v>4.7560000000000002</v>
      </c>
      <c r="BM143" s="103">
        <v>4.7140000000000004</v>
      </c>
      <c r="BN143" s="103">
        <v>4.6879999999999997</v>
      </c>
      <c r="BO143" s="103">
        <v>4.5330000000000004</v>
      </c>
      <c r="BP143" s="103">
        <v>4.7149999999999999</v>
      </c>
      <c r="BQ143" s="113">
        <v>4.065061</v>
      </c>
      <c r="BR143" s="87">
        <v>4.5056139999999996</v>
      </c>
      <c r="BS143" s="87">
        <v>5.59049</v>
      </c>
      <c r="BT143" s="87">
        <v>4.5778309999999998</v>
      </c>
      <c r="BU143" s="87">
        <v>4.6652250000000004</v>
      </c>
      <c r="BV143" s="87">
        <v>5.3829820000000002</v>
      </c>
      <c r="BW143" s="105">
        <v>4.2949999999999999</v>
      </c>
      <c r="BX143" s="105">
        <v>4.34</v>
      </c>
      <c r="BY143" s="105">
        <v>4.4630000000000001</v>
      </c>
      <c r="BZ143" s="105">
        <v>4.5556000000000001</v>
      </c>
      <c r="CA143" s="105">
        <v>4.6950000000000003</v>
      </c>
      <c r="CB143" s="105">
        <v>4.5570000000000004</v>
      </c>
      <c r="CC143" s="105">
        <v>4.5679999999999996</v>
      </c>
      <c r="CD143" s="105">
        <v>4.9450000000000003</v>
      </c>
      <c r="CE143" s="105">
        <v>4.7759999999999998</v>
      </c>
      <c r="CF143" s="105">
        <v>4.5289999999999999</v>
      </c>
      <c r="CG143" s="105">
        <v>4.7930000000000001</v>
      </c>
      <c r="CH143" s="105">
        <v>4.7720000000000002</v>
      </c>
      <c r="CI143" s="105">
        <v>4.9610000000000003</v>
      </c>
      <c r="CJ143" s="105">
        <v>4.6950000000000003</v>
      </c>
      <c r="CK143" s="105">
        <v>4.673</v>
      </c>
      <c r="CL143" s="105">
        <v>4.843</v>
      </c>
      <c r="CM143" s="105">
        <v>4.407</v>
      </c>
      <c r="CN143" s="105">
        <v>4.6289999999999996</v>
      </c>
      <c r="CO143" s="105">
        <v>5.2510000000000003</v>
      </c>
      <c r="CP143" s="105">
        <v>4.82</v>
      </c>
      <c r="CQ143" s="105">
        <v>4.9550000000000001</v>
      </c>
      <c r="CR143" s="105">
        <v>4.9800000000000004</v>
      </c>
      <c r="CS143" s="105">
        <v>5.0549999999999997</v>
      </c>
      <c r="CT143" s="105">
        <v>4.9820000000000002</v>
      </c>
      <c r="CU143" s="105">
        <v>4.7370000000000001</v>
      </c>
      <c r="CV143" s="105">
        <v>4.5949999999999998</v>
      </c>
      <c r="CW143" s="105">
        <v>4.8150000000000004</v>
      </c>
      <c r="CX143" s="105">
        <v>4.9080000000000004</v>
      </c>
      <c r="CY143" s="105">
        <v>5.0199999999999996</v>
      </c>
      <c r="CZ143" s="105">
        <v>5.2089999999999996</v>
      </c>
      <c r="DA143" s="105">
        <v>5.1310000000000002</v>
      </c>
      <c r="DB143" s="105">
        <v>4.0659999999999998</v>
      </c>
      <c r="DC143" s="105">
        <v>4.8070000000000004</v>
      </c>
      <c r="DD143" s="105">
        <v>4.7679999999999998</v>
      </c>
      <c r="DE143" s="105">
        <v>4.7130000000000001</v>
      </c>
      <c r="DF143" s="105">
        <v>4.5529999999999999</v>
      </c>
      <c r="DG143" s="105">
        <v>4.7409999999999997</v>
      </c>
      <c r="DH143" s="115">
        <v>4.0953020000000002</v>
      </c>
      <c r="DI143" s="115">
        <v>4.535031</v>
      </c>
      <c r="DJ143" s="115">
        <v>5.6174780000000002</v>
      </c>
      <c r="DK143" s="115">
        <v>4.6091290000000003</v>
      </c>
      <c r="DL143" s="115">
        <v>4.6950060000000002</v>
      </c>
      <c r="DM143" s="115">
        <v>5.4090439999999997</v>
      </c>
    </row>
    <row r="144" spans="1:117">
      <c r="A144" s="1">
        <f t="shared" si="24"/>
        <v>142</v>
      </c>
      <c r="B144" s="19"/>
      <c r="C144" s="4">
        <v>11</v>
      </c>
      <c r="D144" s="4">
        <f t="shared" si="20"/>
        <v>1016</v>
      </c>
      <c r="E144" s="4" t="s">
        <v>137</v>
      </c>
      <c r="F144" s="4">
        <v>1</v>
      </c>
      <c r="G144" s="4" t="s">
        <v>11</v>
      </c>
      <c r="H144" s="4" t="s">
        <v>17</v>
      </c>
      <c r="I144" s="4"/>
      <c r="J144" s="5">
        <v>88.8</v>
      </c>
      <c r="K144" s="63">
        <v>0</v>
      </c>
      <c r="L144" s="99">
        <v>4.9420000000000002</v>
      </c>
      <c r="M144" s="7" t="s">
        <v>113</v>
      </c>
      <c r="N144" s="3" t="s">
        <v>205</v>
      </c>
      <c r="O144" s="6">
        <v>5.532</v>
      </c>
      <c r="P144" s="6">
        <v>4.9459999999999997</v>
      </c>
      <c r="Q144" s="6">
        <v>5.53</v>
      </c>
      <c r="R144" s="54"/>
      <c r="S144" s="6">
        <v>5.1890000000000001</v>
      </c>
      <c r="T144" s="6">
        <v>5.0149999999999997</v>
      </c>
      <c r="U144" s="6">
        <v>5.0129999999999999</v>
      </c>
      <c r="V144" s="6">
        <v>4.9820000000000002</v>
      </c>
      <c r="W144" s="6">
        <v>4.8890000000000002</v>
      </c>
      <c r="X144" s="54"/>
      <c r="Y144" s="6">
        <v>5.181</v>
      </c>
      <c r="Z144" s="6">
        <v>5.1719999999999997</v>
      </c>
      <c r="AA144" s="6">
        <v>5.1029999999999998</v>
      </c>
      <c r="AB144" s="6">
        <v>4.9530000000000003</v>
      </c>
      <c r="AC144" s="6">
        <v>4.9589999999999996</v>
      </c>
      <c r="AD144" s="6">
        <v>4.8639999999999999</v>
      </c>
      <c r="AE144" s="6">
        <f t="shared" si="23"/>
        <v>4.9115000000000002</v>
      </c>
      <c r="AF144" s="103">
        <v>4.3840000000000003</v>
      </c>
      <c r="AG144" s="103">
        <v>4.3959999999999999</v>
      </c>
      <c r="AH144" s="103">
        <v>4.47</v>
      </c>
      <c r="AI144" s="103">
        <v>4.59</v>
      </c>
      <c r="AJ144" s="103">
        <v>4.6779999999999999</v>
      </c>
      <c r="AK144" s="103">
        <v>4.5140000000000002</v>
      </c>
      <c r="AL144" s="103">
        <v>4.5350000000000001</v>
      </c>
      <c r="AM144" s="103">
        <v>4.8659999999999997</v>
      </c>
      <c r="AN144" s="103">
        <v>4.8339999999999996</v>
      </c>
      <c r="AO144" s="103">
        <v>4.7249999999999996</v>
      </c>
      <c r="AP144" s="103">
        <v>4.9160000000000004</v>
      </c>
      <c r="AQ144" s="103">
        <v>4.9249999999999998</v>
      </c>
      <c r="AR144" s="103">
        <v>4.96</v>
      </c>
      <c r="AS144" s="103">
        <v>4.7699999999999996</v>
      </c>
      <c r="AT144" s="103">
        <v>4.7590000000000003</v>
      </c>
      <c r="AU144" s="103">
        <v>4.7969999999999997</v>
      </c>
      <c r="AV144" s="103">
        <v>4.4249999999999998</v>
      </c>
      <c r="AW144" s="103">
        <v>4.6040000000000001</v>
      </c>
      <c r="AX144" s="103">
        <v>5.0430000000000001</v>
      </c>
      <c r="AY144" s="103">
        <v>4.7939999999999996</v>
      </c>
      <c r="AZ144" s="103">
        <v>4.9059999999999997</v>
      </c>
      <c r="BA144" s="103">
        <v>4.9560000000000004</v>
      </c>
      <c r="BB144" s="103">
        <v>5.0519999999999996</v>
      </c>
      <c r="BC144" s="103">
        <v>5.0469999999999997</v>
      </c>
      <c r="BD144" s="103">
        <v>4.9429999999999996</v>
      </c>
      <c r="BE144" s="103">
        <v>4.7610000000000001</v>
      </c>
      <c r="BF144" s="103">
        <v>4.8639999999999999</v>
      </c>
      <c r="BG144" s="103">
        <v>5.0519999999999996</v>
      </c>
      <c r="BH144" s="103">
        <v>5.093</v>
      </c>
      <c r="BI144" s="103">
        <v>5.1959999999999997</v>
      </c>
      <c r="BJ144" s="103">
        <v>5.2140000000000004</v>
      </c>
      <c r="BK144" s="103">
        <v>4.9850000000000003</v>
      </c>
      <c r="BL144" s="103">
        <v>4.944</v>
      </c>
      <c r="BM144" s="103">
        <v>4.923</v>
      </c>
      <c r="BN144" s="103">
        <v>4.6989999999999998</v>
      </c>
      <c r="BO144" s="103">
        <v>4.5460000000000003</v>
      </c>
      <c r="BP144" s="103">
        <v>4.6829999999999998</v>
      </c>
      <c r="BQ144" s="114">
        <v>4.2320409999999997</v>
      </c>
      <c r="BR144" s="87">
        <v>4.5879529999999997</v>
      </c>
      <c r="BS144" s="87">
        <v>5.3283149999999999</v>
      </c>
      <c r="BT144" s="87">
        <v>4.5743609999999997</v>
      </c>
      <c r="BU144" s="87">
        <v>4.6902720000000002</v>
      </c>
      <c r="BV144" s="87">
        <v>5.2495219999999998</v>
      </c>
      <c r="BW144" s="105">
        <v>4.4770000000000003</v>
      </c>
      <c r="BX144" s="105">
        <v>4.492</v>
      </c>
      <c r="BY144" s="105">
        <v>4.569</v>
      </c>
      <c r="BZ144" s="105">
        <v>4.6920000000000002</v>
      </c>
      <c r="CA144" s="105">
        <v>4.7930000000000001</v>
      </c>
      <c r="CB144" s="105">
        <v>4.6269999999999998</v>
      </c>
      <c r="CC144" s="105">
        <v>4.6479999999999997</v>
      </c>
      <c r="CD144" s="105">
        <v>4.984</v>
      </c>
      <c r="CE144" s="105">
        <v>4.9539999999999997</v>
      </c>
      <c r="CF144" s="105">
        <v>4.843</v>
      </c>
      <c r="CG144" s="105">
        <v>5.0439999999999996</v>
      </c>
      <c r="CH144" s="105">
        <v>5.0519999999999996</v>
      </c>
      <c r="CI144" s="105">
        <v>5.0880000000000001</v>
      </c>
      <c r="CJ144" s="105">
        <v>4.8780000000000001</v>
      </c>
      <c r="CK144" s="105">
        <v>4.8689999999999998</v>
      </c>
      <c r="CL144" s="105">
        <v>4.9169999999999998</v>
      </c>
      <c r="CM144" s="105">
        <v>4.5250000000000004</v>
      </c>
      <c r="CN144" s="105">
        <v>4.7110000000000003</v>
      </c>
      <c r="CO144" s="105">
        <v>5.2190000000000003</v>
      </c>
      <c r="CP144" s="105">
        <v>4.9130000000000003</v>
      </c>
      <c r="CQ144" s="105">
        <v>5.0380000000000003</v>
      </c>
      <c r="CR144" s="105">
        <v>5.0890000000000004</v>
      </c>
      <c r="CS144" s="105">
        <v>5.1970000000000001</v>
      </c>
      <c r="CT144" s="105">
        <v>5.1909999999999998</v>
      </c>
      <c r="CU144" s="105">
        <v>5.085</v>
      </c>
      <c r="CV144" s="105">
        <v>4.8440000000000003</v>
      </c>
      <c r="CW144" s="105">
        <v>4.9690000000000003</v>
      </c>
      <c r="CX144" s="105">
        <v>5.1550000000000002</v>
      </c>
      <c r="CY144" s="105">
        <v>5.2190000000000003</v>
      </c>
      <c r="CZ144" s="105">
        <v>5.3460000000000001</v>
      </c>
      <c r="DA144" s="105">
        <v>5.3449999999999998</v>
      </c>
      <c r="DB144" s="105">
        <v>4.9829999999999997</v>
      </c>
      <c r="DC144" s="105">
        <v>5.0549999999999997</v>
      </c>
      <c r="DD144" s="105">
        <v>5.0350000000000001</v>
      </c>
      <c r="DE144" s="105">
        <v>4.806</v>
      </c>
      <c r="DF144" s="105">
        <v>4.6470000000000002</v>
      </c>
      <c r="DG144" s="105">
        <v>4.7930000000000001</v>
      </c>
      <c r="DH144" s="115">
        <v>4.3551130000000002</v>
      </c>
      <c r="DI144" s="115">
        <v>4.7180429999999998</v>
      </c>
      <c r="DJ144" s="115">
        <v>5.4999840000000004</v>
      </c>
      <c r="DK144" s="115">
        <v>4.696593</v>
      </c>
      <c r="DL144" s="115">
        <v>4.8202319999999999</v>
      </c>
      <c r="DM144" s="115">
        <v>5.4192210000000003</v>
      </c>
    </row>
    <row r="145" spans="1:117">
      <c r="A145" s="1">
        <f t="shared" si="24"/>
        <v>143</v>
      </c>
      <c r="B145" s="19"/>
      <c r="C145" s="4">
        <v>11</v>
      </c>
      <c r="D145" s="4">
        <f t="shared" si="20"/>
        <v>1016</v>
      </c>
      <c r="E145" s="4" t="s">
        <v>137</v>
      </c>
      <c r="F145" s="4">
        <v>1</v>
      </c>
      <c r="G145" s="4" t="s">
        <v>11</v>
      </c>
      <c r="H145" s="4" t="s">
        <v>17</v>
      </c>
      <c r="I145" s="4"/>
      <c r="J145" s="5">
        <v>87.4</v>
      </c>
      <c r="K145" s="63">
        <v>0.19700000000000001</v>
      </c>
      <c r="L145" s="99">
        <v>5.9210000000000003</v>
      </c>
      <c r="M145" s="7" t="s">
        <v>113</v>
      </c>
      <c r="N145" s="3" t="s">
        <v>205</v>
      </c>
      <c r="O145" s="6">
        <v>5.907</v>
      </c>
      <c r="P145" s="6">
        <v>5.8959999999999999</v>
      </c>
      <c r="Q145" s="6">
        <v>6.3449999999999998</v>
      </c>
      <c r="R145" s="54"/>
      <c r="S145" s="6">
        <v>6.1589999999999998</v>
      </c>
      <c r="T145" s="6">
        <v>6.0049999999999999</v>
      </c>
      <c r="U145" s="6">
        <v>5.9880000000000004</v>
      </c>
      <c r="V145" s="6">
        <v>5.9829999999999997</v>
      </c>
      <c r="W145" s="6">
        <v>5.9020000000000001</v>
      </c>
      <c r="X145" s="54"/>
      <c r="Y145" s="6">
        <v>5.9580000000000002</v>
      </c>
      <c r="Z145" s="6">
        <v>6.0890000000000004</v>
      </c>
      <c r="AA145" s="6">
        <v>6.03</v>
      </c>
      <c r="AB145" s="6">
        <v>5.7160000000000002</v>
      </c>
      <c r="AC145" s="6">
        <v>5.7430000000000003</v>
      </c>
      <c r="AD145" s="6">
        <v>5.9909999999999997</v>
      </c>
      <c r="AE145" s="6">
        <f t="shared" si="23"/>
        <v>5.867</v>
      </c>
      <c r="AF145" s="103">
        <v>5.399</v>
      </c>
      <c r="AG145" s="103">
        <v>5.4530000000000003</v>
      </c>
      <c r="AH145" s="103">
        <v>5.5449999999999999</v>
      </c>
      <c r="AI145" s="103">
        <v>5.6820000000000004</v>
      </c>
      <c r="AJ145" s="103">
        <v>5.819</v>
      </c>
      <c r="AK145" s="103">
        <v>5.6589999999999998</v>
      </c>
      <c r="AL145" s="103">
        <v>5.68</v>
      </c>
      <c r="AM145" s="103">
        <v>5.9950000000000001</v>
      </c>
      <c r="AN145" s="103">
        <v>5.9809999999999999</v>
      </c>
      <c r="AO145" s="103">
        <v>5.8419999999999996</v>
      </c>
      <c r="AP145" s="103">
        <v>5.9939999999999998</v>
      </c>
      <c r="AQ145" s="103">
        <v>6.024</v>
      </c>
      <c r="AR145" s="103">
        <v>6.0549999999999997</v>
      </c>
      <c r="AS145" s="103">
        <v>5.8879999999999999</v>
      </c>
      <c r="AT145" s="103">
        <v>5.8789999999999996</v>
      </c>
      <c r="AU145" s="103">
        <v>5.9569999999999999</v>
      </c>
      <c r="AV145" s="103">
        <v>5.5419999999999998</v>
      </c>
      <c r="AW145" s="103">
        <v>5.7240000000000002</v>
      </c>
      <c r="AX145" s="103">
        <v>6.2060000000000004</v>
      </c>
      <c r="AY145" s="103">
        <v>5.9560000000000004</v>
      </c>
      <c r="AZ145" s="103">
        <v>6.0330000000000004</v>
      </c>
      <c r="BA145" s="103">
        <v>6.1150000000000002</v>
      </c>
      <c r="BB145" s="103">
        <v>6.1989999999999998</v>
      </c>
      <c r="BC145" s="103">
        <v>6.2089999999999996</v>
      </c>
      <c r="BD145" s="103">
        <v>6.0960000000000001</v>
      </c>
      <c r="BE145" s="103">
        <v>5.6769999999999996</v>
      </c>
      <c r="BF145" s="103">
        <v>5.9119999999999999</v>
      </c>
      <c r="BG145" s="103">
        <v>5.992</v>
      </c>
      <c r="BH145" s="103">
        <v>6.0990000000000002</v>
      </c>
      <c r="BI145" s="103">
        <v>6.3140000000000001</v>
      </c>
      <c r="BJ145" s="103">
        <v>6.202</v>
      </c>
      <c r="BK145" s="103">
        <v>5.3250000000000002</v>
      </c>
      <c r="BL145" s="103">
        <v>5.8719999999999999</v>
      </c>
      <c r="BM145" s="103">
        <v>5.8380000000000001</v>
      </c>
      <c r="BN145" s="103">
        <v>5.84</v>
      </c>
      <c r="BO145" s="103">
        <v>5.6520000000000001</v>
      </c>
      <c r="BP145" s="103">
        <v>5.8079999999999998</v>
      </c>
      <c r="BQ145" s="114">
        <v>5.2799750000000003</v>
      </c>
      <c r="BR145" s="87">
        <v>5.6372140000000002</v>
      </c>
      <c r="BS145" s="87">
        <v>6.2456649999999998</v>
      </c>
      <c r="BT145" s="87">
        <v>5.7650740000000003</v>
      </c>
      <c r="BU145" s="87">
        <v>5.7826360000000001</v>
      </c>
      <c r="BV145" s="87">
        <v>6.0771230000000003</v>
      </c>
      <c r="BW145" s="105">
        <v>5.6180000000000003</v>
      </c>
      <c r="BX145" s="105">
        <v>5.673</v>
      </c>
      <c r="BY145" s="105">
        <v>5.76</v>
      </c>
      <c r="BZ145" s="105">
        <v>5.9020000000000001</v>
      </c>
      <c r="CA145" s="105">
        <v>6.0369999999999999</v>
      </c>
      <c r="CB145" s="105">
        <v>5.8470000000000004</v>
      </c>
      <c r="CC145" s="105">
        <v>5.8730000000000002</v>
      </c>
      <c r="CD145" s="105">
        <v>6.2069999999999999</v>
      </c>
      <c r="CE145" s="105">
        <v>6.2169999999999996</v>
      </c>
      <c r="CF145" s="105">
        <v>6.0819999999999999</v>
      </c>
      <c r="CG145" s="105">
        <v>6.2229999999999999</v>
      </c>
      <c r="CH145" s="105">
        <v>6.2539999999999996</v>
      </c>
      <c r="CI145" s="105">
        <v>6.282</v>
      </c>
      <c r="CJ145" s="105">
        <v>6.1120000000000001</v>
      </c>
      <c r="CK145" s="105">
        <v>6.1059999999999999</v>
      </c>
      <c r="CL145" s="105">
        <v>6.1769999999999996</v>
      </c>
      <c r="CM145" s="105">
        <v>5.7569999999999997</v>
      </c>
      <c r="CN145" s="105">
        <v>5.9420000000000002</v>
      </c>
      <c r="CO145" s="105">
        <v>6.4320000000000004</v>
      </c>
      <c r="CP145" s="105">
        <v>6.1859999999999999</v>
      </c>
      <c r="CQ145" s="105">
        <v>6.2489999999999997</v>
      </c>
      <c r="CR145" s="105">
        <v>6.343</v>
      </c>
      <c r="CS145" s="105">
        <v>6.4290000000000003</v>
      </c>
      <c r="CT145" s="105">
        <v>6.4470000000000001</v>
      </c>
      <c r="CU145" s="105">
        <v>6.3440000000000003</v>
      </c>
      <c r="CV145" s="105">
        <v>5.7969999999999997</v>
      </c>
      <c r="CW145" s="105">
        <v>6.0860000000000003</v>
      </c>
      <c r="CX145" s="105">
        <v>6.1020000000000003</v>
      </c>
      <c r="CY145" s="105">
        <v>6.2469999999999999</v>
      </c>
      <c r="CZ145" s="105">
        <v>6.5140000000000002</v>
      </c>
      <c r="DA145" s="105">
        <v>6.3410000000000002</v>
      </c>
      <c r="DB145" s="105">
        <v>5.2359999999999998</v>
      </c>
      <c r="DC145" s="105">
        <v>5.9720000000000004</v>
      </c>
      <c r="DD145" s="105">
        <v>5.9219999999999997</v>
      </c>
      <c r="DE145" s="105">
        <v>6.0640000000000001</v>
      </c>
      <c r="DF145" s="105">
        <v>5.875</v>
      </c>
      <c r="DG145" s="105">
        <v>6.0279999999999996</v>
      </c>
      <c r="DH145" s="115">
        <v>5.5534739999999996</v>
      </c>
      <c r="DI145" s="115">
        <v>5.9000050000000002</v>
      </c>
      <c r="DJ145" s="115">
        <v>6.4357329999999999</v>
      </c>
      <c r="DK145" s="115">
        <v>6.0284740000000001</v>
      </c>
      <c r="DL145" s="115">
        <v>6.0413290000000002</v>
      </c>
      <c r="DM145" s="115">
        <v>6.2758130000000003</v>
      </c>
    </row>
    <row r="146" spans="1:117">
      <c r="A146" s="1">
        <f t="shared" si="24"/>
        <v>144</v>
      </c>
      <c r="B146" s="19"/>
      <c r="C146" s="4">
        <v>11</v>
      </c>
      <c r="D146" s="4">
        <f t="shared" si="20"/>
        <v>1016</v>
      </c>
      <c r="E146" s="4" t="s">
        <v>131</v>
      </c>
      <c r="F146" s="4">
        <v>1</v>
      </c>
      <c r="G146" s="4" t="s">
        <v>11</v>
      </c>
      <c r="H146" s="4" t="s">
        <v>12</v>
      </c>
      <c r="I146" s="4"/>
      <c r="J146" s="5">
        <v>81.8</v>
      </c>
      <c r="K146" s="68"/>
      <c r="L146" s="99">
        <v>5.9990000000000006</v>
      </c>
      <c r="M146" s="7" t="s">
        <v>113</v>
      </c>
      <c r="N146" s="3" t="s">
        <v>205</v>
      </c>
      <c r="O146" s="6">
        <v>6.9560000000000004</v>
      </c>
      <c r="P146" s="6">
        <v>5.6779999999999999</v>
      </c>
      <c r="Q146" s="6">
        <v>6.843</v>
      </c>
      <c r="R146" s="54"/>
      <c r="S146" s="6">
        <v>6.6820000000000004</v>
      </c>
      <c r="T146" s="6">
        <v>6.19</v>
      </c>
      <c r="U146" s="6">
        <v>6.1779999999999999</v>
      </c>
      <c r="V146" s="6">
        <v>6.1420000000000003</v>
      </c>
      <c r="W146" s="6">
        <v>5.875</v>
      </c>
      <c r="X146" s="54"/>
      <c r="Y146" s="6">
        <v>6.51</v>
      </c>
      <c r="Z146" s="6">
        <v>6.5990000000000002</v>
      </c>
      <c r="AA146" s="6">
        <v>6.29</v>
      </c>
      <c r="AB146" s="6">
        <v>6.2060000000000004</v>
      </c>
      <c r="AC146" s="6">
        <v>5.6059999999999999</v>
      </c>
      <c r="AD146" s="6">
        <v>6.7969999999999997</v>
      </c>
      <c r="AE146" s="6">
        <f t="shared" si="23"/>
        <v>6.2014999999999993</v>
      </c>
      <c r="AF146" s="103">
        <v>4.7839999999999998</v>
      </c>
      <c r="AG146" s="103">
        <v>4.931</v>
      </c>
      <c r="AH146" s="103">
        <v>5.1989999999999998</v>
      </c>
      <c r="AI146" s="103">
        <v>5.4180000000000001</v>
      </c>
      <c r="AJ146" s="103">
        <v>5.7009999999999996</v>
      </c>
      <c r="AK146" s="103">
        <v>5.3929999999999998</v>
      </c>
      <c r="AL146" s="103">
        <v>5.4029999999999996</v>
      </c>
      <c r="AM146" s="103">
        <v>6.2489999999999997</v>
      </c>
      <c r="AN146" s="103">
        <v>6.1589999999999998</v>
      </c>
      <c r="AO146" s="103">
        <v>5.9560000000000004</v>
      </c>
      <c r="AP146" s="103">
        <v>6.415</v>
      </c>
      <c r="AQ146" s="103">
        <v>6.42</v>
      </c>
      <c r="AR146" s="103">
        <v>6.4809999999999999</v>
      </c>
      <c r="AS146" s="103">
        <v>5.7380000000000004</v>
      </c>
      <c r="AT146" s="103">
        <v>5.734</v>
      </c>
      <c r="AU146" s="103">
        <v>6.2549999999999999</v>
      </c>
      <c r="AV146" s="103">
        <v>5.1680000000000001</v>
      </c>
      <c r="AW146" s="103">
        <v>5.6230000000000002</v>
      </c>
      <c r="AX146" s="103">
        <v>7.36</v>
      </c>
      <c r="AY146" s="103">
        <v>6.2190000000000003</v>
      </c>
      <c r="AZ146" s="103">
        <v>6.6020000000000003</v>
      </c>
      <c r="BA146" s="103">
        <v>6.694</v>
      </c>
      <c r="BB146" s="103">
        <v>6.8920000000000003</v>
      </c>
      <c r="BC146" s="103">
        <v>6.8630000000000004</v>
      </c>
      <c r="BD146" s="103">
        <v>6.6420000000000003</v>
      </c>
      <c r="BE146" s="103">
        <v>5.3760000000000003</v>
      </c>
      <c r="BF146" s="103">
        <v>5.98</v>
      </c>
      <c r="BG146" s="103">
        <v>6.3390000000000004</v>
      </c>
      <c r="BH146" s="103">
        <v>6.8159999999999998</v>
      </c>
      <c r="BI146" s="103">
        <v>7.21</v>
      </c>
      <c r="BJ146" s="103">
        <v>7.0609999999999999</v>
      </c>
      <c r="BK146" s="103">
        <v>5.016</v>
      </c>
      <c r="BL146" s="103">
        <v>6.548</v>
      </c>
      <c r="BM146" s="103">
        <v>6.5679999999999996</v>
      </c>
      <c r="BN146" s="103">
        <v>5.7270000000000003</v>
      </c>
      <c r="BO146" s="103">
        <v>5.3929999999999998</v>
      </c>
      <c r="BP146" s="103">
        <v>5.8550000000000004</v>
      </c>
      <c r="BQ146" s="114">
        <v>5.2985249999999997</v>
      </c>
      <c r="BR146" s="87">
        <v>5.9122139999999996</v>
      </c>
      <c r="BS146" s="87">
        <v>7.3194350000000004</v>
      </c>
      <c r="BT146" s="87">
        <v>6.0869369999999998</v>
      </c>
      <c r="BU146" s="87">
        <v>6.1682759999999996</v>
      </c>
      <c r="BV146" s="87">
        <v>7.0759480000000003</v>
      </c>
      <c r="BW146" s="105">
        <v>4.7869999999999999</v>
      </c>
      <c r="BX146" s="105">
        <v>4.9329999999999998</v>
      </c>
      <c r="BY146" s="105">
        <v>5.2009999999999996</v>
      </c>
      <c r="BZ146" s="105">
        <v>5.42</v>
      </c>
      <c r="CA146" s="105">
        <v>5.7069999999999999</v>
      </c>
      <c r="CB146" s="105">
        <v>5.3970000000000002</v>
      </c>
      <c r="CC146" s="105">
        <v>5.407</v>
      </c>
      <c r="CD146" s="105">
        <v>6.2549999999999999</v>
      </c>
      <c r="CE146" s="105">
        <v>6.1669999999999998</v>
      </c>
      <c r="CF146" s="105">
        <v>5.9640000000000004</v>
      </c>
      <c r="CG146" s="105">
        <v>6.4290000000000003</v>
      </c>
      <c r="CH146" s="105">
        <v>6.4349999999999996</v>
      </c>
      <c r="CI146" s="105">
        <v>6.4889999999999999</v>
      </c>
      <c r="CJ146" s="105">
        <v>5.7430000000000003</v>
      </c>
      <c r="CK146" s="105">
        <v>5.7389999999999999</v>
      </c>
      <c r="CL146" s="105">
        <v>6.26</v>
      </c>
      <c r="CM146" s="105">
        <v>5.17</v>
      </c>
      <c r="CN146" s="105">
        <v>5.6260000000000003</v>
      </c>
      <c r="CO146" s="105">
        <v>7.3860000000000001</v>
      </c>
      <c r="CP146" s="105">
        <v>6.2249999999999996</v>
      </c>
      <c r="CQ146" s="105">
        <v>6.6120000000000001</v>
      </c>
      <c r="CR146" s="105">
        <v>6.7050000000000001</v>
      </c>
      <c r="CS146" s="105">
        <v>6.9080000000000004</v>
      </c>
      <c r="CT146" s="105">
        <v>6.8780000000000001</v>
      </c>
      <c r="CU146" s="105">
        <v>6.6639999999999997</v>
      </c>
      <c r="CV146" s="105">
        <v>5.3730000000000002</v>
      </c>
      <c r="CW146" s="105">
        <v>5.9850000000000003</v>
      </c>
      <c r="CX146" s="105">
        <v>6.3339999999999996</v>
      </c>
      <c r="CY146" s="105">
        <v>6.83</v>
      </c>
      <c r="CZ146" s="105">
        <v>7.2380000000000004</v>
      </c>
      <c r="DA146" s="105">
        <v>7.0860000000000003</v>
      </c>
      <c r="DB146" s="105">
        <v>4.9580000000000002</v>
      </c>
      <c r="DC146" s="105">
        <v>6.5519999999999996</v>
      </c>
      <c r="DD146" s="105">
        <v>6.5720000000000001</v>
      </c>
      <c r="DE146" s="105">
        <v>5.73</v>
      </c>
      <c r="DF146" s="105">
        <v>5.3949999999999996</v>
      </c>
      <c r="DG146" s="105">
        <v>5.8579999999999997</v>
      </c>
      <c r="DH146" s="115">
        <v>5.3017300000000001</v>
      </c>
      <c r="DI146" s="115">
        <v>5.9158359999999997</v>
      </c>
      <c r="DJ146" s="115">
        <v>7.3255499999999998</v>
      </c>
      <c r="DK146" s="115">
        <v>6.0912579999999998</v>
      </c>
      <c r="DL146" s="115">
        <v>6.1720509999999997</v>
      </c>
      <c r="DM146" s="115">
        <v>7.0815080000000004</v>
      </c>
    </row>
    <row r="147" spans="1:117">
      <c r="A147" s="1">
        <f t="shared" si="24"/>
        <v>145</v>
      </c>
      <c r="B147" s="19"/>
      <c r="C147" s="4">
        <v>11</v>
      </c>
      <c r="D147" s="4">
        <f t="shared" si="20"/>
        <v>1016</v>
      </c>
      <c r="E147" s="4" t="s">
        <v>118</v>
      </c>
      <c r="F147" s="4">
        <v>1</v>
      </c>
      <c r="G147" s="4" t="s">
        <v>11</v>
      </c>
      <c r="H147" s="4" t="s">
        <v>17</v>
      </c>
      <c r="I147" s="4"/>
      <c r="J147" s="5">
        <v>89.1</v>
      </c>
      <c r="K147" s="63">
        <v>0.74399999999999999</v>
      </c>
      <c r="L147" s="99">
        <v>6.306</v>
      </c>
      <c r="M147" s="7" t="s">
        <v>113</v>
      </c>
      <c r="N147" s="3" t="s">
        <v>205</v>
      </c>
      <c r="O147" s="6">
        <v>6.8330000000000002</v>
      </c>
      <c r="P147" s="6">
        <v>6.3120000000000003</v>
      </c>
      <c r="Q147" s="6">
        <v>6.8479999999999999</v>
      </c>
      <c r="R147" s="54"/>
      <c r="S147" s="6">
        <v>6.5730000000000004</v>
      </c>
      <c r="T147" s="6">
        <v>6.3710000000000004</v>
      </c>
      <c r="U147" s="6">
        <v>6.3460000000000001</v>
      </c>
      <c r="V147" s="6">
        <v>6.359</v>
      </c>
      <c r="W147" s="6">
        <v>6.2610000000000001</v>
      </c>
      <c r="X147" s="54"/>
      <c r="Y147" s="6">
        <v>6.5060000000000002</v>
      </c>
      <c r="Z147" s="6">
        <v>6.5179999999999998</v>
      </c>
      <c r="AA147" s="6">
        <v>6.4489999999999998</v>
      </c>
      <c r="AB147" s="6">
        <v>6.2919999999999998</v>
      </c>
      <c r="AC147" s="6">
        <v>6.3040000000000003</v>
      </c>
      <c r="AD147" s="6">
        <v>6.2359999999999998</v>
      </c>
      <c r="AE147" s="6">
        <f t="shared" si="23"/>
        <v>6.27</v>
      </c>
      <c r="AF147" s="103">
        <v>5.984</v>
      </c>
      <c r="AG147" s="103">
        <v>5.9109999999999996</v>
      </c>
      <c r="AH147" s="103">
        <v>5.9770000000000003</v>
      </c>
      <c r="AI147" s="103">
        <v>6.0960000000000001</v>
      </c>
      <c r="AJ147" s="103">
        <v>6.2229999999999999</v>
      </c>
      <c r="AK147" s="103">
        <v>5.9349999999999996</v>
      </c>
      <c r="AL147" s="103">
        <v>5.97</v>
      </c>
      <c r="AM147" s="103">
        <v>6.319</v>
      </c>
      <c r="AN147" s="103">
        <v>6.3049999999999997</v>
      </c>
      <c r="AO147" s="103">
        <v>6.1379999999999999</v>
      </c>
      <c r="AP147" s="103">
        <v>6.29</v>
      </c>
      <c r="AQ147" s="103">
        <v>6.3029999999999999</v>
      </c>
      <c r="AR147" s="103">
        <v>6.3529999999999998</v>
      </c>
      <c r="AS147" s="103">
        <v>6.2930000000000001</v>
      </c>
      <c r="AT147" s="103">
        <v>6.2759999999999998</v>
      </c>
      <c r="AU147" s="103">
        <v>6.2510000000000003</v>
      </c>
      <c r="AV147" s="103">
        <v>5.9359999999999999</v>
      </c>
      <c r="AW147" s="103">
        <v>6.0869999999999997</v>
      </c>
      <c r="AX147" s="103">
        <v>6.4820000000000002</v>
      </c>
      <c r="AY147" s="103">
        <v>6.2670000000000003</v>
      </c>
      <c r="AZ147" s="103">
        <v>6.3010000000000002</v>
      </c>
      <c r="BA147" s="103">
        <v>6.4009999999999998</v>
      </c>
      <c r="BB147" s="103">
        <v>6.4889999999999999</v>
      </c>
      <c r="BC147" s="103">
        <v>6.4909999999999997</v>
      </c>
      <c r="BD147" s="103">
        <v>6.37</v>
      </c>
      <c r="BE147" s="103">
        <v>6.0659999999999998</v>
      </c>
      <c r="BF147" s="103">
        <v>6.2619999999999996</v>
      </c>
      <c r="BG147" s="103">
        <v>6.3010000000000002</v>
      </c>
      <c r="BH147" s="103">
        <v>6.3879999999999999</v>
      </c>
      <c r="BI147" s="103">
        <v>6.5789999999999997</v>
      </c>
      <c r="BJ147" s="103">
        <v>6.4790000000000001</v>
      </c>
      <c r="BK147" s="103">
        <v>5.8070000000000004</v>
      </c>
      <c r="BL147" s="103">
        <v>6.1959999999999997</v>
      </c>
      <c r="BM147" s="103">
        <v>6.1589999999999998</v>
      </c>
      <c r="BN147" s="103">
        <v>6.22</v>
      </c>
      <c r="BO147" s="103">
        <v>6.077</v>
      </c>
      <c r="BP147" s="103">
        <v>6.1769999999999996</v>
      </c>
      <c r="BQ147" s="114">
        <v>5.5939249999999996</v>
      </c>
      <c r="BR147" s="87">
        <v>5.9103680000000001</v>
      </c>
      <c r="BS147" s="87">
        <v>6.9514019999999999</v>
      </c>
      <c r="BT147" s="87">
        <v>5.9642999999999997</v>
      </c>
      <c r="BU147" s="87">
        <v>6.016813</v>
      </c>
      <c r="BV147" s="87">
        <v>6.8905380000000003</v>
      </c>
      <c r="BW147" s="105">
        <v>6.2220000000000004</v>
      </c>
      <c r="BX147" s="105">
        <v>6.2169999999999996</v>
      </c>
      <c r="BY147" s="105">
        <v>6.2640000000000002</v>
      </c>
      <c r="BZ147" s="105">
        <v>6.375</v>
      </c>
      <c r="CA147" s="105">
        <v>6.5359999999999996</v>
      </c>
      <c r="CB147" s="105">
        <v>6.22</v>
      </c>
      <c r="CC147" s="105">
        <v>6.2530000000000001</v>
      </c>
      <c r="CD147" s="105">
        <v>6.6479999999999997</v>
      </c>
      <c r="CE147" s="105">
        <v>6.6470000000000002</v>
      </c>
      <c r="CF147" s="105">
        <v>6.484</v>
      </c>
      <c r="CG147" s="105">
        <v>6.6449999999999996</v>
      </c>
      <c r="CH147" s="105">
        <v>6.6639999999999997</v>
      </c>
      <c r="CI147" s="105">
        <v>6.7039999999999997</v>
      </c>
      <c r="CJ147" s="105">
        <v>6.6040000000000001</v>
      </c>
      <c r="CK147" s="105">
        <v>6.5919999999999996</v>
      </c>
      <c r="CL147" s="105">
        <v>6.5880000000000001</v>
      </c>
      <c r="CM147" s="105">
        <v>6.2069999999999999</v>
      </c>
      <c r="CN147" s="105">
        <v>6.3860000000000001</v>
      </c>
      <c r="CO147" s="105">
        <v>6.8810000000000002</v>
      </c>
      <c r="CP147" s="105">
        <v>6.6070000000000002</v>
      </c>
      <c r="CQ147" s="105">
        <v>6.6669999999999998</v>
      </c>
      <c r="CR147" s="105">
        <v>6.7770000000000001</v>
      </c>
      <c r="CS147" s="105">
        <v>6.8879999999999999</v>
      </c>
      <c r="CT147" s="105">
        <v>6.8920000000000003</v>
      </c>
      <c r="CU147" s="105">
        <v>6.7569999999999997</v>
      </c>
      <c r="CV147" s="105">
        <v>6.3049999999999997</v>
      </c>
      <c r="CW147" s="105">
        <v>6.5570000000000004</v>
      </c>
      <c r="CX147" s="105">
        <v>6.5739999999999998</v>
      </c>
      <c r="CY147" s="105">
        <v>6.7060000000000004</v>
      </c>
      <c r="CZ147" s="105">
        <v>6.94</v>
      </c>
      <c r="DA147" s="105">
        <v>6.7969999999999997</v>
      </c>
      <c r="DB147" s="105">
        <v>5.923</v>
      </c>
      <c r="DC147" s="105">
        <v>6.4749999999999996</v>
      </c>
      <c r="DD147" s="105">
        <v>6.4269999999999996</v>
      </c>
      <c r="DE147" s="105">
        <v>6.524</v>
      </c>
      <c r="DF147" s="105">
        <v>6.3490000000000002</v>
      </c>
      <c r="DG147" s="105">
        <v>6.48</v>
      </c>
      <c r="DH147" s="115">
        <v>5.9587960000000004</v>
      </c>
      <c r="DI147" s="115">
        <v>6.2860269999999998</v>
      </c>
      <c r="DJ147" s="115">
        <v>7.2701770000000003</v>
      </c>
      <c r="DK147" s="115">
        <v>6.3345149999999997</v>
      </c>
      <c r="DL147" s="115">
        <v>6.3931269999999998</v>
      </c>
      <c r="DM147" s="115">
        <v>7.2053310000000002</v>
      </c>
    </row>
    <row r="148" spans="1:117">
      <c r="A148" s="1">
        <f t="shared" si="24"/>
        <v>146</v>
      </c>
      <c r="B148" s="19"/>
      <c r="C148" s="4">
        <v>11</v>
      </c>
      <c r="D148" s="4">
        <f t="shared" si="20"/>
        <v>1016</v>
      </c>
      <c r="E148" s="4" t="s">
        <v>142</v>
      </c>
      <c r="F148" s="4">
        <v>3</v>
      </c>
      <c r="G148" s="4" t="s">
        <v>11</v>
      </c>
      <c r="H148" s="4" t="s">
        <v>17</v>
      </c>
      <c r="I148" s="4"/>
      <c r="J148" s="5">
        <v>98</v>
      </c>
      <c r="K148" s="68"/>
      <c r="L148" s="99">
        <v>3.762</v>
      </c>
      <c r="M148" s="7" t="s">
        <v>158</v>
      </c>
      <c r="N148" s="3" t="s">
        <v>205</v>
      </c>
      <c r="O148" s="6">
        <v>4.0529999999999999</v>
      </c>
      <c r="P148" s="6">
        <v>3.9550000000000001</v>
      </c>
      <c r="Q148" s="6">
        <v>4.0860000000000003</v>
      </c>
      <c r="R148" s="54"/>
      <c r="S148" s="6">
        <v>3.6539999999999999</v>
      </c>
      <c r="T148" s="54"/>
      <c r="U148" s="54"/>
      <c r="V148" s="54"/>
      <c r="W148" s="54"/>
      <c r="X148" s="54"/>
      <c r="Y148" s="6">
        <v>3.9740000000000002</v>
      </c>
      <c r="Z148" s="6">
        <v>3.9740000000000002</v>
      </c>
      <c r="AA148" s="6">
        <v>3.9710000000000001</v>
      </c>
      <c r="AB148" s="6">
        <v>3.83</v>
      </c>
      <c r="AC148" s="6">
        <v>3.952</v>
      </c>
      <c r="AD148" s="6">
        <v>3.5009999999999999</v>
      </c>
      <c r="AE148" s="6">
        <f>AVERAGE(AC148:AD148)</f>
        <v>3.7264999999999997</v>
      </c>
      <c r="AF148" s="103">
        <v>3.2509999999999999</v>
      </c>
      <c r="AG148" s="103">
        <v>3.3410000000000002</v>
      </c>
      <c r="AH148" s="103">
        <v>3.33</v>
      </c>
      <c r="AI148" s="103">
        <v>3.2029999999999998</v>
      </c>
      <c r="AJ148" s="107"/>
      <c r="AK148" s="103">
        <v>3.2429999999999999</v>
      </c>
      <c r="AL148" s="103">
        <v>3.2559999999999998</v>
      </c>
      <c r="AM148" s="103">
        <v>3.4129999999999998</v>
      </c>
      <c r="AN148" s="103">
        <v>3.573</v>
      </c>
      <c r="AO148" s="103">
        <v>3.4119999999999999</v>
      </c>
      <c r="AP148" s="103">
        <v>3.7850000000000001</v>
      </c>
      <c r="AQ148" s="103">
        <v>3.7570000000000001</v>
      </c>
      <c r="AR148" s="103">
        <v>3.7839999999999998</v>
      </c>
      <c r="AS148" s="103">
        <v>3.5310000000000001</v>
      </c>
      <c r="AT148" s="103">
        <v>3.524</v>
      </c>
      <c r="AU148" s="103">
        <v>3.1930000000000001</v>
      </c>
      <c r="AV148" s="103">
        <v>3.4409999999999998</v>
      </c>
      <c r="AW148" s="103">
        <v>3.2709999999999999</v>
      </c>
      <c r="AX148" s="103">
        <v>2.1669999999999998</v>
      </c>
      <c r="AY148" s="103">
        <v>3.3330000000000002</v>
      </c>
      <c r="AZ148" s="103">
        <v>3.5369999999999999</v>
      </c>
      <c r="BA148" s="103">
        <v>3.1779999999999999</v>
      </c>
      <c r="BB148" s="103">
        <v>3.0489999999999999</v>
      </c>
      <c r="BC148" s="103">
        <v>2.78</v>
      </c>
      <c r="BD148" s="103">
        <v>3.3610000000000002</v>
      </c>
      <c r="BE148" s="107"/>
      <c r="BF148" s="107"/>
      <c r="BG148" s="107"/>
      <c r="BH148" s="107"/>
      <c r="BI148" s="107"/>
      <c r="BJ148" s="107"/>
      <c r="BK148" s="107"/>
      <c r="BL148" s="107"/>
      <c r="BM148" s="107"/>
      <c r="BN148" s="103">
        <v>3.673</v>
      </c>
      <c r="BO148" s="103">
        <v>3.3519999999999999</v>
      </c>
      <c r="BP148" s="103">
        <v>3.593</v>
      </c>
      <c r="BQ148" s="114">
        <v>3.01064</v>
      </c>
      <c r="BR148" s="87">
        <v>3.1728079999999999</v>
      </c>
      <c r="BS148" s="87">
        <v>3.7508499999999998</v>
      </c>
      <c r="BT148" s="87">
        <v>3.1544889999999999</v>
      </c>
      <c r="BU148" s="87">
        <v>3.1988219999999998</v>
      </c>
      <c r="BV148" s="87">
        <v>3.726874</v>
      </c>
      <c r="BW148" s="105">
        <v>3.5219999999999998</v>
      </c>
      <c r="BX148" s="105">
        <v>3.5609999999999999</v>
      </c>
      <c r="BY148" s="105">
        <v>3.5739999999999998</v>
      </c>
      <c r="BZ148" s="105">
        <v>3.5630000000000002</v>
      </c>
      <c r="CA148" s="105">
        <v>2.92</v>
      </c>
      <c r="CB148" s="105">
        <v>3.5609999999999999</v>
      </c>
      <c r="CC148" s="105">
        <v>3.5840000000000001</v>
      </c>
      <c r="CD148" s="105">
        <v>3.7789999999999999</v>
      </c>
      <c r="CE148" s="105">
        <v>3.851</v>
      </c>
      <c r="CF148" s="105">
        <v>3.7090000000000001</v>
      </c>
      <c r="CG148" s="105">
        <v>3.996</v>
      </c>
      <c r="CH148" s="105">
        <v>3.9670000000000001</v>
      </c>
      <c r="CI148" s="105">
        <v>4.0069999999999997</v>
      </c>
      <c r="CJ148" s="105">
        <v>3.8109999999999999</v>
      </c>
      <c r="CK148" s="105">
        <v>3.8</v>
      </c>
      <c r="CL148" s="105">
        <v>3.641</v>
      </c>
      <c r="CM148" s="105">
        <v>3.6120000000000001</v>
      </c>
      <c r="CN148" s="105">
        <v>3.5979999999999999</v>
      </c>
      <c r="CO148" s="105">
        <v>3.4129999999999998</v>
      </c>
      <c r="CP148" s="105">
        <v>3.7109999999999999</v>
      </c>
      <c r="CQ148" s="105">
        <v>3.8519999999999999</v>
      </c>
      <c r="CR148" s="105">
        <v>3.718</v>
      </c>
      <c r="CS148" s="105">
        <v>3.72</v>
      </c>
      <c r="CT148" s="105">
        <v>3.5870000000000002</v>
      </c>
      <c r="CU148" s="105">
        <v>3.7789999999999999</v>
      </c>
      <c r="CV148" s="105">
        <v>3.778</v>
      </c>
      <c r="CW148" s="105">
        <v>3.649</v>
      </c>
      <c r="CX148" s="105">
        <v>3.7679999999999998</v>
      </c>
      <c r="CY148" s="105">
        <v>3.7789999999999999</v>
      </c>
      <c r="CZ148" s="105">
        <v>3.641</v>
      </c>
      <c r="DA148" s="105">
        <v>3.75</v>
      </c>
      <c r="DB148" s="105">
        <v>4.4240000000000004</v>
      </c>
      <c r="DC148" s="105">
        <v>3.7480000000000002</v>
      </c>
      <c r="DD148" s="105">
        <v>3.758</v>
      </c>
      <c r="DE148" s="105">
        <v>3.84</v>
      </c>
      <c r="DF148" s="105">
        <v>3.6160000000000001</v>
      </c>
      <c r="DG148" s="105">
        <v>3.7919999999999998</v>
      </c>
      <c r="DH148" s="115">
        <v>3.2427199999999998</v>
      </c>
      <c r="DI148" s="115">
        <v>3.4550550000000002</v>
      </c>
      <c r="DJ148" s="115">
        <v>3.973557</v>
      </c>
      <c r="DK148" s="115">
        <v>3.483047</v>
      </c>
      <c r="DL148" s="115">
        <v>3.5182069999999999</v>
      </c>
      <c r="DM148" s="115">
        <v>3.9261699999999999</v>
      </c>
    </row>
    <row r="149" spans="1:117">
      <c r="A149" s="1">
        <f t="shared" si="24"/>
        <v>147</v>
      </c>
      <c r="B149" s="19"/>
      <c r="C149" s="4">
        <v>11</v>
      </c>
      <c r="D149" s="4">
        <f t="shared" si="20"/>
        <v>1016</v>
      </c>
      <c r="E149" s="4" t="s">
        <v>129</v>
      </c>
      <c r="F149" s="4">
        <v>3</v>
      </c>
      <c r="G149" s="4" t="s">
        <v>11</v>
      </c>
      <c r="H149" s="4" t="s">
        <v>12</v>
      </c>
      <c r="I149" s="4"/>
      <c r="J149" s="5">
        <v>96.3</v>
      </c>
      <c r="K149" s="68"/>
      <c r="L149" s="99">
        <v>3.9569999999999999</v>
      </c>
      <c r="M149" s="7" t="s">
        <v>158</v>
      </c>
      <c r="N149" s="3" t="s">
        <v>205</v>
      </c>
      <c r="O149" s="6">
        <v>4.1520000000000001</v>
      </c>
      <c r="P149" s="6">
        <v>3.86</v>
      </c>
      <c r="Q149" s="6">
        <v>4.3289999999999997</v>
      </c>
      <c r="R149" s="54"/>
      <c r="S149" s="6">
        <v>4.1630000000000003</v>
      </c>
      <c r="T149" s="54"/>
      <c r="U149" s="54"/>
      <c r="V149" s="54"/>
      <c r="W149" s="54"/>
      <c r="X149" s="54"/>
      <c r="Y149" s="6">
        <v>4.1959999999999997</v>
      </c>
      <c r="Z149" s="6">
        <v>4.3419999999999996</v>
      </c>
      <c r="AA149" s="6">
        <v>4.1870000000000003</v>
      </c>
      <c r="AB149" s="6">
        <v>3.9550000000000001</v>
      </c>
      <c r="AC149" s="6">
        <v>3.71</v>
      </c>
      <c r="AD149" s="6">
        <v>4.1989999999999998</v>
      </c>
      <c r="AE149" s="6">
        <f t="shared" si="23"/>
        <v>3.9544999999999999</v>
      </c>
      <c r="AF149" s="103">
        <v>3.2040000000000002</v>
      </c>
      <c r="AG149" s="103">
        <v>3.306</v>
      </c>
      <c r="AH149" s="103">
        <v>3.4049999999999998</v>
      </c>
      <c r="AI149" s="103">
        <v>3.4430000000000001</v>
      </c>
      <c r="AJ149" s="107"/>
      <c r="AK149" s="103">
        <v>3.637</v>
      </c>
      <c r="AL149" s="103">
        <v>3.645</v>
      </c>
      <c r="AM149" s="103">
        <v>3.8580000000000001</v>
      </c>
      <c r="AN149" s="103">
        <v>3.7120000000000002</v>
      </c>
      <c r="AO149" s="103">
        <v>3.6869999999999998</v>
      </c>
      <c r="AP149" s="103">
        <v>3.85</v>
      </c>
      <c r="AQ149" s="103">
        <v>3.7839999999999998</v>
      </c>
      <c r="AR149" s="103">
        <v>3.9740000000000002</v>
      </c>
      <c r="AS149" s="103">
        <v>3.6960000000000002</v>
      </c>
      <c r="AT149" s="103">
        <v>3.6749999999999998</v>
      </c>
      <c r="AU149" s="103">
        <v>3.77</v>
      </c>
      <c r="AV149" s="103">
        <v>3.3620000000000001</v>
      </c>
      <c r="AW149" s="103">
        <v>3.56</v>
      </c>
      <c r="AX149" s="103">
        <v>4.1449999999999996</v>
      </c>
      <c r="AY149" s="103">
        <v>3.7749999999999999</v>
      </c>
      <c r="AZ149" s="103">
        <v>4.0140000000000002</v>
      </c>
      <c r="BA149" s="103">
        <v>3.94</v>
      </c>
      <c r="BB149" s="103">
        <v>4.0289999999999999</v>
      </c>
      <c r="BC149" s="103">
        <v>3.8879999999999999</v>
      </c>
      <c r="BD149" s="103">
        <v>3.766</v>
      </c>
      <c r="BE149" s="107"/>
      <c r="BF149" s="107"/>
      <c r="BG149" s="107"/>
      <c r="BH149" s="107"/>
      <c r="BI149" s="107"/>
      <c r="BJ149" s="107"/>
      <c r="BK149" s="107"/>
      <c r="BL149" s="107"/>
      <c r="BM149" s="107"/>
      <c r="BN149" s="103">
        <v>3.7349999999999999</v>
      </c>
      <c r="BO149" s="103">
        <v>3.48</v>
      </c>
      <c r="BP149" s="103">
        <v>3.7549999999999999</v>
      </c>
      <c r="BQ149" s="114">
        <v>3.007018</v>
      </c>
      <c r="BR149" s="87">
        <v>3.4234810000000002</v>
      </c>
      <c r="BS149" s="87">
        <v>4.516794</v>
      </c>
      <c r="BT149" s="87">
        <v>3.4819070000000001</v>
      </c>
      <c r="BU149" s="87">
        <v>3.5730469999999999</v>
      </c>
      <c r="BV149" s="87">
        <v>4.3179740000000004</v>
      </c>
      <c r="BW149" s="105">
        <v>3.2519999999999998</v>
      </c>
      <c r="BX149" s="105">
        <v>3.34</v>
      </c>
      <c r="BY149" s="105">
        <v>3.448</v>
      </c>
      <c r="BZ149" s="105">
        <v>3.4969999999999999</v>
      </c>
      <c r="CA149" s="105">
        <v>3.5870000000000002</v>
      </c>
      <c r="CB149" s="105">
        <v>3.6560000000000001</v>
      </c>
      <c r="CC149" s="105">
        <v>3.665</v>
      </c>
      <c r="CD149" s="105">
        <v>3.9249999999999998</v>
      </c>
      <c r="CE149" s="105">
        <v>3.766</v>
      </c>
      <c r="CF149" s="105">
        <v>3.7250000000000001</v>
      </c>
      <c r="CG149" s="105">
        <v>3.9180000000000001</v>
      </c>
      <c r="CH149" s="105">
        <v>3.851</v>
      </c>
      <c r="CI149" s="105">
        <v>4.0339999999999998</v>
      </c>
      <c r="CJ149" s="105">
        <v>3.7309999999999999</v>
      </c>
      <c r="CK149" s="105">
        <v>3.7109999999999999</v>
      </c>
      <c r="CL149" s="105">
        <v>3.8279999999999998</v>
      </c>
      <c r="CM149" s="105">
        <v>3.3940000000000001</v>
      </c>
      <c r="CN149" s="105">
        <v>3.61</v>
      </c>
      <c r="CO149" s="105">
        <v>4.2569999999999997</v>
      </c>
      <c r="CP149" s="105">
        <v>3.823</v>
      </c>
      <c r="CQ149" s="105">
        <v>4.0549999999999997</v>
      </c>
      <c r="CR149" s="105">
        <v>3.9940000000000002</v>
      </c>
      <c r="CS149" s="105">
        <v>4.0830000000000002</v>
      </c>
      <c r="CT149" s="105">
        <v>3.9540000000000002</v>
      </c>
      <c r="CU149" s="105">
        <v>3.82</v>
      </c>
      <c r="CV149" s="105">
        <v>3.6419999999999999</v>
      </c>
      <c r="CW149" s="105">
        <v>3.7890000000000001</v>
      </c>
      <c r="CX149" s="105">
        <v>3.9390000000000001</v>
      </c>
      <c r="CY149" s="105">
        <v>4.0659999999999998</v>
      </c>
      <c r="CZ149" s="105">
        <v>4.1909999999999998</v>
      </c>
      <c r="DA149" s="105">
        <v>4.1609999999999996</v>
      </c>
      <c r="DB149" s="105">
        <v>3.298</v>
      </c>
      <c r="DC149" s="105">
        <v>3.93</v>
      </c>
      <c r="DD149" s="105">
        <v>3.91</v>
      </c>
      <c r="DE149" s="105">
        <v>3.7639999999999998</v>
      </c>
      <c r="DF149" s="105">
        <v>3.524</v>
      </c>
      <c r="DG149" s="105">
        <v>3.794</v>
      </c>
      <c r="DH149" s="115">
        <v>3.048603</v>
      </c>
      <c r="DI149" s="115">
        <v>3.4686029999999999</v>
      </c>
      <c r="DJ149" s="115">
        <v>4.5546480000000003</v>
      </c>
      <c r="DK149" s="115">
        <v>3.5350929999999998</v>
      </c>
      <c r="DL149" s="115">
        <v>3.6223779999999999</v>
      </c>
      <c r="DM149" s="115">
        <v>4.352195</v>
      </c>
    </row>
    <row r="150" spans="1:117">
      <c r="A150" s="1">
        <f t="shared" si="24"/>
        <v>148</v>
      </c>
      <c r="B150" s="19"/>
      <c r="C150" s="4">
        <v>11</v>
      </c>
      <c r="D150" s="4">
        <f t="shared" si="20"/>
        <v>1016</v>
      </c>
      <c r="E150" s="4" t="s">
        <v>143</v>
      </c>
      <c r="F150" s="4">
        <v>3</v>
      </c>
      <c r="G150" s="4" t="s">
        <v>11</v>
      </c>
      <c r="H150" s="4" t="s">
        <v>17</v>
      </c>
      <c r="I150" s="4"/>
      <c r="J150" s="5">
        <v>96.8</v>
      </c>
      <c r="K150" s="68"/>
      <c r="L150" s="99">
        <v>4.3440000000000003</v>
      </c>
      <c r="M150" s="7" t="s">
        <v>158</v>
      </c>
      <c r="N150" s="3" t="s">
        <v>205</v>
      </c>
      <c r="O150" s="6">
        <v>4.6289999999999996</v>
      </c>
      <c r="P150" s="6">
        <v>4.5179999999999998</v>
      </c>
      <c r="Q150" s="6">
        <v>4.76</v>
      </c>
      <c r="R150" s="54"/>
      <c r="S150" s="6">
        <v>4.4390000000000001</v>
      </c>
      <c r="T150" s="54"/>
      <c r="U150" s="54"/>
      <c r="V150" s="54"/>
      <c r="W150" s="54"/>
      <c r="X150" s="54"/>
      <c r="Y150" s="6">
        <v>4.5439999999999996</v>
      </c>
      <c r="Z150" s="6">
        <v>4.5650000000000004</v>
      </c>
      <c r="AA150" s="6">
        <v>4.5549999999999997</v>
      </c>
      <c r="AB150" s="6">
        <v>4.3620000000000001</v>
      </c>
      <c r="AC150" s="6">
        <v>4.4969999999999999</v>
      </c>
      <c r="AD150" s="6">
        <v>4.1150000000000002</v>
      </c>
      <c r="AE150" s="6">
        <f t="shared" si="23"/>
        <v>4.306</v>
      </c>
      <c r="AF150" s="103">
        <v>3.7970000000000002</v>
      </c>
      <c r="AG150" s="103">
        <v>3.8279999999999998</v>
      </c>
      <c r="AH150" s="103">
        <v>3.863</v>
      </c>
      <c r="AI150" s="103">
        <v>3.9049999999999998</v>
      </c>
      <c r="AJ150" s="107"/>
      <c r="AK150" s="103">
        <v>3.88</v>
      </c>
      <c r="AL150" s="103">
        <v>3.91</v>
      </c>
      <c r="AM150" s="103">
        <v>4.141</v>
      </c>
      <c r="AN150" s="103">
        <v>4.1879999999999997</v>
      </c>
      <c r="AO150" s="103">
        <v>4.09</v>
      </c>
      <c r="AP150" s="103">
        <v>4.3090000000000002</v>
      </c>
      <c r="AQ150" s="103">
        <v>4.2629999999999999</v>
      </c>
      <c r="AR150" s="103">
        <v>4.2960000000000003</v>
      </c>
      <c r="AS150" s="103">
        <v>4.1449999999999996</v>
      </c>
      <c r="AT150" s="103">
        <v>4.1340000000000003</v>
      </c>
      <c r="AU150" s="103">
        <v>4.0679999999999996</v>
      </c>
      <c r="AV150" s="103">
        <v>3.8860000000000001</v>
      </c>
      <c r="AW150" s="103">
        <v>3.9449999999999998</v>
      </c>
      <c r="AX150" s="103">
        <v>4.1130000000000004</v>
      </c>
      <c r="AY150" s="103">
        <v>4.109</v>
      </c>
      <c r="AZ150" s="103">
        <v>4.2510000000000003</v>
      </c>
      <c r="BA150" s="103">
        <v>4.2039999999999997</v>
      </c>
      <c r="BB150" s="103">
        <v>4.2640000000000002</v>
      </c>
      <c r="BC150" s="103">
        <v>4.1890000000000001</v>
      </c>
      <c r="BD150" s="103">
        <v>4.258</v>
      </c>
      <c r="BE150" s="107"/>
      <c r="BF150" s="107"/>
      <c r="BG150" s="107"/>
      <c r="BH150" s="107"/>
      <c r="BI150" s="107"/>
      <c r="BJ150" s="107"/>
      <c r="BK150" s="107"/>
      <c r="BL150" s="107"/>
      <c r="BM150" s="107"/>
      <c r="BN150" s="103">
        <v>4.1109999999999998</v>
      </c>
      <c r="BO150" s="103">
        <v>3.9129999999999998</v>
      </c>
      <c r="BP150" s="103">
        <v>4.0659999999999998</v>
      </c>
      <c r="BQ150" s="114">
        <v>3.520969</v>
      </c>
      <c r="BR150" s="87">
        <v>3.7857210000000001</v>
      </c>
      <c r="BS150" s="87">
        <v>4.2438830000000003</v>
      </c>
      <c r="BT150" s="87">
        <v>3.81447</v>
      </c>
      <c r="BU150" s="87">
        <v>3.869729</v>
      </c>
      <c r="BV150" s="87">
        <v>4.1864939999999997</v>
      </c>
      <c r="BW150" s="105">
        <v>3.8540000000000001</v>
      </c>
      <c r="BX150" s="105">
        <v>3.8769999999999998</v>
      </c>
      <c r="BY150" s="105">
        <v>3.915</v>
      </c>
      <c r="BZ150" s="105">
        <v>3.9750000000000001</v>
      </c>
      <c r="CA150" s="105">
        <v>3.8639999999999999</v>
      </c>
      <c r="CB150" s="105">
        <v>3.95</v>
      </c>
      <c r="CC150" s="105">
        <v>3.976</v>
      </c>
      <c r="CD150" s="105">
        <v>4.2160000000000002</v>
      </c>
      <c r="CE150" s="105">
        <v>4.2450000000000001</v>
      </c>
      <c r="CF150" s="105">
        <v>4.1390000000000002</v>
      </c>
      <c r="CG150" s="105">
        <v>4.3579999999999997</v>
      </c>
      <c r="CH150" s="105">
        <v>4.3179999999999996</v>
      </c>
      <c r="CI150" s="105">
        <v>4.3570000000000002</v>
      </c>
      <c r="CJ150" s="105">
        <v>4.1989999999999998</v>
      </c>
      <c r="CK150" s="105">
        <v>4.1870000000000003</v>
      </c>
      <c r="CL150" s="105">
        <v>4.1479999999999997</v>
      </c>
      <c r="CM150" s="105">
        <v>3.927</v>
      </c>
      <c r="CN150" s="105">
        <v>4.0090000000000003</v>
      </c>
      <c r="CO150" s="105">
        <v>4.2779999999999996</v>
      </c>
      <c r="CP150" s="105">
        <v>4.18</v>
      </c>
      <c r="CQ150" s="105">
        <v>4.3129999999999997</v>
      </c>
      <c r="CR150" s="105">
        <v>4.298</v>
      </c>
      <c r="CS150" s="105">
        <v>4.3769999999999998</v>
      </c>
      <c r="CT150" s="105">
        <v>4.3120000000000003</v>
      </c>
      <c r="CU150" s="105">
        <v>4.3259999999999996</v>
      </c>
      <c r="CV150" s="105">
        <v>4.2169999999999996</v>
      </c>
      <c r="CW150" s="105">
        <v>4.1989999999999998</v>
      </c>
      <c r="CX150" s="105">
        <v>4.3559999999999999</v>
      </c>
      <c r="CY150" s="105">
        <v>4.4020000000000001</v>
      </c>
      <c r="CZ150" s="105">
        <v>4.4080000000000004</v>
      </c>
      <c r="DA150" s="105">
        <v>4.4509999999999996</v>
      </c>
      <c r="DB150" s="105">
        <v>4.5309999999999997</v>
      </c>
      <c r="DC150" s="105">
        <v>4.2910000000000004</v>
      </c>
      <c r="DD150" s="105">
        <v>4.2759999999999998</v>
      </c>
      <c r="DE150" s="105">
        <v>4.1509999999999998</v>
      </c>
      <c r="DF150" s="105">
        <v>3.968</v>
      </c>
      <c r="DG150" s="105">
        <v>4.1139999999999999</v>
      </c>
      <c r="DH150" s="115">
        <v>3.5743429999999998</v>
      </c>
      <c r="DI150" s="115">
        <v>3.8449200000000001</v>
      </c>
      <c r="DJ150" s="115">
        <v>4.3080360000000004</v>
      </c>
      <c r="DK150" s="115">
        <v>3.883753</v>
      </c>
      <c r="DL150" s="115">
        <v>3.9346860000000001</v>
      </c>
      <c r="DM150" s="115">
        <v>4.245933</v>
      </c>
    </row>
    <row r="151" spans="1:117">
      <c r="A151" s="1">
        <f t="shared" si="24"/>
        <v>149</v>
      </c>
      <c r="B151" s="19"/>
      <c r="C151" s="4">
        <v>11</v>
      </c>
      <c r="D151" s="4">
        <f t="shared" si="20"/>
        <v>1016</v>
      </c>
      <c r="E151" s="4" t="s">
        <v>142</v>
      </c>
      <c r="F151" s="4">
        <v>3</v>
      </c>
      <c r="G151" s="4" t="s">
        <v>11</v>
      </c>
      <c r="H151" s="4" t="s">
        <v>17</v>
      </c>
      <c r="I151" s="4"/>
      <c r="J151" s="5">
        <v>97</v>
      </c>
      <c r="K151" s="68"/>
      <c r="L151" s="99">
        <v>4.5059999999999993</v>
      </c>
      <c r="M151" s="7" t="s">
        <v>260</v>
      </c>
      <c r="N151" s="3" t="s">
        <v>205</v>
      </c>
      <c r="O151" s="6">
        <v>4.7610000000000001</v>
      </c>
      <c r="P151" s="6">
        <v>4.6559999999999997</v>
      </c>
      <c r="Q151" s="6">
        <v>4.891</v>
      </c>
      <c r="R151" s="54"/>
      <c r="S151" s="6">
        <v>4.5810000000000004</v>
      </c>
      <c r="T151" s="54"/>
      <c r="U151" s="54"/>
      <c r="V151" s="54"/>
      <c r="W151" s="54"/>
      <c r="X151" s="54"/>
      <c r="Y151" s="6">
        <v>4.6829999999999998</v>
      </c>
      <c r="Z151" s="6">
        <v>4.6929999999999996</v>
      </c>
      <c r="AA151" s="6">
        <v>4.6950000000000003</v>
      </c>
      <c r="AB151" s="6">
        <v>4.5110000000000001</v>
      </c>
      <c r="AC151" s="6">
        <v>4.5940000000000003</v>
      </c>
      <c r="AD151" s="6">
        <v>4.2720000000000002</v>
      </c>
      <c r="AE151" s="6">
        <f t="shared" si="23"/>
        <v>4.4329999999999998</v>
      </c>
      <c r="AF151" s="103">
        <v>3.8679999999999999</v>
      </c>
      <c r="AG151" s="103">
        <v>3.9510000000000001</v>
      </c>
      <c r="AH151" s="103">
        <v>3.9870000000000001</v>
      </c>
      <c r="AI151" s="103">
        <v>3.99</v>
      </c>
      <c r="AJ151" s="107"/>
      <c r="AK151" s="103">
        <v>4.1920000000000002</v>
      </c>
      <c r="AL151" s="103">
        <v>4.2210000000000001</v>
      </c>
      <c r="AM151" s="103">
        <v>4.2889999999999997</v>
      </c>
      <c r="AN151" s="103">
        <v>4.2759999999999998</v>
      </c>
      <c r="AO151" s="103">
        <v>4.2560000000000002</v>
      </c>
      <c r="AP151" s="103">
        <v>4.3259999999999996</v>
      </c>
      <c r="AQ151" s="103">
        <v>4.3109999999999999</v>
      </c>
      <c r="AR151" s="103">
        <v>4.3520000000000003</v>
      </c>
      <c r="AS151" s="103">
        <v>4.2809999999999997</v>
      </c>
      <c r="AT151" s="103">
        <v>4.2679999999999998</v>
      </c>
      <c r="AU151" s="103">
        <v>4.2009999999999996</v>
      </c>
      <c r="AV151" s="103">
        <v>3.9980000000000002</v>
      </c>
      <c r="AW151" s="103">
        <v>4.0720000000000001</v>
      </c>
      <c r="AX151" s="103">
        <v>4.2789999999999999</v>
      </c>
      <c r="AY151" s="103">
        <v>4.2370000000000001</v>
      </c>
      <c r="AZ151" s="103">
        <v>4.4009999999999998</v>
      </c>
      <c r="BA151" s="103">
        <v>4.3540000000000001</v>
      </c>
      <c r="BB151" s="103">
        <v>4.4450000000000003</v>
      </c>
      <c r="BC151" s="103">
        <v>4.3289999999999997</v>
      </c>
      <c r="BD151" s="103">
        <v>4.3789999999999996</v>
      </c>
      <c r="BE151" s="107"/>
      <c r="BF151" s="107"/>
      <c r="BG151" s="107"/>
      <c r="BH151" s="107"/>
      <c r="BI151" s="107"/>
      <c r="BJ151" s="107"/>
      <c r="BK151" s="107"/>
      <c r="BL151" s="107"/>
      <c r="BM151" s="107"/>
      <c r="BN151" s="103">
        <v>4.2990000000000004</v>
      </c>
      <c r="BO151" s="103">
        <v>4.0350000000000001</v>
      </c>
      <c r="BP151" s="103">
        <v>4.2130000000000001</v>
      </c>
      <c r="BQ151" s="114">
        <v>3.4575360000000002</v>
      </c>
      <c r="BR151" s="87">
        <v>3.8423340000000001</v>
      </c>
      <c r="BS151" s="87">
        <v>5.1187379999999996</v>
      </c>
      <c r="BT151" s="87">
        <v>3.7998159999999999</v>
      </c>
      <c r="BU151" s="87">
        <v>3.9413879999999999</v>
      </c>
      <c r="BV151" s="87">
        <v>5.0930150000000003</v>
      </c>
      <c r="BW151" s="105">
        <v>3.9990000000000001</v>
      </c>
      <c r="BX151" s="105">
        <v>4.0720000000000001</v>
      </c>
      <c r="BY151" s="105">
        <v>4.125</v>
      </c>
      <c r="BZ151" s="105">
        <v>4.1680000000000001</v>
      </c>
      <c r="CA151" s="105">
        <v>4.0910000000000002</v>
      </c>
      <c r="CB151" s="105">
        <v>4.3120000000000003</v>
      </c>
      <c r="CC151" s="105">
        <v>4.3460000000000001</v>
      </c>
      <c r="CD151" s="105">
        <v>4.492</v>
      </c>
      <c r="CE151" s="105">
        <v>4.4409999999999998</v>
      </c>
      <c r="CF151" s="105">
        <v>4.3760000000000003</v>
      </c>
      <c r="CG151" s="105">
        <v>4.4950000000000001</v>
      </c>
      <c r="CH151" s="105">
        <v>4.4909999999999997</v>
      </c>
      <c r="CI151" s="105">
        <v>4.5439999999999996</v>
      </c>
      <c r="CJ151" s="105">
        <v>4.4320000000000004</v>
      </c>
      <c r="CK151" s="105">
        <v>4.4169999999999998</v>
      </c>
      <c r="CL151" s="105">
        <v>4.383</v>
      </c>
      <c r="CM151" s="105">
        <v>4.1029999999999998</v>
      </c>
      <c r="CN151" s="105">
        <v>4.2309999999999999</v>
      </c>
      <c r="CO151" s="105">
        <v>4.51</v>
      </c>
      <c r="CP151" s="105">
        <v>4.4029999999999996</v>
      </c>
      <c r="CQ151" s="105">
        <v>4.5389999999999997</v>
      </c>
      <c r="CR151" s="105">
        <v>4.5250000000000004</v>
      </c>
      <c r="CS151" s="105">
        <v>4.5970000000000004</v>
      </c>
      <c r="CT151" s="105">
        <v>4.508</v>
      </c>
      <c r="CU151" s="105">
        <v>4.5140000000000002</v>
      </c>
      <c r="CV151" s="105">
        <v>4.4560000000000004</v>
      </c>
      <c r="CW151" s="105">
        <v>4.4329999999999998</v>
      </c>
      <c r="CX151" s="105">
        <v>4.5759999999999996</v>
      </c>
      <c r="CY151" s="105">
        <v>4.6210000000000004</v>
      </c>
      <c r="CZ151" s="105">
        <v>4.6269999999999998</v>
      </c>
      <c r="DA151" s="105">
        <v>4.6539999999999999</v>
      </c>
      <c r="DB151" s="105">
        <v>4.6360000000000001</v>
      </c>
      <c r="DC151" s="105">
        <v>4.4610000000000003</v>
      </c>
      <c r="DD151" s="105">
        <v>4.4429999999999996</v>
      </c>
      <c r="DE151" s="105">
        <v>4.4189999999999996</v>
      </c>
      <c r="DF151" s="105">
        <v>4.1829999999999998</v>
      </c>
      <c r="DG151" s="105">
        <v>4.359</v>
      </c>
      <c r="DH151" s="115">
        <v>3.5866609999999999</v>
      </c>
      <c r="DI151" s="115">
        <v>3.9800599999999999</v>
      </c>
      <c r="DJ151" s="115">
        <v>5.2325499999999998</v>
      </c>
      <c r="DK151" s="115">
        <v>3.9662380000000002</v>
      </c>
      <c r="DL151" s="115">
        <v>4.0904290000000003</v>
      </c>
      <c r="DM151" s="115">
        <v>5.2021160000000002</v>
      </c>
    </row>
    <row r="152" spans="1:117">
      <c r="A152" s="1">
        <f t="shared" si="24"/>
        <v>150</v>
      </c>
      <c r="B152" s="19"/>
      <c r="C152" s="4">
        <v>11</v>
      </c>
      <c r="D152" s="4">
        <f t="shared" si="20"/>
        <v>1016</v>
      </c>
      <c r="E152" s="4" t="s">
        <v>130</v>
      </c>
      <c r="F152" s="4">
        <v>3</v>
      </c>
      <c r="G152" s="4" t="s">
        <v>11</v>
      </c>
      <c r="H152" s="4" t="s">
        <v>12</v>
      </c>
      <c r="I152" s="4"/>
      <c r="J152" s="5">
        <v>96.4</v>
      </c>
      <c r="K152" s="68"/>
      <c r="L152" s="99">
        <v>4.5780000000000003</v>
      </c>
      <c r="M152" s="7" t="s">
        <v>158</v>
      </c>
      <c r="N152" s="3" t="s">
        <v>205</v>
      </c>
      <c r="O152" s="6">
        <v>4.6420000000000003</v>
      </c>
      <c r="P152" s="6">
        <v>4.5359999999999996</v>
      </c>
      <c r="Q152" s="6">
        <v>4.87</v>
      </c>
      <c r="R152" s="54"/>
      <c r="S152" s="6">
        <v>4.7370000000000001</v>
      </c>
      <c r="T152" s="54"/>
      <c r="U152" s="54"/>
      <c r="V152" s="54"/>
      <c r="W152" s="54"/>
      <c r="X152" s="54"/>
      <c r="Y152" s="6">
        <v>4.75</v>
      </c>
      <c r="Z152" s="6">
        <v>4.9139999999999997</v>
      </c>
      <c r="AA152" s="6">
        <v>4.7919999999999998</v>
      </c>
      <c r="AB152" s="6">
        <v>4.5179999999999998</v>
      </c>
      <c r="AC152" s="6">
        <v>4.3470000000000004</v>
      </c>
      <c r="AD152" s="6">
        <v>4.7480000000000002</v>
      </c>
      <c r="AE152" s="6">
        <f t="shared" si="23"/>
        <v>4.5475000000000003</v>
      </c>
      <c r="AF152" s="103">
        <v>3.8559999999999999</v>
      </c>
      <c r="AG152" s="103">
        <v>3.9420000000000002</v>
      </c>
      <c r="AH152" s="103">
        <v>4.0259999999999998</v>
      </c>
      <c r="AI152" s="103">
        <v>4.0599999999999996</v>
      </c>
      <c r="AJ152" s="107"/>
      <c r="AK152" s="103">
        <v>4.2480000000000002</v>
      </c>
      <c r="AL152" s="103">
        <v>4.258</v>
      </c>
      <c r="AM152" s="103">
        <v>4.4550000000000001</v>
      </c>
      <c r="AN152" s="103">
        <v>4.3029999999999999</v>
      </c>
      <c r="AO152" s="103">
        <v>4.2350000000000003</v>
      </c>
      <c r="AP152" s="103">
        <v>4.3970000000000002</v>
      </c>
      <c r="AQ152" s="103">
        <v>4.343</v>
      </c>
      <c r="AR152" s="103">
        <v>4.548</v>
      </c>
      <c r="AS152" s="103">
        <v>4.3120000000000003</v>
      </c>
      <c r="AT152" s="103">
        <v>4.29</v>
      </c>
      <c r="AU152" s="103">
        <v>4.3360000000000003</v>
      </c>
      <c r="AV152" s="103">
        <v>3.9860000000000002</v>
      </c>
      <c r="AW152" s="103">
        <v>4.1589999999999998</v>
      </c>
      <c r="AX152" s="103">
        <v>4.6349999999999998</v>
      </c>
      <c r="AY152" s="103">
        <v>4.3470000000000004</v>
      </c>
      <c r="AZ152" s="103">
        <v>4.5650000000000004</v>
      </c>
      <c r="BA152" s="103">
        <v>4.484</v>
      </c>
      <c r="BB152" s="103">
        <v>4.5599999999999996</v>
      </c>
      <c r="BC152" s="103">
        <v>4.4050000000000002</v>
      </c>
      <c r="BD152" s="103">
        <v>4.2830000000000004</v>
      </c>
      <c r="BE152" s="107"/>
      <c r="BF152" s="107"/>
      <c r="BG152" s="107"/>
      <c r="BH152" s="107"/>
      <c r="BI152" s="107"/>
      <c r="BJ152" s="107"/>
      <c r="BK152" s="107"/>
      <c r="BL152" s="107"/>
      <c r="BM152" s="107"/>
      <c r="BN152" s="103">
        <v>4.3540000000000001</v>
      </c>
      <c r="BO152" s="103">
        <v>4.1050000000000004</v>
      </c>
      <c r="BP152" s="103">
        <v>4.3639999999999999</v>
      </c>
      <c r="BQ152" s="114">
        <v>3.556991</v>
      </c>
      <c r="BR152" s="87">
        <v>3.994186</v>
      </c>
      <c r="BS152" s="87">
        <v>5.1557040000000001</v>
      </c>
      <c r="BT152" s="87">
        <v>4.0362309999999999</v>
      </c>
      <c r="BU152" s="87">
        <v>4.1421580000000002</v>
      </c>
      <c r="BV152" s="87">
        <v>4.9600220000000004</v>
      </c>
      <c r="BW152" s="105">
        <v>3.903</v>
      </c>
      <c r="BX152" s="105">
        <v>3.9740000000000002</v>
      </c>
      <c r="BY152" s="105">
        <v>4.0679999999999996</v>
      </c>
      <c r="BZ152" s="105">
        <v>4.1120000000000001</v>
      </c>
      <c r="CA152" s="105">
        <v>4.1870000000000003</v>
      </c>
      <c r="CB152" s="105">
        <v>4.2670000000000003</v>
      </c>
      <c r="CC152" s="105">
        <v>4.2779999999999996</v>
      </c>
      <c r="CD152" s="105">
        <v>4.5190000000000001</v>
      </c>
      <c r="CE152" s="105">
        <v>4.3529999999999998</v>
      </c>
      <c r="CF152" s="105">
        <v>4.2709999999999999</v>
      </c>
      <c r="CG152" s="105">
        <v>4.4610000000000003</v>
      </c>
      <c r="CH152" s="105">
        <v>4.4039999999999999</v>
      </c>
      <c r="CI152" s="105">
        <v>4.5999999999999996</v>
      </c>
      <c r="CJ152" s="105">
        <v>4.3449999999999998</v>
      </c>
      <c r="CK152" s="105">
        <v>4.3239999999999998</v>
      </c>
      <c r="CL152" s="105">
        <v>4.3890000000000002</v>
      </c>
      <c r="CM152" s="105">
        <v>4.0170000000000003</v>
      </c>
      <c r="CN152" s="105">
        <v>4.2060000000000004</v>
      </c>
      <c r="CO152" s="105">
        <v>4.7370000000000001</v>
      </c>
      <c r="CP152" s="105">
        <v>4.391</v>
      </c>
      <c r="CQ152" s="105">
        <v>4.5999999999999996</v>
      </c>
      <c r="CR152" s="105">
        <v>4.532</v>
      </c>
      <c r="CS152" s="105">
        <v>4.6059999999999999</v>
      </c>
      <c r="CT152" s="105">
        <v>4.4619999999999997</v>
      </c>
      <c r="CU152" s="105">
        <v>4.33</v>
      </c>
      <c r="CV152" s="105">
        <v>4.2670000000000003</v>
      </c>
      <c r="CW152" s="105">
        <v>4.3819999999999997</v>
      </c>
      <c r="CX152" s="105">
        <v>4.5250000000000004</v>
      </c>
      <c r="CY152" s="105">
        <v>4.6139999999999999</v>
      </c>
      <c r="CZ152" s="105">
        <v>4.71</v>
      </c>
      <c r="DA152" s="105">
        <v>4.7050000000000001</v>
      </c>
      <c r="DB152" s="105">
        <v>3.8839999999999999</v>
      </c>
      <c r="DC152" s="105">
        <v>4.492</v>
      </c>
      <c r="DD152" s="105">
        <v>4.4740000000000002</v>
      </c>
      <c r="DE152" s="105">
        <v>4.3810000000000002</v>
      </c>
      <c r="DF152" s="105">
        <v>4.1459999999999999</v>
      </c>
      <c r="DG152" s="105">
        <v>4.4000000000000004</v>
      </c>
      <c r="DH152" s="115">
        <v>3.5940539999999999</v>
      </c>
      <c r="DI152" s="115">
        <v>4.0346630000000001</v>
      </c>
      <c r="DJ152" s="115">
        <v>5.1912419999999999</v>
      </c>
      <c r="DK152" s="115">
        <v>4.083043</v>
      </c>
      <c r="DL152" s="115">
        <v>4.1862550000000001</v>
      </c>
      <c r="DM152" s="115">
        <v>4.9921870000000004</v>
      </c>
    </row>
    <row r="153" spans="1:117">
      <c r="A153" s="1">
        <f t="shared" si="24"/>
        <v>151</v>
      </c>
      <c r="B153" s="19"/>
      <c r="C153" s="4">
        <v>11</v>
      </c>
      <c r="D153" s="4">
        <f t="shared" si="20"/>
        <v>1016</v>
      </c>
      <c r="E153" s="4" t="s">
        <v>142</v>
      </c>
      <c r="F153" s="4">
        <v>3</v>
      </c>
      <c r="G153" s="4" t="s">
        <v>11</v>
      </c>
      <c r="H153" s="4" t="s">
        <v>17</v>
      </c>
      <c r="I153" s="4"/>
      <c r="J153" s="5">
        <v>96.8</v>
      </c>
      <c r="K153" s="68"/>
      <c r="L153" s="99">
        <v>4.6659999999999986</v>
      </c>
      <c r="M153" s="7" t="s">
        <v>260</v>
      </c>
      <c r="N153" s="3" t="s">
        <v>205</v>
      </c>
      <c r="O153" s="6">
        <v>5.077</v>
      </c>
      <c r="P153" s="6">
        <v>4.7809999999999997</v>
      </c>
      <c r="Q153" s="6">
        <v>5.0549999999999997</v>
      </c>
      <c r="R153" s="54"/>
      <c r="S153" s="6">
        <v>4.758</v>
      </c>
      <c r="T153" s="54"/>
      <c r="U153" s="54"/>
      <c r="V153" s="54"/>
      <c r="W153" s="54"/>
      <c r="X153" s="54"/>
      <c r="Y153" s="6">
        <v>4.9420000000000002</v>
      </c>
      <c r="Z153" s="6">
        <v>5.0170000000000003</v>
      </c>
      <c r="AA153" s="6">
        <v>4.9290000000000003</v>
      </c>
      <c r="AB153" s="6">
        <v>4.7300000000000004</v>
      </c>
      <c r="AC153" s="6">
        <v>4.7350000000000003</v>
      </c>
      <c r="AD153" s="6">
        <v>4.6029999999999998</v>
      </c>
      <c r="AE153" s="6">
        <f t="shared" si="23"/>
        <v>4.6690000000000005</v>
      </c>
      <c r="AF153" s="103">
        <v>4.21</v>
      </c>
      <c r="AG153" s="103">
        <v>4.2569999999999997</v>
      </c>
      <c r="AH153" s="103">
        <v>4.2759999999999998</v>
      </c>
      <c r="AI153" s="103">
        <v>4.2629999999999999</v>
      </c>
      <c r="AJ153" s="107"/>
      <c r="AK153" s="103">
        <v>4.3120000000000003</v>
      </c>
      <c r="AL153" s="103">
        <v>4.3369999999999997</v>
      </c>
      <c r="AM153" s="103">
        <v>4.5049999999999999</v>
      </c>
      <c r="AN153" s="103">
        <v>4.5910000000000002</v>
      </c>
      <c r="AO153" s="103">
        <v>4.4139999999999997</v>
      </c>
      <c r="AP153" s="103">
        <v>4.6509999999999998</v>
      </c>
      <c r="AQ153" s="103">
        <v>4.6660000000000004</v>
      </c>
      <c r="AR153" s="103">
        <v>4.7169999999999996</v>
      </c>
      <c r="AS153" s="103">
        <v>4.532</v>
      </c>
      <c r="AT153" s="103">
        <v>4.5170000000000003</v>
      </c>
      <c r="AU153" s="103">
        <v>4.3979999999999997</v>
      </c>
      <c r="AV153" s="103">
        <v>4.327</v>
      </c>
      <c r="AW153" s="103">
        <v>4.3140000000000001</v>
      </c>
      <c r="AX153" s="103">
        <v>4.399</v>
      </c>
      <c r="AY153" s="103">
        <v>4.4560000000000004</v>
      </c>
      <c r="AZ153" s="103">
        <v>4.5819999999999999</v>
      </c>
      <c r="BA153" s="103">
        <v>4.5129999999999999</v>
      </c>
      <c r="BB153" s="103">
        <v>4.5599999999999996</v>
      </c>
      <c r="BC153" s="103">
        <v>4.47</v>
      </c>
      <c r="BD153" s="103">
        <v>4.5549999999999997</v>
      </c>
      <c r="BE153" s="107"/>
      <c r="BF153" s="107"/>
      <c r="BG153" s="107"/>
      <c r="BH153" s="107"/>
      <c r="BI153" s="107"/>
      <c r="BJ153" s="107"/>
      <c r="BK153" s="107"/>
      <c r="BL153" s="107"/>
      <c r="BM153" s="107"/>
      <c r="BN153" s="103">
        <v>4.5789999999999997</v>
      </c>
      <c r="BO153" s="103">
        <v>4.3339999999999996</v>
      </c>
      <c r="BP153" s="103">
        <v>4.5529999999999999</v>
      </c>
      <c r="BQ153" s="114">
        <v>3.797218</v>
      </c>
      <c r="BR153" s="87">
        <v>4.0588480000000002</v>
      </c>
      <c r="BS153" s="87">
        <v>4.8527670000000001</v>
      </c>
      <c r="BT153" s="87">
        <v>4.0712089999999996</v>
      </c>
      <c r="BU153" s="87">
        <v>4.1346040000000004</v>
      </c>
      <c r="BV153" s="87">
        <v>4.7231259999999997</v>
      </c>
      <c r="BW153" s="105">
        <v>4.3499999999999996</v>
      </c>
      <c r="BX153" s="105">
        <v>4.38</v>
      </c>
      <c r="BY153" s="105">
        <v>4.399</v>
      </c>
      <c r="BZ153" s="105">
        <v>4.3949999999999996</v>
      </c>
      <c r="CA153" s="105">
        <v>4.2370000000000001</v>
      </c>
      <c r="CB153" s="105">
        <v>4.4340000000000002</v>
      </c>
      <c r="CC153" s="105">
        <v>4.4660000000000002</v>
      </c>
      <c r="CD153" s="105">
        <v>4.6340000000000003</v>
      </c>
      <c r="CE153" s="105">
        <v>4.694</v>
      </c>
      <c r="CF153" s="105">
        <v>4.5179999999999998</v>
      </c>
      <c r="CG153" s="105">
        <v>4.742</v>
      </c>
      <c r="CH153" s="105">
        <v>4.75</v>
      </c>
      <c r="CI153" s="105">
        <v>4.8079999999999998</v>
      </c>
      <c r="CJ153" s="105">
        <v>4.6479999999999997</v>
      </c>
      <c r="CK153" s="105">
        <v>4.6310000000000002</v>
      </c>
      <c r="CL153" s="105">
        <v>4.5289999999999999</v>
      </c>
      <c r="CM153" s="105">
        <v>4.42</v>
      </c>
      <c r="CN153" s="105">
        <v>4.4340000000000002</v>
      </c>
      <c r="CO153" s="105">
        <v>4.6890000000000001</v>
      </c>
      <c r="CP153" s="105">
        <v>4.5789999999999997</v>
      </c>
      <c r="CQ153" s="105">
        <v>4.6920000000000002</v>
      </c>
      <c r="CR153" s="105">
        <v>4.6639999999999997</v>
      </c>
      <c r="CS153" s="105">
        <v>4.74</v>
      </c>
      <c r="CT153" s="105">
        <v>4.6420000000000003</v>
      </c>
      <c r="CU153" s="105">
        <v>4.6719999999999997</v>
      </c>
      <c r="CV153" s="105">
        <v>4.4569999999999999</v>
      </c>
      <c r="CW153" s="105">
        <v>4.5019999999999998</v>
      </c>
      <c r="CX153" s="105">
        <v>4.6580000000000004</v>
      </c>
      <c r="CY153" s="105">
        <v>4.7389999999999999</v>
      </c>
      <c r="CZ153" s="105">
        <v>4.7770000000000001</v>
      </c>
      <c r="DA153" s="105">
        <v>4.8209999999999997</v>
      </c>
      <c r="DB153" s="105">
        <v>4.6840000000000002</v>
      </c>
      <c r="DC153" s="105">
        <v>4.6440000000000001</v>
      </c>
      <c r="DD153" s="105">
        <v>4.6429999999999998</v>
      </c>
      <c r="DE153" s="105">
        <v>4.67</v>
      </c>
      <c r="DF153" s="105">
        <v>4.4539999999999997</v>
      </c>
      <c r="DG153" s="105">
        <v>4.6189999999999998</v>
      </c>
      <c r="DH153" s="115">
        <v>3.8767290000000001</v>
      </c>
      <c r="DI153" s="115">
        <v>4.1494770000000001</v>
      </c>
      <c r="DJ153" s="115">
        <v>4.9668910000000004</v>
      </c>
      <c r="DK153" s="115">
        <v>4.1671149999999999</v>
      </c>
      <c r="DL153" s="115">
        <v>4.233587</v>
      </c>
      <c r="DM153" s="115">
        <v>4.8248129999999998</v>
      </c>
    </row>
    <row r="154" spans="1:117">
      <c r="A154" s="1">
        <f t="shared" si="24"/>
        <v>152</v>
      </c>
      <c r="B154" s="31" t="s">
        <v>344</v>
      </c>
      <c r="C154" s="4">
        <v>14</v>
      </c>
      <c r="D154" s="4">
        <f t="shared" si="20"/>
        <v>1016</v>
      </c>
      <c r="E154" s="4" t="s">
        <v>161</v>
      </c>
      <c r="F154" s="4">
        <v>1</v>
      </c>
      <c r="G154" s="4" t="s">
        <v>11</v>
      </c>
      <c r="H154" s="4" t="s">
        <v>17</v>
      </c>
      <c r="I154" s="4"/>
      <c r="J154" s="5">
        <v>85.6</v>
      </c>
      <c r="K154" s="63">
        <v>0</v>
      </c>
      <c r="L154" s="100">
        <v>4.7240000000000002</v>
      </c>
      <c r="M154" s="7" t="s">
        <v>383</v>
      </c>
      <c r="N154" s="3" t="s">
        <v>205</v>
      </c>
      <c r="O154" s="22">
        <v>4.9260000000000002</v>
      </c>
      <c r="P154" s="22">
        <v>4.8620000000000001</v>
      </c>
      <c r="Q154" s="22">
        <v>5.1970000000000001</v>
      </c>
      <c r="R154" s="60"/>
      <c r="S154" s="22">
        <v>4.8860000000000001</v>
      </c>
      <c r="T154" s="22">
        <v>4.7919999999999998</v>
      </c>
      <c r="U154" s="22">
        <v>4.7949999999999999</v>
      </c>
      <c r="V154" s="54"/>
      <c r="W154" s="60"/>
      <c r="X154" s="60"/>
      <c r="Y154" s="22">
        <v>4.7389999999999999</v>
      </c>
      <c r="Z154" s="22">
        <v>4.7309999999999999</v>
      </c>
      <c r="AA154" s="22">
        <v>4.78</v>
      </c>
      <c r="AB154" s="6">
        <v>4.5170000000000003</v>
      </c>
      <c r="AC154" s="22">
        <v>4.8710000000000004</v>
      </c>
      <c r="AD154" s="1">
        <v>4.6219999999999999</v>
      </c>
      <c r="AE154" s="22">
        <f t="shared" ref="AE154:AE160" si="25">IF((AC154&lt;&gt;"")*AND(AD154&lt;&gt;""),AVERAGE(AC154,AD154),"")</f>
        <v>4.7465000000000002</v>
      </c>
      <c r="AF154" s="103">
        <v>4.5259999999999998</v>
      </c>
      <c r="AG154" s="103">
        <v>4.5469999999999997</v>
      </c>
      <c r="AH154" s="103">
        <v>4.6210000000000004</v>
      </c>
      <c r="AI154" s="103">
        <v>4.76</v>
      </c>
      <c r="AJ154" s="103">
        <v>4.9000000000000004</v>
      </c>
      <c r="AK154" s="103">
        <v>4.6379999999999999</v>
      </c>
      <c r="AL154" s="103">
        <v>4.6470000000000002</v>
      </c>
      <c r="AM154" s="103">
        <v>5.0179999999999998</v>
      </c>
      <c r="AN154" s="103">
        <v>5.03</v>
      </c>
      <c r="AO154" s="103">
        <v>4.9050000000000002</v>
      </c>
      <c r="AP154" s="103">
        <v>5.03</v>
      </c>
      <c r="AQ154" s="103">
        <v>5.0609999999999999</v>
      </c>
      <c r="AR154" s="103">
        <v>5.0670000000000002</v>
      </c>
      <c r="AS154" s="103">
        <v>4.9480000000000004</v>
      </c>
      <c r="AT154" s="103">
        <v>4.9450000000000003</v>
      </c>
      <c r="AU154" s="103">
        <v>5.008</v>
      </c>
      <c r="AV154" s="103">
        <v>4.72</v>
      </c>
      <c r="AW154" s="103">
        <v>4.8</v>
      </c>
      <c r="AX154" s="103">
        <v>5.1660000000000004</v>
      </c>
      <c r="AY154" s="103">
        <v>5.048</v>
      </c>
      <c r="AZ154" s="103">
        <v>5.0869999999999997</v>
      </c>
      <c r="BA154" s="103">
        <v>5.1520000000000001</v>
      </c>
      <c r="BB154" s="103">
        <v>5.2060000000000004</v>
      </c>
      <c r="BC154" s="103">
        <v>5.2069999999999999</v>
      </c>
      <c r="BD154" s="103">
        <v>5.2039999999999997</v>
      </c>
      <c r="BE154" s="103">
        <v>4.694</v>
      </c>
      <c r="BF154" s="103">
        <v>4.9320000000000004</v>
      </c>
      <c r="BG154" s="103">
        <v>4.9039999999999999</v>
      </c>
      <c r="BH154" s="103">
        <v>5.0129999999999999</v>
      </c>
      <c r="BI154" s="103">
        <v>5.2370000000000001</v>
      </c>
      <c r="BJ154" s="103">
        <v>5.0709999999999997</v>
      </c>
      <c r="BK154" s="103">
        <v>4.2370000000000001</v>
      </c>
      <c r="BL154" s="103">
        <v>4.59</v>
      </c>
      <c r="BM154" s="103">
        <v>4.4989999999999997</v>
      </c>
      <c r="BN154" s="103">
        <v>4.9009999999999998</v>
      </c>
      <c r="BO154" s="103">
        <v>4.7359999999999998</v>
      </c>
      <c r="BP154" s="103">
        <v>4.8739999999999997</v>
      </c>
      <c r="BQ154" s="87">
        <v>4.3555609999999998</v>
      </c>
      <c r="BR154" s="87">
        <v>4.6978210000000002</v>
      </c>
      <c r="BS154" s="87">
        <v>5.6906030000000003</v>
      </c>
      <c r="BT154" s="87">
        <v>4.7098769999999996</v>
      </c>
      <c r="BU154" s="87">
        <v>4.7813939999999997</v>
      </c>
      <c r="BV154" s="87">
        <v>5.6425520000000002</v>
      </c>
      <c r="BW154" s="105">
        <v>4.5389999999999997</v>
      </c>
      <c r="BX154" s="105">
        <v>4.5609999999999999</v>
      </c>
      <c r="BY154" s="105">
        <v>4.6360000000000001</v>
      </c>
      <c r="BZ154" s="105">
        <v>4.7779999999999996</v>
      </c>
      <c r="CA154" s="105">
        <v>4.923</v>
      </c>
      <c r="CB154" s="105">
        <v>4.6639999999999997</v>
      </c>
      <c r="CC154" s="105">
        <v>4.673</v>
      </c>
      <c r="CD154" s="105">
        <v>5.0519999999999996</v>
      </c>
      <c r="CE154" s="105">
        <v>5.0650000000000004</v>
      </c>
      <c r="CF154" s="105">
        <v>4.9379999999999997</v>
      </c>
      <c r="CG154" s="105">
        <v>5.0709999999999997</v>
      </c>
      <c r="CH154" s="105">
        <v>5.1029999999999998</v>
      </c>
      <c r="CI154" s="105">
        <v>5.1100000000000003</v>
      </c>
      <c r="CJ154" s="105">
        <v>4.97</v>
      </c>
      <c r="CK154" s="105">
        <v>4.968</v>
      </c>
      <c r="CL154" s="105">
        <v>5.0490000000000004</v>
      </c>
      <c r="CM154" s="105">
        <v>4.7389999999999999</v>
      </c>
      <c r="CN154" s="105">
        <v>4.8289999999999997</v>
      </c>
      <c r="CO154" s="105">
        <v>5.2789999999999999</v>
      </c>
      <c r="CP154" s="105">
        <v>5.0880000000000001</v>
      </c>
      <c r="CQ154" s="105">
        <v>5.1440000000000001</v>
      </c>
      <c r="CR154" s="105">
        <v>5.22</v>
      </c>
      <c r="CS154" s="105">
        <v>5.3</v>
      </c>
      <c r="CT154" s="105">
        <v>5.3019999999999996</v>
      </c>
      <c r="CU154" s="105">
        <v>5.266</v>
      </c>
      <c r="CV154" s="105">
        <v>4.7759999999999998</v>
      </c>
      <c r="CW154" s="105">
        <v>4.9939999999999998</v>
      </c>
      <c r="CX154" s="105">
        <v>5.0339999999999998</v>
      </c>
      <c r="CY154" s="105">
        <v>5.16</v>
      </c>
      <c r="CZ154" s="105">
        <v>5.3680000000000003</v>
      </c>
      <c r="DA154" s="105">
        <v>5.2430000000000003</v>
      </c>
      <c r="DB154" s="105">
        <v>4.4960000000000004</v>
      </c>
      <c r="DC154" s="105">
        <v>4.798</v>
      </c>
      <c r="DD154" s="105">
        <v>4.734</v>
      </c>
      <c r="DE154" s="105">
        <v>4.9249999999999998</v>
      </c>
      <c r="DF154" s="105">
        <v>4.7539999999999996</v>
      </c>
      <c r="DG154" s="105">
        <v>4.9000000000000004</v>
      </c>
      <c r="DH154" s="115">
        <v>4.3832610000000001</v>
      </c>
      <c r="DI154" s="115">
        <v>4.7292019999999999</v>
      </c>
      <c r="DJ154" s="115">
        <v>5.7311990000000002</v>
      </c>
      <c r="DK154" s="115">
        <v>4.7437839999999998</v>
      </c>
      <c r="DL154" s="115">
        <v>4.8152400000000002</v>
      </c>
      <c r="DM154" s="115">
        <v>5.6825190000000001</v>
      </c>
    </row>
    <row r="155" spans="1:117">
      <c r="A155" s="1">
        <f t="shared" si="24"/>
        <v>153</v>
      </c>
      <c r="B155" s="31"/>
      <c r="C155" s="4">
        <v>14</v>
      </c>
      <c r="D155" s="4">
        <f t="shared" si="20"/>
        <v>1016</v>
      </c>
      <c r="E155" s="4" t="s">
        <v>160</v>
      </c>
      <c r="F155" s="4">
        <v>1</v>
      </c>
      <c r="G155" s="4" t="s">
        <v>11</v>
      </c>
      <c r="H155" s="4" t="s">
        <v>17</v>
      </c>
      <c r="I155" s="4"/>
      <c r="J155" s="5">
        <v>85.4</v>
      </c>
      <c r="K155" s="68"/>
      <c r="L155" s="100">
        <v>4.7460000000000004</v>
      </c>
      <c r="M155" s="7" t="s">
        <v>383</v>
      </c>
      <c r="N155" s="3" t="s">
        <v>205</v>
      </c>
      <c r="O155" s="22">
        <v>4.9409999999999998</v>
      </c>
      <c r="P155" s="22">
        <v>4.8860000000000001</v>
      </c>
      <c r="Q155" s="22">
        <v>5.218</v>
      </c>
      <c r="R155" s="60"/>
      <c r="S155" s="22">
        <v>4.9080000000000004</v>
      </c>
      <c r="T155" s="22">
        <v>4.8140000000000001</v>
      </c>
      <c r="U155" s="22">
        <v>4.8170000000000002</v>
      </c>
      <c r="V155" s="54"/>
      <c r="W155" s="60"/>
      <c r="X155" s="60"/>
      <c r="Y155" s="22">
        <v>4.7560000000000002</v>
      </c>
      <c r="Z155" s="22">
        <v>4.7469999999999999</v>
      </c>
      <c r="AA155" s="22">
        <v>4.7990000000000004</v>
      </c>
      <c r="AB155" s="6">
        <v>4.5309999999999997</v>
      </c>
      <c r="AC155" s="22">
        <v>4.8940000000000001</v>
      </c>
      <c r="AD155" s="1">
        <v>4.6449999999999996</v>
      </c>
      <c r="AE155" s="22">
        <f t="shared" si="25"/>
        <v>4.7694999999999999</v>
      </c>
      <c r="AF155" s="103">
        <v>4.5599999999999996</v>
      </c>
      <c r="AG155" s="103">
        <v>4.5819999999999999</v>
      </c>
      <c r="AH155" s="103">
        <v>4.6609999999999996</v>
      </c>
      <c r="AI155" s="103">
        <v>4.7969999999999997</v>
      </c>
      <c r="AJ155" s="103">
        <v>4.9359999999999999</v>
      </c>
      <c r="AK155" s="103">
        <v>4.6829999999999998</v>
      </c>
      <c r="AL155" s="103">
        <v>4.6890000000000001</v>
      </c>
      <c r="AM155" s="103">
        <v>5.0570000000000004</v>
      </c>
      <c r="AN155" s="103">
        <v>5.0629999999999997</v>
      </c>
      <c r="AO155" s="103">
        <v>4.9359999999999999</v>
      </c>
      <c r="AP155" s="103">
        <v>5.0819999999999999</v>
      </c>
      <c r="AQ155" s="103">
        <v>5.0979999999999999</v>
      </c>
      <c r="AR155" s="103">
        <v>5.1029999999999998</v>
      </c>
      <c r="AS155" s="103">
        <v>4.9790000000000001</v>
      </c>
      <c r="AT155" s="103">
        <v>4.9770000000000003</v>
      </c>
      <c r="AU155" s="103">
        <v>5.0430000000000001</v>
      </c>
      <c r="AV155" s="103">
        <v>4.766</v>
      </c>
      <c r="AW155" s="103">
        <v>4.8390000000000004</v>
      </c>
      <c r="AX155" s="103">
        <v>5.1909999999999998</v>
      </c>
      <c r="AY155" s="103">
        <v>5.0780000000000003</v>
      </c>
      <c r="AZ155" s="103">
        <v>5.1230000000000002</v>
      </c>
      <c r="BA155" s="103">
        <v>5.1779999999999999</v>
      </c>
      <c r="BB155" s="103">
        <v>5.2290000000000001</v>
      </c>
      <c r="BC155" s="103">
        <v>5.2279999999999998</v>
      </c>
      <c r="BD155" s="103">
        <v>5.2409999999999997</v>
      </c>
      <c r="BE155" s="103">
        <v>4.7229999999999999</v>
      </c>
      <c r="BF155" s="103">
        <v>4.9630000000000001</v>
      </c>
      <c r="BG155" s="103">
        <v>4.9279999999999999</v>
      </c>
      <c r="BH155" s="103">
        <v>5.0389999999999997</v>
      </c>
      <c r="BI155" s="103">
        <v>5.26</v>
      </c>
      <c r="BJ155" s="103">
        <v>5.093</v>
      </c>
      <c r="BK155" s="103">
        <v>4.242</v>
      </c>
      <c r="BL155" s="103">
        <v>4.601</v>
      </c>
      <c r="BM155" s="103">
        <v>4.508</v>
      </c>
      <c r="BN155" s="103">
        <v>4.9329999999999998</v>
      </c>
      <c r="BO155" s="103">
        <v>4.7699999999999996</v>
      </c>
      <c r="BP155" s="103">
        <v>4.91</v>
      </c>
      <c r="BQ155" s="87">
        <v>4.3786930000000002</v>
      </c>
      <c r="BR155" s="87">
        <v>4.7241390000000001</v>
      </c>
      <c r="BS155" s="87">
        <v>5.7176200000000001</v>
      </c>
      <c r="BT155" s="87">
        <v>4.7354880000000001</v>
      </c>
      <c r="BU155" s="87">
        <v>4.8081670000000001</v>
      </c>
      <c r="BV155" s="87">
        <v>5.6688029999999996</v>
      </c>
      <c r="BW155" s="105">
        <v>4.5720000000000001</v>
      </c>
      <c r="BX155" s="105">
        <v>4.5949999999999998</v>
      </c>
      <c r="BY155" s="105">
        <v>4.6779999999999999</v>
      </c>
      <c r="BZ155" s="105">
        <v>4.8150000000000004</v>
      </c>
      <c r="CA155" s="105">
        <v>4.9589999999999996</v>
      </c>
      <c r="CB155" s="105">
        <v>4.7089999999999996</v>
      </c>
      <c r="CC155" s="105">
        <v>4.7149999999999999</v>
      </c>
      <c r="CD155" s="105">
        <v>5.0910000000000002</v>
      </c>
      <c r="CE155" s="105">
        <v>5.0979999999999999</v>
      </c>
      <c r="CF155" s="105">
        <v>4.9690000000000003</v>
      </c>
      <c r="CG155" s="105">
        <v>5.1239999999999997</v>
      </c>
      <c r="CH155" s="105">
        <v>5.141</v>
      </c>
      <c r="CI155" s="105">
        <v>5.1459999999999999</v>
      </c>
      <c r="CJ155" s="105">
        <v>5.0019999999999998</v>
      </c>
      <c r="CK155" s="105">
        <v>5</v>
      </c>
      <c r="CL155" s="105">
        <v>5.085</v>
      </c>
      <c r="CM155" s="105">
        <v>4.7839999999999998</v>
      </c>
      <c r="CN155" s="105">
        <v>4.8620000000000001</v>
      </c>
      <c r="CO155" s="105">
        <v>5.3049999999999997</v>
      </c>
      <c r="CP155" s="105">
        <v>5.1180000000000003</v>
      </c>
      <c r="CQ155" s="105">
        <v>5.1820000000000004</v>
      </c>
      <c r="CR155" s="105">
        <v>5.2469999999999999</v>
      </c>
      <c r="CS155" s="105">
        <v>5.3250000000000002</v>
      </c>
      <c r="CT155" s="105">
        <v>5.3239999999999998</v>
      </c>
      <c r="CU155" s="105">
        <v>5.3049999999999997</v>
      </c>
      <c r="CV155" s="105">
        <v>4.8079999999999998</v>
      </c>
      <c r="CW155" s="105">
        <v>5.0259999999999998</v>
      </c>
      <c r="CX155" s="105">
        <v>5.0609999999999999</v>
      </c>
      <c r="CY155" s="105">
        <v>5.1879999999999997</v>
      </c>
      <c r="CZ155" s="105">
        <v>5.3929999999999998</v>
      </c>
      <c r="DA155" s="105">
        <v>5.2670000000000003</v>
      </c>
      <c r="DB155" s="105">
        <v>4.5060000000000002</v>
      </c>
      <c r="DC155" s="105">
        <v>4.8129999999999997</v>
      </c>
      <c r="DD155" s="105">
        <v>4.7460000000000004</v>
      </c>
      <c r="DE155" s="105">
        <v>4.9569999999999999</v>
      </c>
      <c r="DF155" s="105">
        <v>4.7889999999999997</v>
      </c>
      <c r="DG155" s="105">
        <v>4.9370000000000003</v>
      </c>
      <c r="DH155" s="115">
        <v>4.4067299999999996</v>
      </c>
      <c r="DI155" s="115">
        <v>4.7559979999999999</v>
      </c>
      <c r="DJ155" s="115">
        <v>5.7633279999999996</v>
      </c>
      <c r="DK155" s="115">
        <v>4.7698309999999999</v>
      </c>
      <c r="DL155" s="115">
        <v>4.8425450000000003</v>
      </c>
      <c r="DM155" s="115">
        <v>5.7140009999999997</v>
      </c>
    </row>
    <row r="156" spans="1:117">
      <c r="A156" s="1">
        <f t="shared" si="24"/>
        <v>154</v>
      </c>
      <c r="B156" s="31"/>
      <c r="C156" s="4">
        <v>14</v>
      </c>
      <c r="D156" s="4">
        <f t="shared" si="20"/>
        <v>1016</v>
      </c>
      <c r="E156" s="4" t="s">
        <v>162</v>
      </c>
      <c r="F156" s="4">
        <v>1</v>
      </c>
      <c r="G156" s="4" t="s">
        <v>11</v>
      </c>
      <c r="H156" s="4" t="s">
        <v>17</v>
      </c>
      <c r="I156" s="4"/>
      <c r="J156" s="5">
        <v>91.4</v>
      </c>
      <c r="K156" s="63">
        <v>1.0049999999999999</v>
      </c>
      <c r="L156" s="100">
        <v>4.7959999999999994</v>
      </c>
      <c r="M156" s="7" t="s">
        <v>383</v>
      </c>
      <c r="N156" s="3" t="s">
        <v>205</v>
      </c>
      <c r="O156" s="22">
        <v>5.0190000000000001</v>
      </c>
      <c r="P156" s="22">
        <v>4.7670000000000003</v>
      </c>
      <c r="Q156" s="22">
        <v>5.2309999999999999</v>
      </c>
      <c r="R156" s="60"/>
      <c r="S156" s="22">
        <v>4.931</v>
      </c>
      <c r="T156" s="22">
        <v>4.8380000000000001</v>
      </c>
      <c r="U156" s="22">
        <v>4.8369999999999997</v>
      </c>
      <c r="V156" s="54"/>
      <c r="W156" s="60"/>
      <c r="X156" s="60"/>
      <c r="Y156" s="22">
        <v>4.8840000000000003</v>
      </c>
      <c r="Z156" s="22">
        <v>4.9160000000000004</v>
      </c>
      <c r="AA156" s="22">
        <v>4.87</v>
      </c>
      <c r="AB156" s="6">
        <v>4.6920000000000002</v>
      </c>
      <c r="AC156" s="22">
        <v>4.7359999999999998</v>
      </c>
      <c r="AD156" s="1">
        <v>4.5860000000000003</v>
      </c>
      <c r="AE156" s="22">
        <f t="shared" si="25"/>
        <v>4.6609999999999996</v>
      </c>
      <c r="AF156" s="103">
        <v>4.08</v>
      </c>
      <c r="AG156" s="103">
        <v>4.069</v>
      </c>
      <c r="AH156" s="103">
        <v>4.1180000000000003</v>
      </c>
      <c r="AI156" s="103">
        <v>4.2130000000000001</v>
      </c>
      <c r="AJ156" s="103">
        <v>4.1900000000000004</v>
      </c>
      <c r="AK156" s="103">
        <v>4.0880000000000001</v>
      </c>
      <c r="AL156" s="103">
        <v>4.1130000000000004</v>
      </c>
      <c r="AM156" s="103">
        <v>4.3760000000000003</v>
      </c>
      <c r="AN156" s="103">
        <v>4.4089999999999998</v>
      </c>
      <c r="AO156" s="103">
        <v>4.2930000000000001</v>
      </c>
      <c r="AP156" s="103">
        <v>4.4880000000000004</v>
      </c>
      <c r="AQ156" s="103">
        <v>4.4829999999999997</v>
      </c>
      <c r="AR156" s="103">
        <v>4.524</v>
      </c>
      <c r="AS156" s="103">
        <v>4.3070000000000004</v>
      </c>
      <c r="AT156" s="103">
        <v>4.2939999999999996</v>
      </c>
      <c r="AU156" s="103">
        <v>4.4130000000000003</v>
      </c>
      <c r="AV156" s="103">
        <v>4.2210000000000001</v>
      </c>
      <c r="AW156" s="103">
        <v>4.24</v>
      </c>
      <c r="AX156" s="103">
        <v>4.5410000000000004</v>
      </c>
      <c r="AY156" s="103">
        <v>4.4580000000000002</v>
      </c>
      <c r="AZ156" s="103">
        <v>4.5039999999999996</v>
      </c>
      <c r="BA156" s="103">
        <v>4.5730000000000004</v>
      </c>
      <c r="BB156" s="103">
        <v>4.6340000000000003</v>
      </c>
      <c r="BC156" s="103">
        <v>4.6639999999999997</v>
      </c>
      <c r="BD156" s="103">
        <v>4.6040000000000001</v>
      </c>
      <c r="BE156" s="103">
        <v>4.4050000000000002</v>
      </c>
      <c r="BF156" s="103">
        <v>4.431</v>
      </c>
      <c r="BG156" s="103">
        <v>4.6029999999999998</v>
      </c>
      <c r="BH156" s="103">
        <v>4.67</v>
      </c>
      <c r="BI156" s="103">
        <v>4.7060000000000004</v>
      </c>
      <c r="BJ156" s="103">
        <v>4.742</v>
      </c>
      <c r="BK156" s="103">
        <v>4.4829999999999997</v>
      </c>
      <c r="BL156" s="103">
        <v>4.593</v>
      </c>
      <c r="BM156" s="103">
        <v>4.5720000000000001</v>
      </c>
      <c r="BN156" s="103">
        <v>4.3159999999999998</v>
      </c>
      <c r="BO156" s="103">
        <v>4.2069999999999999</v>
      </c>
      <c r="BP156" s="103">
        <v>4.3079999999999998</v>
      </c>
      <c r="BQ156" s="87">
        <v>4.0343260000000001</v>
      </c>
      <c r="BR156" s="87">
        <v>4.3105580000000003</v>
      </c>
      <c r="BS156" s="87">
        <v>4.8838619999999997</v>
      </c>
      <c r="BT156" s="87">
        <v>4.3161860000000001</v>
      </c>
      <c r="BU156" s="87">
        <v>4.3834819999999999</v>
      </c>
      <c r="BV156" s="87">
        <v>4.8374750000000004</v>
      </c>
      <c r="BW156" s="105">
        <v>4.2469999999999999</v>
      </c>
      <c r="BX156" s="105">
        <v>4.234</v>
      </c>
      <c r="BY156" s="105">
        <v>4.2770000000000001</v>
      </c>
      <c r="BZ156" s="105">
        <v>4.3710000000000004</v>
      </c>
      <c r="CA156" s="105">
        <v>4.3559999999999999</v>
      </c>
      <c r="CB156" s="105">
        <v>4.2450000000000001</v>
      </c>
      <c r="CC156" s="105">
        <v>4.2709999999999999</v>
      </c>
      <c r="CD156" s="105">
        <v>4.5279999999999996</v>
      </c>
      <c r="CE156" s="105">
        <v>4.5739999999999998</v>
      </c>
      <c r="CF156" s="105">
        <v>4.452</v>
      </c>
      <c r="CG156" s="105">
        <v>4.6559999999999997</v>
      </c>
      <c r="CH156" s="105">
        <v>4.6440000000000001</v>
      </c>
      <c r="CI156" s="105">
        <v>4.681</v>
      </c>
      <c r="CJ156" s="105">
        <v>4.468</v>
      </c>
      <c r="CK156" s="105">
        <v>4.4569999999999999</v>
      </c>
      <c r="CL156" s="105">
        <v>4.5599999999999996</v>
      </c>
      <c r="CM156" s="105">
        <v>4.3659999999999997</v>
      </c>
      <c r="CN156" s="105">
        <v>4.3920000000000003</v>
      </c>
      <c r="CO156" s="105">
        <v>4.7190000000000003</v>
      </c>
      <c r="CP156" s="105">
        <v>4.6020000000000003</v>
      </c>
      <c r="CQ156" s="105">
        <v>4.6479999999999997</v>
      </c>
      <c r="CR156" s="105">
        <v>4.7220000000000004</v>
      </c>
      <c r="CS156" s="105">
        <v>4.7880000000000003</v>
      </c>
      <c r="CT156" s="105">
        <v>4.82</v>
      </c>
      <c r="CU156" s="105">
        <v>4.7720000000000002</v>
      </c>
      <c r="CV156" s="105">
        <v>4.5110000000000001</v>
      </c>
      <c r="CW156" s="105">
        <v>4.5629999999999997</v>
      </c>
      <c r="CX156" s="105">
        <v>4.7110000000000003</v>
      </c>
      <c r="CY156" s="105">
        <v>4.7990000000000004</v>
      </c>
      <c r="CZ156" s="105">
        <v>4.8579999999999997</v>
      </c>
      <c r="DA156" s="105">
        <v>4.8689999999999998</v>
      </c>
      <c r="DB156" s="105">
        <v>4.835</v>
      </c>
      <c r="DC156" s="105">
        <v>4.7060000000000004</v>
      </c>
      <c r="DD156" s="105">
        <v>4.6829999999999998</v>
      </c>
      <c r="DE156" s="105">
        <v>4.4749999999999996</v>
      </c>
      <c r="DF156" s="105">
        <v>4.367</v>
      </c>
      <c r="DG156" s="105">
        <v>4.4640000000000004</v>
      </c>
      <c r="DH156" s="115">
        <v>4.2154759999999998</v>
      </c>
      <c r="DI156" s="115">
        <v>4.4825350000000004</v>
      </c>
      <c r="DJ156" s="115">
        <v>5.0308919999999997</v>
      </c>
      <c r="DK156" s="115">
        <v>4.4827170000000001</v>
      </c>
      <c r="DL156" s="115">
        <v>4.5523160000000003</v>
      </c>
      <c r="DM156" s="115">
        <v>4.9857019999999999</v>
      </c>
    </row>
    <row r="157" spans="1:117">
      <c r="A157" s="1">
        <f t="shared" ref="A157:A160" si="26">A156+1</f>
        <v>155</v>
      </c>
      <c r="B157" s="31"/>
      <c r="C157" s="4">
        <v>14</v>
      </c>
      <c r="D157" s="4">
        <f t="shared" si="20"/>
        <v>1016</v>
      </c>
      <c r="E157" s="4" t="s">
        <v>150</v>
      </c>
      <c r="F157" s="4">
        <v>1</v>
      </c>
      <c r="G157" s="4" t="s">
        <v>11</v>
      </c>
      <c r="H157" s="4" t="s">
        <v>17</v>
      </c>
      <c r="I157" s="4"/>
      <c r="J157" s="5">
        <v>90.8</v>
      </c>
      <c r="K157" s="68"/>
      <c r="L157" s="100">
        <v>5.5460000000000012</v>
      </c>
      <c r="M157" s="7" t="s">
        <v>383</v>
      </c>
      <c r="N157" s="3" t="s">
        <v>205</v>
      </c>
      <c r="O157" s="22">
        <v>6</v>
      </c>
      <c r="P157" s="22">
        <v>5.6429999999999998</v>
      </c>
      <c r="Q157" s="22">
        <v>6.0119999999999996</v>
      </c>
      <c r="R157" s="60"/>
      <c r="S157" s="22">
        <v>5.7519999999999998</v>
      </c>
      <c r="T157" s="22">
        <v>5.6059999999999999</v>
      </c>
      <c r="U157" s="22">
        <v>5.6059999999999999</v>
      </c>
      <c r="V157" s="54"/>
      <c r="W157" s="60"/>
      <c r="X157" s="60"/>
      <c r="Y157" s="22">
        <v>5.944</v>
      </c>
      <c r="Z157" s="22">
        <v>5.9589999999999996</v>
      </c>
      <c r="AA157" s="22">
        <v>5.8570000000000002</v>
      </c>
      <c r="AB157" s="6">
        <v>5.7590000000000003</v>
      </c>
      <c r="AC157" s="22">
        <v>5.6440000000000001</v>
      </c>
      <c r="AD157" s="22">
        <v>5.35</v>
      </c>
      <c r="AE157" s="22">
        <f t="shared" si="25"/>
        <v>5.4969999999999999</v>
      </c>
      <c r="AF157" s="103">
        <v>4.6710000000000003</v>
      </c>
      <c r="AG157" s="103">
        <v>4.6619999999999999</v>
      </c>
      <c r="AH157" s="103">
        <v>4.7560000000000002</v>
      </c>
      <c r="AI157" s="103">
        <v>4.8470000000000004</v>
      </c>
      <c r="AJ157" s="103">
        <v>4.8769999999999998</v>
      </c>
      <c r="AK157" s="103">
        <v>4.7480000000000002</v>
      </c>
      <c r="AL157" s="103">
        <v>4.7889999999999997</v>
      </c>
      <c r="AM157" s="103">
        <v>5.0979999999999999</v>
      </c>
      <c r="AN157" s="103">
        <v>5.0060000000000002</v>
      </c>
      <c r="AO157" s="103">
        <v>4.8369999999999997</v>
      </c>
      <c r="AP157" s="103">
        <v>4.97</v>
      </c>
      <c r="AQ157" s="103">
        <v>4.944</v>
      </c>
      <c r="AR157" s="103">
        <v>5.1630000000000003</v>
      </c>
      <c r="AS157" s="103">
        <v>4.9329999999999998</v>
      </c>
      <c r="AT157" s="103">
        <v>4.9089999999999998</v>
      </c>
      <c r="AU157" s="103">
        <v>5.1280000000000001</v>
      </c>
      <c r="AV157" s="103">
        <v>4.8</v>
      </c>
      <c r="AW157" s="103">
        <v>4.915</v>
      </c>
      <c r="AX157" s="103">
        <v>5.3849999999999998</v>
      </c>
      <c r="AY157" s="103">
        <v>5.1260000000000003</v>
      </c>
      <c r="AZ157" s="103">
        <v>5.1989999999999998</v>
      </c>
      <c r="BA157" s="103">
        <v>5.3040000000000003</v>
      </c>
      <c r="BB157" s="103">
        <v>5.391</v>
      </c>
      <c r="BC157" s="103">
        <v>5.3680000000000003</v>
      </c>
      <c r="BD157" s="103">
        <v>5.0270000000000001</v>
      </c>
      <c r="BE157" s="103">
        <v>5.1429999999999998</v>
      </c>
      <c r="BF157" s="103">
        <v>5.15</v>
      </c>
      <c r="BG157" s="103">
        <v>5.351</v>
      </c>
      <c r="BH157" s="103">
        <v>5.44</v>
      </c>
      <c r="BI157" s="103">
        <v>5.4429999999999996</v>
      </c>
      <c r="BJ157" s="103">
        <v>5.484</v>
      </c>
      <c r="BK157" s="103">
        <v>5.5209999999999999</v>
      </c>
      <c r="BL157" s="103">
        <v>5.4189999999999996</v>
      </c>
      <c r="BM157" s="103">
        <v>5.407</v>
      </c>
      <c r="BN157" s="103">
        <v>4.9660000000000002</v>
      </c>
      <c r="BO157" s="103">
        <v>4.8499999999999996</v>
      </c>
      <c r="BP157" s="103">
        <v>4.9909999999999997</v>
      </c>
      <c r="BQ157" s="87">
        <v>4.7497680000000004</v>
      </c>
      <c r="BR157" s="87">
        <v>5.1174340000000003</v>
      </c>
      <c r="BS157" s="87">
        <v>5.928026</v>
      </c>
      <c r="BT157" s="87">
        <v>5.0989199999999997</v>
      </c>
      <c r="BU157" s="87">
        <v>5.2194320000000003</v>
      </c>
      <c r="BV157" s="87">
        <v>5.8511430000000004</v>
      </c>
      <c r="BW157" s="105">
        <v>4.6740000000000004</v>
      </c>
      <c r="BX157" s="105">
        <v>4.6660000000000004</v>
      </c>
      <c r="BY157" s="105">
        <v>4.7619999999999996</v>
      </c>
      <c r="BZ157" s="105">
        <v>4.8559999999999999</v>
      </c>
      <c r="CA157" s="105">
        <v>4.9089999999999998</v>
      </c>
      <c r="CB157" s="105">
        <v>4.7699999999999996</v>
      </c>
      <c r="CC157" s="105">
        <v>4.8090000000000002</v>
      </c>
      <c r="CD157" s="105">
        <v>5.1260000000000003</v>
      </c>
      <c r="CE157" s="105">
        <v>5.0380000000000003</v>
      </c>
      <c r="CF157" s="105">
        <v>4.8760000000000003</v>
      </c>
      <c r="CG157" s="105">
        <v>5.0330000000000004</v>
      </c>
      <c r="CH157" s="105">
        <v>5.0119999999999996</v>
      </c>
      <c r="CI157" s="105">
        <v>5.1870000000000003</v>
      </c>
      <c r="CJ157" s="105">
        <v>4.9509999999999996</v>
      </c>
      <c r="CK157" s="105">
        <v>4.9290000000000003</v>
      </c>
      <c r="CL157" s="105">
        <v>5.15</v>
      </c>
      <c r="CM157" s="105">
        <v>4.8049999999999997</v>
      </c>
      <c r="CN157" s="105">
        <v>4.9260000000000002</v>
      </c>
      <c r="CO157" s="105">
        <v>5.4489999999999998</v>
      </c>
      <c r="CP157" s="105">
        <v>5.1470000000000002</v>
      </c>
      <c r="CQ157" s="105">
        <v>5.23</v>
      </c>
      <c r="CR157" s="105">
        <v>5.3360000000000003</v>
      </c>
      <c r="CS157" s="105">
        <v>5.4279999999999999</v>
      </c>
      <c r="CT157" s="105">
        <v>5.4050000000000002</v>
      </c>
      <c r="CU157" s="105">
        <v>5.1059999999999999</v>
      </c>
      <c r="CV157" s="105">
        <v>5.1980000000000004</v>
      </c>
      <c r="CW157" s="105">
        <v>5.1980000000000004</v>
      </c>
      <c r="CX157" s="105">
        <v>5.4610000000000003</v>
      </c>
      <c r="CY157" s="105">
        <v>5.548</v>
      </c>
      <c r="CZ157" s="105">
        <v>5.5490000000000004</v>
      </c>
      <c r="DA157" s="105">
        <v>5.6360000000000001</v>
      </c>
      <c r="DB157" s="105">
        <v>5.6539999999999999</v>
      </c>
      <c r="DC157" s="105">
        <v>5.5389999999999997</v>
      </c>
      <c r="DD157" s="105">
        <v>5.5410000000000004</v>
      </c>
      <c r="DE157" s="105">
        <v>4.976</v>
      </c>
      <c r="DF157" s="105">
        <v>4.8559999999999999</v>
      </c>
      <c r="DG157" s="105">
        <v>5.0019999999999998</v>
      </c>
      <c r="DH157" s="115">
        <v>4.7580900000000002</v>
      </c>
      <c r="DI157" s="115">
        <v>5.1276869999999999</v>
      </c>
      <c r="DJ157" s="115">
        <v>5.937684</v>
      </c>
      <c r="DK157" s="115">
        <v>5.1120510000000001</v>
      </c>
      <c r="DL157" s="115">
        <v>5.2310610000000004</v>
      </c>
      <c r="DM157" s="115">
        <v>5.8600500000000002</v>
      </c>
    </row>
    <row r="158" spans="1:117">
      <c r="A158" s="1">
        <f t="shared" si="26"/>
        <v>156</v>
      </c>
      <c r="B158" s="31"/>
      <c r="C158" s="4">
        <v>14</v>
      </c>
      <c r="D158" s="4">
        <f t="shared" si="20"/>
        <v>1016</v>
      </c>
      <c r="E158" s="4" t="s">
        <v>163</v>
      </c>
      <c r="F158" s="4">
        <v>1</v>
      </c>
      <c r="G158" s="4" t="s">
        <v>14</v>
      </c>
      <c r="H158" s="4"/>
      <c r="I158" s="4"/>
      <c r="J158" s="5">
        <v>92.8</v>
      </c>
      <c r="K158" s="63">
        <v>2E-3</v>
      </c>
      <c r="L158" s="100">
        <v>5.5980000000000008</v>
      </c>
      <c r="M158" s="7" t="s">
        <v>383</v>
      </c>
      <c r="N158" s="3" t="s">
        <v>205</v>
      </c>
      <c r="O158" s="22">
        <v>5.702</v>
      </c>
      <c r="P158" s="22">
        <v>5.5810000000000004</v>
      </c>
      <c r="Q158" s="22">
        <v>6.0229999999999997</v>
      </c>
      <c r="R158" s="60"/>
      <c r="S158" s="22">
        <v>5.7089999999999996</v>
      </c>
      <c r="T158" s="22">
        <v>5.6210000000000004</v>
      </c>
      <c r="U158" s="22">
        <v>5.6289999999999996</v>
      </c>
      <c r="V158" s="54"/>
      <c r="W158" s="60"/>
      <c r="X158" s="60"/>
      <c r="Y158" s="22">
        <v>5.8780000000000001</v>
      </c>
      <c r="Z158" s="22">
        <v>5.8140000000000001</v>
      </c>
      <c r="AA158" s="22">
        <v>5.7370000000000001</v>
      </c>
      <c r="AB158" s="6">
        <v>5.7590000000000003</v>
      </c>
      <c r="AC158" s="22">
        <v>5.6479999999999997</v>
      </c>
      <c r="AD158" s="22">
        <v>5.4249999999999998</v>
      </c>
      <c r="AE158" s="22">
        <f t="shared" si="25"/>
        <v>5.5365000000000002</v>
      </c>
      <c r="AF158" s="103">
        <v>5.1470000000000002</v>
      </c>
      <c r="AG158" s="103">
        <v>5.2939999999999996</v>
      </c>
      <c r="AH158" s="103">
        <v>5.117</v>
      </c>
      <c r="AI158" s="103">
        <v>5.3810000000000002</v>
      </c>
      <c r="AJ158" s="103">
        <v>5.7549999999999999</v>
      </c>
      <c r="AK158" s="103">
        <v>4.4359999999999999</v>
      </c>
      <c r="AL158" s="103">
        <v>4.4710000000000001</v>
      </c>
      <c r="AM158" s="103">
        <v>5.3840000000000003</v>
      </c>
      <c r="AN158" s="103">
        <v>5.7460000000000004</v>
      </c>
      <c r="AO158" s="103">
        <v>6.0389999999999997</v>
      </c>
      <c r="AP158" s="103">
        <v>4.9550000000000001</v>
      </c>
      <c r="AQ158" s="103">
        <v>5.47</v>
      </c>
      <c r="AR158" s="103">
        <v>5.5110000000000001</v>
      </c>
      <c r="AS158" s="103">
        <v>5.8680000000000003</v>
      </c>
      <c r="AT158" s="103">
        <v>5.86</v>
      </c>
      <c r="AU158" s="103">
        <v>5.5620000000000003</v>
      </c>
      <c r="AV158" s="103">
        <v>5.0570000000000004</v>
      </c>
      <c r="AW158" s="103">
        <v>5.2789999999999999</v>
      </c>
      <c r="AX158" s="103">
        <v>5.8230000000000004</v>
      </c>
      <c r="AY158" s="103">
        <v>5.8010000000000002</v>
      </c>
      <c r="AZ158" s="103">
        <v>5.36</v>
      </c>
      <c r="BA158" s="103">
        <v>6.1050000000000004</v>
      </c>
      <c r="BB158" s="103">
        <v>6.2549999999999999</v>
      </c>
      <c r="BC158" s="103">
        <v>6.2759999999999998</v>
      </c>
      <c r="BD158" s="103">
        <v>5.1619999999999999</v>
      </c>
      <c r="BE158" s="103">
        <v>5.3369999999999997</v>
      </c>
      <c r="BF158" s="103">
        <v>5.6740000000000004</v>
      </c>
      <c r="BG158" s="103">
        <v>5.7889999999999997</v>
      </c>
      <c r="BH158" s="103">
        <v>5.7939999999999996</v>
      </c>
      <c r="BI158" s="103">
        <v>6.2640000000000002</v>
      </c>
      <c r="BJ158" s="103">
        <v>6.0940000000000003</v>
      </c>
      <c r="BK158" s="103">
        <v>5.7</v>
      </c>
      <c r="BL158" s="103">
        <v>5.8780000000000001</v>
      </c>
      <c r="BM158" s="103">
        <v>5.9630000000000001</v>
      </c>
      <c r="BN158" s="103">
        <v>5.9329999999999998</v>
      </c>
      <c r="BO158" s="103">
        <v>5.6349999999999998</v>
      </c>
      <c r="BP158" s="103">
        <v>5.5019999999999998</v>
      </c>
      <c r="BQ158" s="87">
        <v>5.0727500000000001</v>
      </c>
      <c r="BR158" s="87">
        <v>5.4159179999999996</v>
      </c>
      <c r="BS158" s="87">
        <v>6.1508139999999996</v>
      </c>
      <c r="BT158" s="87">
        <v>5.304379</v>
      </c>
      <c r="BU158" s="87">
        <v>5.4771380000000001</v>
      </c>
      <c r="BV158" s="87">
        <v>6.1201530000000002</v>
      </c>
      <c r="BW158" s="105">
        <v>5.1479999999999997</v>
      </c>
      <c r="BX158" s="105">
        <v>5.2939999999999996</v>
      </c>
      <c r="BY158" s="105">
        <v>5.1180000000000003</v>
      </c>
      <c r="BZ158" s="105">
        <v>5.3819999999999997</v>
      </c>
      <c r="CA158" s="105">
        <v>5.7569999999999997</v>
      </c>
      <c r="CB158" s="105">
        <v>4.4409999999999998</v>
      </c>
      <c r="CC158" s="105">
        <v>4.4740000000000002</v>
      </c>
      <c r="CD158" s="105">
        <v>5.3879999999999999</v>
      </c>
      <c r="CE158" s="105">
        <v>5.7519999999999998</v>
      </c>
      <c r="CF158" s="105">
        <v>6.0449999999999999</v>
      </c>
      <c r="CG158" s="105">
        <v>4.96</v>
      </c>
      <c r="CH158" s="105">
        <v>5.4720000000000004</v>
      </c>
      <c r="CI158" s="105">
        <v>5.5129999999999999</v>
      </c>
      <c r="CJ158" s="105">
        <v>5.8710000000000004</v>
      </c>
      <c r="CK158" s="105">
        <v>5.8630000000000004</v>
      </c>
      <c r="CL158" s="105">
        <v>5.5629999999999997</v>
      </c>
      <c r="CM158" s="105">
        <v>5.0579999999999998</v>
      </c>
      <c r="CN158" s="105">
        <v>5.38</v>
      </c>
      <c r="CO158" s="105">
        <v>5.8250000000000002</v>
      </c>
      <c r="CP158" s="105">
        <v>5.8029999999999999</v>
      </c>
      <c r="CQ158" s="105">
        <v>5.3620000000000001</v>
      </c>
      <c r="CR158" s="105">
        <v>6.1079999999999997</v>
      </c>
      <c r="CS158" s="105">
        <v>6.258</v>
      </c>
      <c r="CT158" s="105">
        <v>6.2779999999999996</v>
      </c>
      <c r="CU158" s="105">
        <v>5.1680000000000001</v>
      </c>
      <c r="CV158" s="105">
        <v>5.3419999999999996</v>
      </c>
      <c r="CW158" s="105">
        <v>5.6790000000000003</v>
      </c>
      <c r="CX158" s="105">
        <v>5.7949999999999999</v>
      </c>
      <c r="CY158" s="105">
        <v>5.7960000000000003</v>
      </c>
      <c r="CZ158" s="105">
        <v>6.2670000000000003</v>
      </c>
      <c r="DA158" s="105">
        <v>6.0960000000000001</v>
      </c>
      <c r="DB158" s="105">
        <v>5.7</v>
      </c>
      <c r="DC158" s="105">
        <v>5.88</v>
      </c>
      <c r="DD158" s="105">
        <v>5.9660000000000002</v>
      </c>
      <c r="DE158" s="105">
        <v>5.9349999999999996</v>
      </c>
      <c r="DF158" s="105">
        <v>5.6360000000000001</v>
      </c>
      <c r="DG158" s="105">
        <v>5.5030000000000001</v>
      </c>
      <c r="DH158" s="115">
        <v>5.0750789999999997</v>
      </c>
      <c r="DI158" s="115">
        <v>5.4176710000000003</v>
      </c>
      <c r="DJ158" s="115">
        <v>6.1516229999999998</v>
      </c>
      <c r="DK158" s="115">
        <v>5.3069980000000001</v>
      </c>
      <c r="DL158" s="115">
        <v>5.4789599999999998</v>
      </c>
      <c r="DM158" s="115">
        <v>6.1209340000000001</v>
      </c>
    </row>
    <row r="159" spans="1:117">
      <c r="A159" s="1">
        <f t="shared" si="26"/>
        <v>157</v>
      </c>
      <c r="B159" s="31"/>
      <c r="C159" s="4">
        <v>14</v>
      </c>
      <c r="D159" s="4">
        <f t="shared" si="20"/>
        <v>1016</v>
      </c>
      <c r="E159" s="4" t="s">
        <v>162</v>
      </c>
      <c r="F159" s="4">
        <v>3</v>
      </c>
      <c r="G159" s="4" t="s">
        <v>11</v>
      </c>
      <c r="H159" s="4" t="s">
        <v>17</v>
      </c>
      <c r="I159" s="4"/>
      <c r="J159" s="5">
        <v>97.6</v>
      </c>
      <c r="K159" s="68"/>
      <c r="L159" s="100">
        <v>3.2610000000000006</v>
      </c>
      <c r="M159" s="7" t="s">
        <v>260</v>
      </c>
      <c r="N159" s="3" t="s">
        <v>205</v>
      </c>
      <c r="O159" s="22">
        <v>3.6869999999999998</v>
      </c>
      <c r="P159" s="22">
        <v>3.4609999999999999</v>
      </c>
      <c r="Q159" s="22">
        <v>3.645</v>
      </c>
      <c r="R159" s="60"/>
      <c r="S159" s="22">
        <v>3.1970000000000001</v>
      </c>
      <c r="T159" s="60"/>
      <c r="U159" s="60"/>
      <c r="V159" s="60"/>
      <c r="W159" s="60"/>
      <c r="X159" s="60"/>
      <c r="Y159" s="22">
        <v>3.5150000000000001</v>
      </c>
      <c r="Z159" s="22">
        <v>3.5230000000000001</v>
      </c>
      <c r="AA159" s="22">
        <v>3.5049999999999999</v>
      </c>
      <c r="AB159" s="6">
        <v>3.367</v>
      </c>
      <c r="AC159" s="22">
        <v>3.456</v>
      </c>
      <c r="AD159" s="22">
        <v>2.9910000000000001</v>
      </c>
      <c r="AE159" s="22">
        <f t="shared" si="25"/>
        <v>3.2235</v>
      </c>
      <c r="AF159" s="103">
        <v>2.6539999999999999</v>
      </c>
      <c r="AG159" s="103">
        <v>2.7280000000000002</v>
      </c>
      <c r="AH159" s="103">
        <v>2.74</v>
      </c>
      <c r="AI159" s="103">
        <v>2.6269999999999998</v>
      </c>
      <c r="AJ159" s="60"/>
      <c r="AK159" s="103">
        <v>2.698</v>
      </c>
      <c r="AL159" s="103">
        <v>2.7149999999999999</v>
      </c>
      <c r="AM159" s="103">
        <v>2.8420000000000001</v>
      </c>
      <c r="AN159" s="103">
        <v>2.9590000000000001</v>
      </c>
      <c r="AO159" s="103">
        <v>2.8109999999999999</v>
      </c>
      <c r="AP159" s="103">
        <v>3.149</v>
      </c>
      <c r="AQ159" s="103">
        <v>3.15</v>
      </c>
      <c r="AR159" s="103">
        <v>3.1850000000000001</v>
      </c>
      <c r="AS159" s="103">
        <v>2.9039999999999999</v>
      </c>
      <c r="AT159" s="103">
        <v>2.8940000000000001</v>
      </c>
      <c r="AU159" s="103">
        <v>2.6619999999999999</v>
      </c>
      <c r="AV159" s="103">
        <v>2.8660000000000001</v>
      </c>
      <c r="AW159" s="103">
        <v>2.7080000000000002</v>
      </c>
      <c r="AX159" s="103">
        <v>1.641</v>
      </c>
      <c r="AY159" s="103">
        <v>2.79</v>
      </c>
      <c r="AZ159" s="103">
        <v>2.9950000000000001</v>
      </c>
      <c r="BA159" s="103">
        <v>2.6720000000000002</v>
      </c>
      <c r="BB159" s="103">
        <v>2.5609999999999999</v>
      </c>
      <c r="BC159" s="103">
        <v>2.2890000000000001</v>
      </c>
      <c r="BD159" s="103">
        <v>2.8109999999999999</v>
      </c>
      <c r="BE159" s="60"/>
      <c r="BF159" s="60"/>
      <c r="BG159" s="60"/>
      <c r="BH159" s="60"/>
      <c r="BI159" s="60"/>
      <c r="BJ159" s="60"/>
      <c r="BK159" s="60"/>
      <c r="BL159" s="60"/>
      <c r="BM159" s="60"/>
      <c r="BN159" s="103">
        <v>3.05</v>
      </c>
      <c r="BO159" s="103">
        <v>2.7610000000000001</v>
      </c>
      <c r="BP159" s="103">
        <v>2.9980000000000002</v>
      </c>
      <c r="BQ159" s="87">
        <v>2.456197</v>
      </c>
      <c r="BR159" s="87">
        <v>2.68038</v>
      </c>
      <c r="BS159" s="87">
        <v>3.4870999999999999</v>
      </c>
      <c r="BT159" s="87">
        <v>2.5629089999999999</v>
      </c>
      <c r="BU159" s="87">
        <v>2.6937639999999998</v>
      </c>
      <c r="BV159" s="87">
        <v>3.4734729999999998</v>
      </c>
      <c r="BW159" s="105">
        <v>2.9140000000000001</v>
      </c>
      <c r="BX159" s="105">
        <v>2.9449999999999998</v>
      </c>
      <c r="BY159" s="105">
        <v>2.9729999999999999</v>
      </c>
      <c r="BZ159" s="105">
        <v>2.968</v>
      </c>
      <c r="CA159" s="105">
        <v>2.4710000000000001</v>
      </c>
      <c r="CB159" s="105">
        <v>3.0019999999999998</v>
      </c>
      <c r="CC159" s="105">
        <v>3.03</v>
      </c>
      <c r="CD159" s="105">
        <v>3.18</v>
      </c>
      <c r="CE159" s="105">
        <v>3.2280000000000002</v>
      </c>
      <c r="CF159" s="105">
        <v>3.101</v>
      </c>
      <c r="CG159" s="105">
        <v>3.3450000000000002</v>
      </c>
      <c r="CH159" s="105">
        <v>3.3450000000000002</v>
      </c>
      <c r="CI159" s="105">
        <v>3.395</v>
      </c>
      <c r="CJ159" s="105">
        <v>3.1669999999999998</v>
      </c>
      <c r="CK159" s="105">
        <v>3.153</v>
      </c>
      <c r="CL159" s="105">
        <v>3.11</v>
      </c>
      <c r="CM159" s="105">
        <v>3.0640000000000001</v>
      </c>
      <c r="CN159" s="105">
        <v>3.0270000000000001</v>
      </c>
      <c r="CO159" s="105">
        <v>3.012</v>
      </c>
      <c r="CP159" s="105">
        <v>3.1829999999999998</v>
      </c>
      <c r="CQ159" s="105">
        <v>3.3149999999999999</v>
      </c>
      <c r="CR159" s="105">
        <v>3.2250000000000001</v>
      </c>
      <c r="CS159" s="105">
        <v>3.2450000000000001</v>
      </c>
      <c r="CT159" s="105">
        <v>3.133</v>
      </c>
      <c r="CU159" s="105">
        <v>3.2320000000000002</v>
      </c>
      <c r="CV159" s="105">
        <v>3.2120000000000002</v>
      </c>
      <c r="CW159" s="105">
        <v>3.097</v>
      </c>
      <c r="CX159" s="105">
        <v>3.2490000000000001</v>
      </c>
      <c r="CY159" s="105">
        <v>3.2970000000000002</v>
      </c>
      <c r="CZ159" s="105">
        <v>3.1789999999999998</v>
      </c>
      <c r="DA159" s="105">
        <v>3.28</v>
      </c>
      <c r="DB159" s="105">
        <v>3.8559999999999999</v>
      </c>
      <c r="DC159" s="105">
        <v>3.2549999999999999</v>
      </c>
      <c r="DD159" s="105">
        <v>3.262</v>
      </c>
      <c r="DE159" s="105">
        <v>3.2170000000000001</v>
      </c>
      <c r="DF159" s="105">
        <v>3.0190000000000001</v>
      </c>
      <c r="DG159" s="105">
        <v>3.1930000000000001</v>
      </c>
      <c r="DH159" s="115">
        <v>2.6985960000000002</v>
      </c>
      <c r="DI159" s="115">
        <v>2.957811</v>
      </c>
      <c r="DJ159" s="115">
        <v>3.680768</v>
      </c>
      <c r="DK159" s="115">
        <v>2.8980429999999999</v>
      </c>
      <c r="DL159" s="115">
        <v>3.003126</v>
      </c>
      <c r="DM159" s="115">
        <v>3.651513</v>
      </c>
    </row>
    <row r="160" spans="1:117">
      <c r="A160" s="1">
        <f t="shared" si="26"/>
        <v>158</v>
      </c>
      <c r="B160" s="19"/>
      <c r="C160" s="4">
        <v>14</v>
      </c>
      <c r="D160" s="4">
        <f t="shared" si="20"/>
        <v>1016</v>
      </c>
      <c r="E160" s="4" t="s">
        <v>120</v>
      </c>
      <c r="F160" s="4">
        <v>3</v>
      </c>
      <c r="G160" s="4" t="s">
        <v>11</v>
      </c>
      <c r="H160" s="4" t="s">
        <v>17</v>
      </c>
      <c r="I160" s="4"/>
      <c r="J160" s="5">
        <v>98.2</v>
      </c>
      <c r="K160" s="68"/>
      <c r="L160" s="100">
        <v>4.0609999999999999</v>
      </c>
      <c r="M160" s="7" t="s">
        <v>260</v>
      </c>
      <c r="N160" s="3" t="s">
        <v>205</v>
      </c>
      <c r="O160" s="22">
        <v>4.3929999999999998</v>
      </c>
      <c r="P160" s="22">
        <v>4.2530000000000001</v>
      </c>
      <c r="Q160" s="22">
        <v>4.3150000000000004</v>
      </c>
      <c r="R160" s="60"/>
      <c r="S160" s="22">
        <v>3.9180000000000001</v>
      </c>
      <c r="T160" s="60"/>
      <c r="U160" s="60"/>
      <c r="V160" s="60"/>
      <c r="W160" s="60"/>
      <c r="X160" s="60"/>
      <c r="Y160" s="22">
        <v>4.2030000000000003</v>
      </c>
      <c r="Z160" s="22">
        <v>4.2009999999999996</v>
      </c>
      <c r="AA160" s="22">
        <v>4.2190000000000003</v>
      </c>
      <c r="AB160" s="6">
        <v>4.0739999999999998</v>
      </c>
      <c r="AC160" s="22">
        <v>4.2469999999999999</v>
      </c>
      <c r="AD160" s="22">
        <v>3.81</v>
      </c>
      <c r="AE160" s="22">
        <f t="shared" si="25"/>
        <v>4.0285000000000002</v>
      </c>
      <c r="AF160" s="103">
        <v>3.6459999999999999</v>
      </c>
      <c r="AG160" s="103">
        <v>3.7589999999999999</v>
      </c>
      <c r="AH160" s="103">
        <v>3.7269999999999999</v>
      </c>
      <c r="AI160" s="103">
        <v>3.5649999999999999</v>
      </c>
      <c r="AJ160" s="60"/>
      <c r="AK160" s="103">
        <v>3.5819999999999999</v>
      </c>
      <c r="AL160" s="103">
        <v>3.5950000000000002</v>
      </c>
      <c r="AM160" s="103">
        <v>3.7810000000000001</v>
      </c>
      <c r="AN160" s="103">
        <v>3.9729999999999999</v>
      </c>
      <c r="AO160" s="103">
        <v>3.7639999999999998</v>
      </c>
      <c r="AP160" s="103">
        <v>4.1630000000000003</v>
      </c>
      <c r="AQ160" s="103">
        <v>4.1680000000000001</v>
      </c>
      <c r="AR160" s="103">
        <v>4.194</v>
      </c>
      <c r="AS160" s="103">
        <v>3.92</v>
      </c>
      <c r="AT160" s="103">
        <v>3.9129999999999998</v>
      </c>
      <c r="AU160" s="103">
        <v>3.5289999999999999</v>
      </c>
      <c r="AV160" s="103">
        <v>3.8690000000000002</v>
      </c>
      <c r="AW160" s="103">
        <v>3.6349999999999998</v>
      </c>
      <c r="AX160" s="103">
        <v>2.4609999999999999</v>
      </c>
      <c r="AY160" s="103">
        <v>3.6890000000000001</v>
      </c>
      <c r="AZ160" s="103">
        <v>3.8839999999999999</v>
      </c>
      <c r="BA160" s="103">
        <v>3.5019999999999998</v>
      </c>
      <c r="BB160" s="103">
        <v>3.3559999999999999</v>
      </c>
      <c r="BC160" s="103">
        <v>3.0720000000000001</v>
      </c>
      <c r="BD160" s="103">
        <v>3.694</v>
      </c>
      <c r="BE160" s="60"/>
      <c r="BF160" s="60"/>
      <c r="BG160" s="60"/>
      <c r="BH160" s="60"/>
      <c r="BI160" s="60"/>
      <c r="BJ160" s="60"/>
      <c r="BK160" s="60"/>
      <c r="BL160" s="60"/>
      <c r="BM160" s="60"/>
      <c r="BN160" s="103">
        <v>4.1210000000000004</v>
      </c>
      <c r="BO160" s="103">
        <v>3.7480000000000002</v>
      </c>
      <c r="BP160" s="103">
        <v>4.0140000000000002</v>
      </c>
      <c r="BQ160" s="87">
        <v>3.229012</v>
      </c>
      <c r="BR160" s="87">
        <v>3.4530370000000001</v>
      </c>
      <c r="BS160" s="87">
        <v>4.5578640000000004</v>
      </c>
      <c r="BT160" s="87">
        <v>3.369882</v>
      </c>
      <c r="BU160" s="87">
        <v>3.4629470000000002</v>
      </c>
      <c r="BV160" s="87">
        <v>4.5531889999999997</v>
      </c>
      <c r="BW160" s="105">
        <v>3.9820000000000002</v>
      </c>
      <c r="BX160" s="105">
        <v>4.032</v>
      </c>
      <c r="BY160" s="105">
        <v>4.0170000000000003</v>
      </c>
      <c r="BZ160" s="105">
        <v>3.9710000000000001</v>
      </c>
      <c r="CA160" s="105">
        <v>3.202</v>
      </c>
      <c r="CB160" s="105">
        <v>3.9470000000000001</v>
      </c>
      <c r="CC160" s="105">
        <v>3.972</v>
      </c>
      <c r="CD160" s="105">
        <v>4.173</v>
      </c>
      <c r="CE160" s="105">
        <v>4.2809999999999997</v>
      </c>
      <c r="CF160" s="105">
        <v>4.0910000000000002</v>
      </c>
      <c r="CG160" s="105">
        <v>4.3849999999999998</v>
      </c>
      <c r="CH160" s="105">
        <v>4.383</v>
      </c>
      <c r="CI160" s="105">
        <v>4.4249999999999998</v>
      </c>
      <c r="CJ160" s="105">
        <v>4.242</v>
      </c>
      <c r="CK160" s="105">
        <v>4.2309999999999999</v>
      </c>
      <c r="CL160" s="105">
        <v>4.0060000000000002</v>
      </c>
      <c r="CM160" s="105">
        <v>4.0839999999999996</v>
      </c>
      <c r="CN160" s="105">
        <v>4.0039999999999996</v>
      </c>
      <c r="CO160" s="105">
        <v>3.6709999999999998</v>
      </c>
      <c r="CP160" s="105">
        <v>4.0990000000000002</v>
      </c>
      <c r="CQ160" s="105">
        <v>4.2160000000000002</v>
      </c>
      <c r="CR160" s="105">
        <v>4.0609999999999999</v>
      </c>
      <c r="CS160" s="105">
        <v>4.0369999999999999</v>
      </c>
      <c r="CT160" s="105">
        <v>3.883</v>
      </c>
      <c r="CU160" s="105">
        <v>4.1269999999999998</v>
      </c>
      <c r="CV160" s="105">
        <v>4.1180000000000003</v>
      </c>
      <c r="CW160" s="105">
        <v>3.9830000000000001</v>
      </c>
      <c r="CX160" s="105">
        <v>4.0620000000000003</v>
      </c>
      <c r="CY160" s="105">
        <v>4.0709999999999997</v>
      </c>
      <c r="CZ160" s="105">
        <v>3.92</v>
      </c>
      <c r="DA160" s="105">
        <v>4.0220000000000002</v>
      </c>
      <c r="DB160" s="105">
        <v>4.7439999999999998</v>
      </c>
      <c r="DC160" s="105">
        <v>4.0259999999999998</v>
      </c>
      <c r="DD160" s="105">
        <v>4.0359999999999996</v>
      </c>
      <c r="DE160" s="105">
        <v>4.3230000000000004</v>
      </c>
      <c r="DF160" s="105">
        <v>4.0659999999999998</v>
      </c>
      <c r="DG160" s="105">
        <v>4.2469999999999999</v>
      </c>
      <c r="DH160" s="115">
        <v>3.4807769999999998</v>
      </c>
      <c r="DI160" s="115">
        <v>3.7534100000000001</v>
      </c>
      <c r="DJ160" s="115">
        <v>4.7778020000000003</v>
      </c>
      <c r="DK160" s="115">
        <v>3.7124860000000002</v>
      </c>
      <c r="DL160" s="115">
        <v>3.7947259999999998</v>
      </c>
      <c r="DM160" s="115">
        <v>4.7540979999999999</v>
      </c>
    </row>
    <row r="161" spans="2:122">
      <c r="N161" s="3" t="s">
        <v>205</v>
      </c>
      <c r="AS161" s="104"/>
      <c r="AT161" s="104"/>
      <c r="AU161" s="104"/>
      <c r="AV161" s="104"/>
      <c r="AW161" s="104"/>
      <c r="AX161" s="104"/>
      <c r="AY161" s="104"/>
    </row>
    <row r="162" spans="2:122">
      <c r="E162" s="18" t="s">
        <v>55</v>
      </c>
      <c r="F162" s="1">
        <f>COUNTIF(F3:F160,"=1")</f>
        <v>86</v>
      </c>
      <c r="G162" s="18" t="s">
        <v>12</v>
      </c>
      <c r="H162" s="1">
        <f>COUNTIF(H3:H160,"=npi")</f>
        <v>40</v>
      </c>
      <c r="I162" s="18" t="s">
        <v>320</v>
      </c>
      <c r="J162">
        <f>COUNTIF(I3:I160,"=pd")</f>
        <v>7</v>
      </c>
      <c r="N162" s="3"/>
      <c r="AS162" s="104"/>
      <c r="AT162" s="104"/>
      <c r="AU162" s="104"/>
      <c r="AV162" s="104"/>
      <c r="AW162" s="104"/>
      <c r="AX162" s="104"/>
      <c r="AY162" s="104"/>
    </row>
    <row r="163" spans="2:122">
      <c r="E163" s="18" t="s">
        <v>57</v>
      </c>
      <c r="F163" s="1">
        <f>COUNTIF(F3:F160,"=3")</f>
        <v>72</v>
      </c>
      <c r="G163" s="18" t="s">
        <v>58</v>
      </c>
      <c r="H163" s="1">
        <f>COUNTIF(H3:H160,"=ppi")</f>
        <v>103</v>
      </c>
      <c r="I163" s="1"/>
      <c r="N163" s="3"/>
      <c r="AS163" s="104"/>
      <c r="AT163" s="104"/>
      <c r="AU163" s="104"/>
      <c r="AV163" s="104"/>
      <c r="AW163" s="104"/>
      <c r="AX163" s="104"/>
      <c r="AY163" s="104"/>
    </row>
    <row r="164" spans="2:122">
      <c r="E164" s="18" t="s">
        <v>60</v>
      </c>
      <c r="F164" s="1">
        <f>COUNTIF(G3:G160,"=V")</f>
        <v>149</v>
      </c>
      <c r="G164" s="18"/>
      <c r="H164" s="1"/>
      <c r="I164" s="1"/>
      <c r="N164" s="3" t="s">
        <v>205</v>
      </c>
      <c r="AS164" s="104"/>
      <c r="AT164" s="104"/>
      <c r="AU164" s="104"/>
      <c r="AV164" s="104"/>
      <c r="AW164" s="104"/>
      <c r="AX164" s="104"/>
      <c r="AY164" s="104"/>
    </row>
    <row r="165" spans="2:122">
      <c r="E165" s="18" t="s">
        <v>64</v>
      </c>
      <c r="F165" s="1">
        <f>COUNTIF(G3:G160,"=R")</f>
        <v>9</v>
      </c>
      <c r="G165" s="18" t="s">
        <v>528</v>
      </c>
      <c r="H165" s="1">
        <f>COUNTIF(J3:J160,"&gt;85")</f>
        <v>135</v>
      </c>
      <c r="I165" s="1"/>
      <c r="N165" s="3" t="s">
        <v>205</v>
      </c>
    </row>
    <row r="166" spans="2:122">
      <c r="E166" s="1"/>
      <c r="F166" s="1"/>
      <c r="G166" s="1"/>
      <c r="H166" s="1"/>
      <c r="I166" s="1"/>
      <c r="N166" s="3"/>
    </row>
    <row r="167" spans="2:122">
      <c r="E167" s="18" t="s">
        <v>68</v>
      </c>
      <c r="F167" s="1">
        <f>SUM(F162:F163)</f>
        <v>158</v>
      </c>
      <c r="G167" s="1"/>
      <c r="H167" s="1"/>
      <c r="I167" s="1"/>
      <c r="N167" s="3" t="s">
        <v>205</v>
      </c>
    </row>
    <row r="168" spans="2:122">
      <c r="N168" s="3" t="s">
        <v>205</v>
      </c>
    </row>
    <row r="169" spans="2:122">
      <c r="B169" s="1"/>
      <c r="C169" s="1" t="s">
        <v>533</v>
      </c>
      <c r="D169" s="1" t="s">
        <v>534</v>
      </c>
      <c r="E169" s="1" t="s">
        <v>537</v>
      </c>
      <c r="F169" s="1" t="s">
        <v>535</v>
      </c>
      <c r="G169" s="1" t="s">
        <v>536</v>
      </c>
      <c r="H169" s="1" t="s">
        <v>123</v>
      </c>
      <c r="I169" s="1"/>
      <c r="N169" s="3" t="s">
        <v>205</v>
      </c>
    </row>
    <row r="170" spans="2:122">
      <c r="B170" s="18" t="s">
        <v>283</v>
      </c>
      <c r="C170" s="1">
        <f>COUNTIFS($D$3:$D$160,"12",$F$3:$F$160,"1",$G$3:$G$160,"V")</f>
        <v>0</v>
      </c>
      <c r="D170" s="1">
        <f>COUNTIFS($D$3:$D$160,"12",$F$3:$F$160,"1",$G$3:$G$160,"R")</f>
        <v>0</v>
      </c>
      <c r="E170" s="1">
        <f>COUNTIFS($D$3:$D$160,"12",$F$3:$F$160,"1",$G$3:$G$160,"R")</f>
        <v>0</v>
      </c>
      <c r="F170" s="1">
        <f>COUNTIFS($D$3:$D$160,"12",$F$3:$F$160,"3",$G$3:$G$160,"V")</f>
        <v>0</v>
      </c>
      <c r="G170" s="1">
        <f>COUNTIFS($D$3:$D$160,"12",$F$3:$F$160,"3",$G$3:$G$160,"R")</f>
        <v>0</v>
      </c>
      <c r="H170" s="1">
        <f>COUNTIFS($D$3:$D$160,"12",$F$3:$F$160,"3",$G$3:$G$160,"R")</f>
        <v>0</v>
      </c>
      <c r="I170" s="1">
        <f>SUM(C170:G170)</f>
        <v>0</v>
      </c>
      <c r="N170" s="3" t="s">
        <v>205</v>
      </c>
    </row>
    <row r="171" spans="2:122">
      <c r="B171" s="18" t="s">
        <v>526</v>
      </c>
      <c r="C171" s="1">
        <f>COUNTIFS($D$3:$D$160,"35",$F$3:$F$160,"1",$G$3:$G$160,"V")</f>
        <v>0</v>
      </c>
      <c r="D171" s="1">
        <f>COUNTIFS($D$3:$D$160,"35",$F$3:$F$160,"1",$G$3:$G$160,"R")</f>
        <v>0</v>
      </c>
      <c r="E171" s="1">
        <f>COUNTIFS($D$3:$D$160,"35",$F$3:$F$160,"1",$G$3:$G$160,"M")</f>
        <v>0</v>
      </c>
      <c r="F171" s="1">
        <f>COUNTIFS($D$3:$D$160,"35",$F$3:$F$160,"3",$G$3:$G$160,"V")</f>
        <v>0</v>
      </c>
      <c r="G171" s="1">
        <f>COUNTIFS($D$3:$D$160,"35",$F$3:$F$160,"3",$G$3:$G$160,"R")</f>
        <v>0</v>
      </c>
      <c r="H171" s="1">
        <f>COUNTIFS($D$3:$D$160,"35",$F$3:$F$160,"3",$G$3:$G$160,"M")</f>
        <v>0</v>
      </c>
      <c r="I171" s="1">
        <f>SUM(C171:G171)</f>
        <v>0</v>
      </c>
      <c r="N171" s="3" t="s">
        <v>205</v>
      </c>
    </row>
    <row r="172" spans="2:122">
      <c r="B172" s="18" t="s">
        <v>527</v>
      </c>
      <c r="C172" s="1">
        <f>COUNTIFS($D$3:$D$160,"69",$F$3:$F$160,"1",$G$3:$G$160,"V")</f>
        <v>0</v>
      </c>
      <c r="D172" s="1">
        <f>COUNTIFS($D$3:$D$160,"69",$F$3:$F$160,"1",$G$3:$G$160,"R")</f>
        <v>0</v>
      </c>
      <c r="E172" s="1">
        <f>COUNTIFS($D$3:$D$160,"69",$F$3:$F$160,"1",$G$3:$G$160,"M")</f>
        <v>0</v>
      </c>
      <c r="F172" s="1">
        <f>COUNTIFS($D$3:$D$160,"69",$F$3:$F$160,"3",$G$3:$G$160,"V")</f>
        <v>0</v>
      </c>
      <c r="G172" s="1">
        <f>COUNTIFS($D$3:$D$160,"69",$F$3:$F$160,"3",$G$3:$G$160,"R")</f>
        <v>0</v>
      </c>
      <c r="H172" s="1">
        <f>COUNTIFS($D$3:$D$160,"69",$F$3:$F$160,"3",$G$3:$G$160,"M")</f>
        <v>0</v>
      </c>
      <c r="I172" s="1">
        <f>SUM(C172:G172)</f>
        <v>0</v>
      </c>
      <c r="N172" s="3" t="s">
        <v>205</v>
      </c>
    </row>
    <row r="173" spans="2:122">
      <c r="B173" s="18" t="s">
        <v>532</v>
      </c>
      <c r="C173" s="1">
        <f>COUNTIFS($D$3:$D$160,"1016",$F$3:$F$160,"1",$G$3:$G$160,"V")</f>
        <v>79</v>
      </c>
      <c r="D173" s="1">
        <f>COUNTIFS($D$3:$D$160,"1016",$F$3:$F$160,"1",$G$3:$G$160,"R")</f>
        <v>7</v>
      </c>
      <c r="E173" s="1">
        <f>COUNTIFS($D$3:$D$160,"1016",$F$3:$F$160,"1",$G$3:$G$160,"M")</f>
        <v>0</v>
      </c>
      <c r="F173" s="1">
        <f>COUNTIFS($D$3:$D$160,"1016",$F$3:$F$160,"3",$G$3:$G$160,"V")</f>
        <v>70</v>
      </c>
      <c r="G173" s="1">
        <f>COUNTIFS($D$3:$D$160,"1016",$F$3:$F$160,"3",$G$3:$G$160,"R")</f>
        <v>2</v>
      </c>
      <c r="H173" s="1">
        <f>COUNTIFS($D$3:$D$160,"1016",$F$3:$F$160,"3",$G$3:$G$160,"M")</f>
        <v>0</v>
      </c>
      <c r="I173" s="1">
        <f>SUM(C173:G173)</f>
        <v>158</v>
      </c>
      <c r="N173" s="3" t="s">
        <v>205</v>
      </c>
    </row>
    <row r="174" spans="2:122">
      <c r="B174" s="1"/>
      <c r="C174" s="1">
        <f t="shared" ref="C174:H174" si="27">SUM(C170:C173)</f>
        <v>79</v>
      </c>
      <c r="D174" s="1">
        <f t="shared" si="27"/>
        <v>7</v>
      </c>
      <c r="E174" s="1">
        <f t="shared" si="27"/>
        <v>0</v>
      </c>
      <c r="F174" s="1">
        <f t="shared" si="27"/>
        <v>70</v>
      </c>
      <c r="G174" s="1">
        <f t="shared" si="27"/>
        <v>2</v>
      </c>
      <c r="H174" s="1">
        <f t="shared" si="27"/>
        <v>0</v>
      </c>
      <c r="I174" s="1"/>
      <c r="N174" s="3" t="s">
        <v>205</v>
      </c>
    </row>
    <row r="175" spans="2:122">
      <c r="B175" s="1"/>
      <c r="C175" s="1">
        <f>SUM(C174:E174)</f>
        <v>86</v>
      </c>
      <c r="D175" s="1"/>
      <c r="E175" s="1"/>
      <c r="F175" s="1">
        <f>SUM(F174:G174)</f>
        <v>72</v>
      </c>
      <c r="G175" s="1"/>
      <c r="H175" s="1"/>
      <c r="I175" s="1"/>
      <c r="N175" s="3" t="s">
        <v>205</v>
      </c>
      <c r="DO175" s="102">
        <v>0.53941545783132516</v>
      </c>
      <c r="DP175" s="102">
        <v>0.71998732258064513</v>
      </c>
      <c r="DQ175" s="102">
        <v>0.43186900000000022</v>
      </c>
      <c r="DR175" s="102">
        <v>0.60429157547169809</v>
      </c>
    </row>
    <row r="176" spans="2:122">
      <c r="DO176" s="102">
        <v>0.25200660240963851</v>
      </c>
      <c r="DP176" s="102">
        <v>0.27819380645161279</v>
      </c>
      <c r="DQ176" s="102">
        <v>0.14028625000000011</v>
      </c>
      <c r="DR176" s="102">
        <v>0.27557115094339618</v>
      </c>
    </row>
    <row r="177" spans="119:122">
      <c r="DO177" s="102">
        <v>0.46419598795180717</v>
      </c>
      <c r="DP177" s="102">
        <v>0.7832227419354838</v>
      </c>
      <c r="DQ177" s="102">
        <v>0.50027074999999988</v>
      </c>
      <c r="DR177" s="102">
        <v>0.49975974528301892</v>
      </c>
    </row>
    <row r="178" spans="119:122">
      <c r="DO178" s="102">
        <v>0.25802339759036147</v>
      </c>
      <c r="DP178" s="102">
        <v>0.22217535483870951</v>
      </c>
      <c r="DQ178" s="102">
        <v>0.24951062500000021</v>
      </c>
      <c r="DR178" s="102">
        <v>0.26816824528301875</v>
      </c>
    </row>
    <row r="179" spans="119:122">
      <c r="DO179" s="102">
        <v>0.22770657831325294</v>
      </c>
      <c r="DP179" s="102">
        <v>0.17136383870967742</v>
      </c>
      <c r="DQ179" s="102">
        <v>9.6693000000000084E-2</v>
      </c>
      <c r="DR179" s="102">
        <v>0.21157729245283008</v>
      </c>
    </row>
    <row r="180" spans="119:122">
      <c r="DO180" s="102">
        <v>0.39924702409638541</v>
      </c>
      <c r="DP180" s="102">
        <v>0.56967932258064524</v>
      </c>
      <c r="DQ180" s="102">
        <v>0.47340937499999991</v>
      </c>
      <c r="DR180" s="102">
        <v>0.40575279245283019</v>
      </c>
    </row>
  </sheetData>
  <mergeCells count="2">
    <mergeCell ref="B1:M1"/>
    <mergeCell ref="O1:AE1"/>
  </mergeCells>
  <phoneticPr fontId="17" type="noConversion"/>
  <conditionalFormatting sqref="J3:J160">
    <cfRule type="cellIs" dxfId="5" priority="1" operator="lessThan">
      <formula>65</formula>
    </cfRule>
    <cfRule type="cellIs" dxfId="4" priority="2" operator="between">
      <formula>65</formula>
      <formula>85</formula>
    </cfRule>
    <cfRule type="cellIs" dxfId="3" priority="3" operator="greaterThan">
      <formula>85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06DACE-2D0D-A54E-80DF-B0CF06F1A8F6}">
  <dimension ref="A1:AV73"/>
  <sheetViews>
    <sheetView topLeftCell="A6" zoomScale="90" zoomScaleNormal="90" workbookViewId="0">
      <selection activeCell="J67" sqref="J67:J73"/>
    </sheetView>
  </sheetViews>
  <sheetFormatPr baseColWidth="10" defaultRowHeight="16"/>
  <cols>
    <col min="1" max="1" width="3.6640625" customWidth="1"/>
    <col min="3" max="3" width="3.1640625" customWidth="1"/>
    <col min="4" max="4" width="4.6640625" customWidth="1"/>
    <col min="5" max="5" width="6.83203125" customWidth="1"/>
    <col min="6" max="6" width="3.1640625" customWidth="1"/>
    <col min="7" max="7" width="3" customWidth="1"/>
    <col min="8" max="8" width="4.6640625" customWidth="1"/>
    <col min="9" max="9" width="5.33203125" customWidth="1"/>
    <col min="10" max="10" width="6.5" customWidth="1"/>
    <col min="11" max="11" width="6.33203125" customWidth="1"/>
    <col min="12" max="12" width="24" customWidth="1"/>
    <col min="13" max="13" width="3.33203125" customWidth="1"/>
    <col min="14" max="16" width="6.33203125" bestFit="1" customWidth="1"/>
    <col min="17" max="17" width="7" bestFit="1" customWidth="1"/>
    <col min="18" max="22" width="6.33203125" bestFit="1" customWidth="1"/>
    <col min="23" max="23" width="3.6640625" bestFit="1" customWidth="1"/>
    <col min="24" max="30" width="6.33203125" bestFit="1" customWidth="1"/>
  </cols>
  <sheetData>
    <row r="1" spans="1:48">
      <c r="A1" s="1"/>
      <c r="B1" s="136" t="s">
        <v>0</v>
      </c>
      <c r="C1" s="136"/>
      <c r="D1" s="136"/>
      <c r="E1" s="136"/>
      <c r="F1" s="136"/>
      <c r="G1" s="136"/>
      <c r="H1" s="136"/>
      <c r="I1" s="136"/>
      <c r="J1" s="136"/>
      <c r="K1" s="136"/>
      <c r="L1" s="136"/>
      <c r="M1" s="1"/>
      <c r="N1" s="137"/>
      <c r="O1" s="137"/>
      <c r="P1" s="137"/>
      <c r="Q1" s="137"/>
      <c r="R1" s="137"/>
      <c r="S1" s="137"/>
      <c r="T1" s="137"/>
      <c r="U1" s="137"/>
      <c r="V1" s="137"/>
      <c r="W1" s="137"/>
      <c r="X1" s="137"/>
      <c r="Y1" s="137"/>
      <c r="Z1" s="137"/>
      <c r="AA1" s="137"/>
      <c r="AB1" s="137"/>
      <c r="AC1" s="137"/>
      <c r="AD1" s="137"/>
    </row>
    <row r="2" spans="1:48" ht="105">
      <c r="A2" s="1"/>
      <c r="B2" s="98" t="s">
        <v>1</v>
      </c>
      <c r="C2" s="20" t="s">
        <v>2</v>
      </c>
      <c r="D2" s="20" t="s">
        <v>104</v>
      </c>
      <c r="E2" s="98" t="s">
        <v>3</v>
      </c>
      <c r="F2" s="20" t="s">
        <v>562</v>
      </c>
      <c r="G2" s="20" t="s">
        <v>4</v>
      </c>
      <c r="H2" s="20" t="s">
        <v>132</v>
      </c>
      <c r="I2" s="20" t="s">
        <v>345</v>
      </c>
      <c r="J2" s="21" t="s">
        <v>346</v>
      </c>
      <c r="K2" s="20" t="s">
        <v>5</v>
      </c>
      <c r="L2" s="98" t="s">
        <v>102</v>
      </c>
      <c r="M2" s="3" t="s">
        <v>205</v>
      </c>
      <c r="N2" s="20" t="s">
        <v>100</v>
      </c>
      <c r="O2" s="20" t="s">
        <v>6</v>
      </c>
      <c r="P2" s="20" t="s">
        <v>179</v>
      </c>
      <c r="Q2" s="20" t="s">
        <v>101</v>
      </c>
      <c r="R2" s="20" t="s">
        <v>96</v>
      </c>
      <c r="S2" s="20" t="s">
        <v>185</v>
      </c>
      <c r="T2" s="20" t="s">
        <v>97</v>
      </c>
      <c r="U2" s="20" t="s">
        <v>178</v>
      </c>
      <c r="V2" s="20" t="s">
        <v>7</v>
      </c>
      <c r="W2" s="20" t="s">
        <v>184</v>
      </c>
      <c r="X2" s="20" t="s">
        <v>106</v>
      </c>
      <c r="Y2" s="20" t="s">
        <v>94</v>
      </c>
      <c r="Z2" s="20" t="s">
        <v>95</v>
      </c>
      <c r="AA2" s="20" t="s">
        <v>180</v>
      </c>
      <c r="AB2" s="20" t="s">
        <v>8</v>
      </c>
      <c r="AC2" s="20" t="s">
        <v>9</v>
      </c>
      <c r="AD2" s="20" t="s">
        <v>93</v>
      </c>
    </row>
    <row r="3" spans="1:48">
      <c r="A3" s="1">
        <v>1</v>
      </c>
      <c r="B3" s="2" t="s">
        <v>417</v>
      </c>
      <c r="C3" s="4">
        <v>10</v>
      </c>
      <c r="D3" s="4">
        <f>_xlfn.SWITCH(C3,1,12,2,12,3,35,4,35,5,35,6,69,7,69,8,69,9,69,1016)</f>
        <v>1016</v>
      </c>
      <c r="E3" s="4" t="s">
        <v>229</v>
      </c>
      <c r="F3" s="4">
        <v>1</v>
      </c>
      <c r="G3" s="4" t="s">
        <v>11</v>
      </c>
      <c r="H3" s="4" t="s">
        <v>17</v>
      </c>
      <c r="I3" s="5">
        <v>86.6</v>
      </c>
      <c r="J3" s="63">
        <v>1.9E-2</v>
      </c>
      <c r="K3" s="99">
        <v>5.1910000000000007</v>
      </c>
      <c r="L3" s="7" t="s">
        <v>113</v>
      </c>
      <c r="M3" s="3" t="s">
        <v>205</v>
      </c>
      <c r="N3" s="6">
        <v>5.4729999999999999</v>
      </c>
      <c r="O3" s="6">
        <v>5.2850000000000001</v>
      </c>
      <c r="P3" s="6">
        <v>5.7519999999999998</v>
      </c>
      <c r="Q3" s="41"/>
      <c r="R3" s="6">
        <v>5.3789999999999996</v>
      </c>
      <c r="S3" s="6">
        <v>5.2880000000000003</v>
      </c>
      <c r="T3" s="6">
        <v>5.2939999999999996</v>
      </c>
      <c r="U3" s="6">
        <v>5.2569999999999997</v>
      </c>
      <c r="V3" s="6">
        <v>5.1989999999999998</v>
      </c>
      <c r="W3" s="41"/>
      <c r="X3" s="6">
        <v>5.2039999999999997</v>
      </c>
      <c r="Y3" s="6">
        <v>5.2350000000000003</v>
      </c>
      <c r="Z3" s="6">
        <v>5.2549999999999999</v>
      </c>
      <c r="AA3" s="6">
        <v>4.9569999999999999</v>
      </c>
      <c r="AB3" s="6">
        <v>5.2350000000000003</v>
      </c>
      <c r="AC3" s="4">
        <v>5.1769999999999996</v>
      </c>
      <c r="AD3" s="22">
        <f t="shared" ref="AD3:AD11" si="0">AVERAGE(AB3:AC3)</f>
        <v>5.2059999999999995</v>
      </c>
      <c r="AF3" s="118"/>
      <c r="AG3" s="118"/>
      <c r="AH3" s="118"/>
      <c r="AI3" s="118"/>
      <c r="AJ3" s="118"/>
      <c r="AK3" s="118"/>
      <c r="AL3" s="118"/>
      <c r="AM3" s="118"/>
      <c r="AN3" s="118"/>
      <c r="AO3" s="118"/>
      <c r="AP3" s="118"/>
      <c r="AQ3" s="118"/>
      <c r="AR3" s="118"/>
      <c r="AS3" s="118"/>
      <c r="AT3" s="118"/>
      <c r="AU3" s="118"/>
      <c r="AV3" s="118"/>
    </row>
    <row r="4" spans="1:48">
      <c r="A4" s="1">
        <f>A3+1</f>
        <v>2</v>
      </c>
      <c r="B4" s="2"/>
      <c r="C4" s="4">
        <v>10</v>
      </c>
      <c r="D4" s="4">
        <f t="shared" ref="D4:D58" si="1">_xlfn.SWITCH(C4,1,12,2,12,3,35,4,35,5,35,6,69,7,69,8,69,9,69,1016)</f>
        <v>1016</v>
      </c>
      <c r="E4" s="4" t="s">
        <v>229</v>
      </c>
      <c r="F4" s="4">
        <v>1</v>
      </c>
      <c r="G4" s="4" t="s">
        <v>11</v>
      </c>
      <c r="H4" s="4" t="s">
        <v>17</v>
      </c>
      <c r="I4" s="5">
        <v>89</v>
      </c>
      <c r="J4" s="63">
        <v>0.26300000000000001</v>
      </c>
      <c r="K4" s="99">
        <v>5.3040000000000003</v>
      </c>
      <c r="L4" s="7" t="s">
        <v>113</v>
      </c>
      <c r="M4" s="3" t="s">
        <v>205</v>
      </c>
      <c r="N4" s="6">
        <v>5.4470000000000001</v>
      </c>
      <c r="O4" s="41"/>
      <c r="P4" s="6">
        <v>5.8040000000000003</v>
      </c>
      <c r="Q4" s="41"/>
      <c r="R4" s="6">
        <v>5.5190000000000001</v>
      </c>
      <c r="S4" s="6">
        <v>5.3780000000000001</v>
      </c>
      <c r="T4" s="6">
        <v>5.3689999999999998</v>
      </c>
      <c r="U4" s="6">
        <v>5.36</v>
      </c>
      <c r="V4" s="6">
        <v>5.2839999999999998</v>
      </c>
      <c r="W4" s="41"/>
      <c r="X4" s="6">
        <v>5.41</v>
      </c>
      <c r="Y4" s="6">
        <v>5.4649999999999999</v>
      </c>
      <c r="Z4" s="6">
        <v>5.4059999999999997</v>
      </c>
      <c r="AA4" s="6">
        <v>5.181</v>
      </c>
      <c r="AB4" s="6">
        <v>5.2009999999999996</v>
      </c>
      <c r="AC4" s="4">
        <v>5.2460000000000004</v>
      </c>
      <c r="AD4" s="22">
        <f t="shared" si="0"/>
        <v>5.2234999999999996</v>
      </c>
      <c r="AF4" s="118"/>
      <c r="AG4" s="118"/>
      <c r="AH4" s="118"/>
      <c r="AI4" s="118"/>
      <c r="AJ4" s="118"/>
      <c r="AK4" s="118"/>
      <c r="AL4" s="118"/>
      <c r="AM4" s="118"/>
      <c r="AN4" s="118"/>
      <c r="AO4" s="118"/>
      <c r="AP4" s="118"/>
      <c r="AQ4" s="118"/>
      <c r="AR4" s="118"/>
      <c r="AS4" s="118"/>
      <c r="AT4" s="118"/>
      <c r="AU4" s="118"/>
      <c r="AV4" s="118"/>
    </row>
    <row r="5" spans="1:48">
      <c r="A5" s="1">
        <f t="shared" ref="A5:A58" si="2">A4+1</f>
        <v>3</v>
      </c>
      <c r="B5" s="2"/>
      <c r="C5" s="4">
        <v>10</v>
      </c>
      <c r="D5" s="4">
        <f t="shared" si="1"/>
        <v>1016</v>
      </c>
      <c r="E5" s="4" t="s">
        <v>147</v>
      </c>
      <c r="F5" s="4">
        <v>1</v>
      </c>
      <c r="G5" s="4" t="s">
        <v>11</v>
      </c>
      <c r="H5" s="4" t="s">
        <v>12</v>
      </c>
      <c r="I5" s="5">
        <v>87.8</v>
      </c>
      <c r="J5" s="63">
        <v>1E-3</v>
      </c>
      <c r="K5" s="99">
        <v>5.3040000000000003</v>
      </c>
      <c r="L5" s="7" t="s">
        <v>113</v>
      </c>
      <c r="M5" s="3" t="s">
        <v>205</v>
      </c>
      <c r="N5" s="22">
        <v>5.4020000000000001</v>
      </c>
      <c r="O5" s="22">
        <v>5.202</v>
      </c>
      <c r="P5" s="22">
        <v>5.7750000000000004</v>
      </c>
      <c r="Q5" s="41"/>
      <c r="R5" s="6">
        <v>5.5640000000000001</v>
      </c>
      <c r="S5" s="22">
        <v>5.4020000000000001</v>
      </c>
      <c r="T5" s="22">
        <v>5.391</v>
      </c>
      <c r="U5" s="22">
        <v>5.3970000000000002</v>
      </c>
      <c r="V5" s="6">
        <v>5.2969999999999997</v>
      </c>
      <c r="W5" s="41"/>
      <c r="X5" s="22">
        <v>5.5369999999999999</v>
      </c>
      <c r="Y5" s="22">
        <v>5.585</v>
      </c>
      <c r="Z5" s="22">
        <v>5.3479999999999999</v>
      </c>
      <c r="AA5" s="22">
        <v>5.2850000000000001</v>
      </c>
      <c r="AB5" s="22">
        <v>5.1390000000000002</v>
      </c>
      <c r="AC5" s="4">
        <v>5.5609999999999999</v>
      </c>
      <c r="AD5" s="22">
        <f t="shared" si="0"/>
        <v>5.35</v>
      </c>
      <c r="AF5" s="118"/>
      <c r="AG5" s="118"/>
      <c r="AH5" s="118"/>
      <c r="AI5" s="118"/>
      <c r="AJ5" s="118"/>
      <c r="AK5" s="118"/>
      <c r="AL5" s="118"/>
      <c r="AM5" s="118"/>
      <c r="AN5" s="118"/>
      <c r="AO5" s="118"/>
      <c r="AP5" s="118"/>
      <c r="AQ5" s="118"/>
      <c r="AR5" s="118"/>
      <c r="AS5" s="118"/>
      <c r="AT5" s="118"/>
      <c r="AU5" s="118"/>
      <c r="AV5" s="118"/>
    </row>
    <row r="6" spans="1:48">
      <c r="A6" s="1">
        <f t="shared" si="2"/>
        <v>4</v>
      </c>
      <c r="B6" s="2"/>
      <c r="C6" s="4">
        <v>10</v>
      </c>
      <c r="D6" s="4">
        <f t="shared" si="1"/>
        <v>1016</v>
      </c>
      <c r="E6" s="4" t="s">
        <v>147</v>
      </c>
      <c r="F6" s="4">
        <v>1</v>
      </c>
      <c r="G6" s="4" t="s">
        <v>14</v>
      </c>
      <c r="H6" s="4"/>
      <c r="I6" s="5">
        <v>92.1</v>
      </c>
      <c r="J6" s="63">
        <v>8.9999999999999993E-3</v>
      </c>
      <c r="K6" s="99">
        <v>5.5740000000000016</v>
      </c>
      <c r="L6" s="7" t="s">
        <v>113</v>
      </c>
      <c r="M6" s="3" t="s">
        <v>205</v>
      </c>
      <c r="N6" s="6">
        <v>5.73</v>
      </c>
      <c r="O6" s="6">
        <v>5.5170000000000003</v>
      </c>
      <c r="P6" s="6">
        <v>5.9930000000000003</v>
      </c>
      <c r="Q6" s="41"/>
      <c r="R6" s="6">
        <v>5.6959999999999997</v>
      </c>
      <c r="S6" s="6">
        <v>5.6130000000000004</v>
      </c>
      <c r="T6" s="6">
        <v>5.6239999999999997</v>
      </c>
      <c r="U6" s="22">
        <v>5.609</v>
      </c>
      <c r="V6" s="22">
        <v>5.5650000000000004</v>
      </c>
      <c r="W6" s="41"/>
      <c r="X6" s="6">
        <v>5.8410000000000002</v>
      </c>
      <c r="Y6" s="6">
        <v>5.7880000000000003</v>
      </c>
      <c r="Z6" s="6">
        <v>5.6539999999999999</v>
      </c>
      <c r="AA6" s="6">
        <v>5.7009999999999996</v>
      </c>
      <c r="AB6" s="6">
        <v>5.5679999999999996</v>
      </c>
      <c r="AC6" s="4">
        <v>5.5179999999999998</v>
      </c>
      <c r="AD6" s="22">
        <f t="shared" si="0"/>
        <v>5.5429999999999993</v>
      </c>
      <c r="AF6" s="118"/>
      <c r="AG6" s="118"/>
      <c r="AH6" s="118"/>
      <c r="AI6" s="118"/>
      <c r="AJ6" s="118"/>
      <c r="AK6" s="118"/>
      <c r="AL6" s="118"/>
      <c r="AM6" s="118"/>
      <c r="AN6" s="118"/>
      <c r="AO6" s="118"/>
      <c r="AP6" s="118"/>
      <c r="AQ6" s="118"/>
      <c r="AR6" s="118"/>
      <c r="AS6" s="118"/>
      <c r="AT6" s="118"/>
      <c r="AU6" s="118"/>
      <c r="AV6" s="118"/>
    </row>
    <row r="7" spans="1:48">
      <c r="A7" s="1">
        <f t="shared" si="2"/>
        <v>5</v>
      </c>
      <c r="B7" s="2"/>
      <c r="C7" s="4">
        <v>10</v>
      </c>
      <c r="D7" s="4">
        <f t="shared" si="1"/>
        <v>1016</v>
      </c>
      <c r="E7" s="4" t="s">
        <v>147</v>
      </c>
      <c r="F7" s="4">
        <v>1</v>
      </c>
      <c r="G7" s="4" t="s">
        <v>11</v>
      </c>
      <c r="H7" s="4" t="s">
        <v>12</v>
      </c>
      <c r="I7" s="5">
        <v>88.4</v>
      </c>
      <c r="J7" s="63">
        <v>3.0000000000000001E-3</v>
      </c>
      <c r="K7" s="99">
        <v>5.8760000000000012</v>
      </c>
      <c r="L7" s="7" t="s">
        <v>113</v>
      </c>
      <c r="M7" s="3" t="s">
        <v>205</v>
      </c>
      <c r="N7" s="6">
        <v>6.0279999999999996</v>
      </c>
      <c r="O7" s="6">
        <v>5.7949999999999999</v>
      </c>
      <c r="P7" s="6">
        <v>6.3780000000000001</v>
      </c>
      <c r="Q7" s="41"/>
      <c r="R7" s="6">
        <v>6.1280000000000001</v>
      </c>
      <c r="S7" s="6">
        <v>5.9610000000000003</v>
      </c>
      <c r="T7" s="6">
        <v>5.9619999999999997</v>
      </c>
      <c r="U7" s="22">
        <v>5.9740000000000002</v>
      </c>
      <c r="V7" s="6">
        <v>5.875</v>
      </c>
      <c r="W7" s="41"/>
      <c r="X7" s="6">
        <v>6.1239999999999997</v>
      </c>
      <c r="Y7" s="6">
        <v>6.1630000000000003</v>
      </c>
      <c r="Z7" s="6">
        <v>5.8120000000000003</v>
      </c>
      <c r="AA7" s="6">
        <v>5.8719999999999999</v>
      </c>
      <c r="AB7" s="6">
        <v>5.7320000000000002</v>
      </c>
      <c r="AC7" s="6">
        <v>6.101</v>
      </c>
      <c r="AD7" s="22">
        <f t="shared" si="0"/>
        <v>5.9165000000000001</v>
      </c>
      <c r="AF7" s="118"/>
      <c r="AG7" s="118"/>
      <c r="AH7" s="118"/>
      <c r="AI7" s="118"/>
      <c r="AJ7" s="118"/>
      <c r="AK7" s="118"/>
      <c r="AL7" s="118"/>
      <c r="AM7" s="118"/>
      <c r="AN7" s="118"/>
      <c r="AO7" s="118"/>
      <c r="AP7" s="118"/>
      <c r="AQ7" s="118"/>
      <c r="AR7" s="118"/>
      <c r="AS7" s="118"/>
      <c r="AT7" s="118"/>
      <c r="AU7" s="118"/>
      <c r="AV7" s="118"/>
    </row>
    <row r="8" spans="1:48">
      <c r="A8" s="1">
        <f t="shared" si="2"/>
        <v>6</v>
      </c>
      <c r="B8" s="2"/>
      <c r="C8" s="4">
        <v>10</v>
      </c>
      <c r="D8" s="4">
        <f t="shared" si="1"/>
        <v>1016</v>
      </c>
      <c r="E8" s="4" t="s">
        <v>147</v>
      </c>
      <c r="F8" s="4">
        <v>1</v>
      </c>
      <c r="G8" s="4" t="s">
        <v>14</v>
      </c>
      <c r="H8" s="4"/>
      <c r="I8" s="5">
        <v>91.9</v>
      </c>
      <c r="J8" s="63">
        <v>1E-3</v>
      </c>
      <c r="K8" s="99">
        <v>5.931</v>
      </c>
      <c r="L8" s="7" t="s">
        <v>113</v>
      </c>
      <c r="M8" s="3" t="s">
        <v>205</v>
      </c>
      <c r="N8" s="22">
        <v>5.9809999999999999</v>
      </c>
      <c r="O8" s="22">
        <v>5.8460000000000001</v>
      </c>
      <c r="P8" s="22">
        <v>6.3460000000000001</v>
      </c>
      <c r="Q8" s="41"/>
      <c r="R8" s="6">
        <v>6.0519999999999996</v>
      </c>
      <c r="S8" s="6">
        <v>5.9740000000000002</v>
      </c>
      <c r="T8" s="22">
        <v>5.9770000000000003</v>
      </c>
      <c r="U8" s="22">
        <v>5.9569999999999999</v>
      </c>
      <c r="V8" s="6">
        <v>5.9169999999999998</v>
      </c>
      <c r="W8" s="41"/>
      <c r="X8" s="22">
        <v>6.1890000000000001</v>
      </c>
      <c r="Y8" s="22">
        <v>6.1360000000000001</v>
      </c>
      <c r="Z8" s="22">
        <v>6.0010000000000003</v>
      </c>
      <c r="AA8" s="22">
        <v>6.048</v>
      </c>
      <c r="AB8" s="22">
        <v>5.8940000000000001</v>
      </c>
      <c r="AC8" s="6">
        <v>5.87</v>
      </c>
      <c r="AD8" s="22">
        <f t="shared" si="0"/>
        <v>5.8819999999999997</v>
      </c>
      <c r="AF8" s="118"/>
      <c r="AG8" s="118"/>
      <c r="AH8" s="118"/>
      <c r="AI8" s="118"/>
      <c r="AJ8" s="118"/>
      <c r="AK8" s="118"/>
      <c r="AL8" s="118"/>
      <c r="AM8" s="118"/>
      <c r="AN8" s="118"/>
      <c r="AO8" s="118"/>
      <c r="AP8" s="118"/>
      <c r="AQ8" s="118"/>
      <c r="AR8" s="118"/>
      <c r="AS8" s="118"/>
      <c r="AT8" s="118"/>
      <c r="AU8" s="118"/>
      <c r="AV8" s="118"/>
    </row>
    <row r="9" spans="1:48">
      <c r="A9" s="1">
        <f t="shared" si="2"/>
        <v>7</v>
      </c>
      <c r="B9" s="2"/>
      <c r="C9" s="4">
        <v>10</v>
      </c>
      <c r="D9" s="4">
        <f t="shared" si="1"/>
        <v>1016</v>
      </c>
      <c r="E9" s="4" t="s">
        <v>229</v>
      </c>
      <c r="F9" s="4">
        <v>1</v>
      </c>
      <c r="G9" s="4" t="s">
        <v>11</v>
      </c>
      <c r="H9" s="4" t="s">
        <v>17</v>
      </c>
      <c r="I9" s="5">
        <v>87.6</v>
      </c>
      <c r="J9" s="63">
        <v>0.32300000000000001</v>
      </c>
      <c r="K9" s="99">
        <v>6.394000000000001</v>
      </c>
      <c r="L9" s="7" t="s">
        <v>113</v>
      </c>
      <c r="M9" s="3" t="s">
        <v>205</v>
      </c>
      <c r="N9" s="41"/>
      <c r="O9" s="41"/>
      <c r="P9" s="6">
        <v>6.9379999999999997</v>
      </c>
      <c r="Q9" s="41"/>
      <c r="R9" s="6">
        <v>6.6429999999999998</v>
      </c>
      <c r="S9" s="6">
        <v>6.532</v>
      </c>
      <c r="T9" s="6">
        <v>6.5</v>
      </c>
      <c r="U9" s="6">
        <v>6.4729999999999999</v>
      </c>
      <c r="V9" s="6">
        <v>6.38</v>
      </c>
      <c r="W9" s="41"/>
      <c r="X9" s="6">
        <v>6.5519999999999996</v>
      </c>
      <c r="Y9" s="6">
        <v>6.5890000000000004</v>
      </c>
      <c r="Z9" s="6">
        <v>6.5229999999999997</v>
      </c>
      <c r="AA9" s="6">
        <v>6.3239999999999998</v>
      </c>
      <c r="AB9" s="34">
        <v>6.3120000000000003</v>
      </c>
      <c r="AC9" s="4">
        <v>6.4720000000000004</v>
      </c>
      <c r="AD9" s="22">
        <f t="shared" si="0"/>
        <v>6.3920000000000003</v>
      </c>
      <c r="AF9" s="118"/>
      <c r="AG9" s="118"/>
      <c r="AH9" s="118"/>
      <c r="AI9" s="118"/>
      <c r="AJ9" s="118"/>
      <c r="AK9" s="118"/>
      <c r="AL9" s="118"/>
      <c r="AM9" s="118"/>
      <c r="AN9" s="118"/>
      <c r="AO9" s="118"/>
      <c r="AP9" s="118"/>
      <c r="AQ9" s="118"/>
      <c r="AR9" s="118"/>
      <c r="AS9" s="118"/>
      <c r="AT9" s="118"/>
      <c r="AU9" s="118"/>
      <c r="AV9" s="118"/>
    </row>
    <row r="10" spans="1:48">
      <c r="A10" s="1">
        <f t="shared" si="2"/>
        <v>8</v>
      </c>
      <c r="B10" s="2"/>
      <c r="C10" s="4">
        <v>10</v>
      </c>
      <c r="D10" s="4">
        <f t="shared" si="1"/>
        <v>1016</v>
      </c>
      <c r="E10" s="4" t="s">
        <v>229</v>
      </c>
      <c r="F10" s="4">
        <v>1</v>
      </c>
      <c r="G10" s="4" t="s">
        <v>11</v>
      </c>
      <c r="H10" s="4" t="s">
        <v>17</v>
      </c>
      <c r="I10" s="5">
        <v>87.5</v>
      </c>
      <c r="J10" s="63">
        <v>0.14799999999999999</v>
      </c>
      <c r="K10" s="99">
        <v>6.4799999999999986</v>
      </c>
      <c r="L10" s="7" t="s">
        <v>113</v>
      </c>
      <c r="M10" s="3" t="s">
        <v>205</v>
      </c>
      <c r="N10" s="41"/>
      <c r="O10" s="41"/>
      <c r="P10" s="6">
        <v>7.008</v>
      </c>
      <c r="Q10" s="41"/>
      <c r="R10" s="6">
        <v>6.6980000000000004</v>
      </c>
      <c r="S10" s="6">
        <v>6.6079999999999997</v>
      </c>
      <c r="T10" s="6">
        <v>6.5739999999999998</v>
      </c>
      <c r="U10" s="6">
        <v>6.5510000000000002</v>
      </c>
      <c r="V10" s="6">
        <v>6.4589999999999996</v>
      </c>
      <c r="W10" s="41"/>
      <c r="X10" s="6">
        <v>6.7569999999999997</v>
      </c>
      <c r="Y10" s="6">
        <v>6.7210000000000001</v>
      </c>
      <c r="Z10" s="6">
        <v>6.6470000000000002</v>
      </c>
      <c r="AA10" s="6">
        <v>6.5819999999999999</v>
      </c>
      <c r="AB10" s="34">
        <v>6.5309999999999997</v>
      </c>
      <c r="AC10" s="4">
        <v>6.4020000000000001</v>
      </c>
      <c r="AD10" s="22">
        <f t="shared" si="0"/>
        <v>6.4664999999999999</v>
      </c>
      <c r="AF10" s="118"/>
      <c r="AG10" s="118"/>
      <c r="AH10" s="118"/>
      <c r="AI10" s="118"/>
      <c r="AJ10" s="118"/>
      <c r="AK10" s="118"/>
      <c r="AL10" s="118"/>
      <c r="AM10" s="118"/>
      <c r="AN10" s="118"/>
      <c r="AO10" s="118"/>
      <c r="AP10" s="118"/>
      <c r="AQ10" s="118"/>
      <c r="AR10" s="118"/>
      <c r="AS10" s="118"/>
      <c r="AT10" s="118"/>
      <c r="AU10" s="118"/>
      <c r="AV10" s="118"/>
    </row>
    <row r="11" spans="1:48">
      <c r="A11" s="1">
        <f t="shared" si="2"/>
        <v>9</v>
      </c>
      <c r="B11" s="2"/>
      <c r="C11" s="4">
        <v>10</v>
      </c>
      <c r="D11" s="4">
        <f t="shared" si="1"/>
        <v>1016</v>
      </c>
      <c r="E11" s="4" t="s">
        <v>229</v>
      </c>
      <c r="F11" s="4">
        <v>1</v>
      </c>
      <c r="G11" s="4" t="s">
        <v>14</v>
      </c>
      <c r="H11" s="4"/>
      <c r="I11" s="5"/>
      <c r="J11" s="63">
        <v>5.5E-2</v>
      </c>
      <c r="K11" s="99">
        <v>6.5810000000000004</v>
      </c>
      <c r="L11" s="7" t="s">
        <v>113</v>
      </c>
      <c r="M11" s="3" t="s">
        <v>205</v>
      </c>
      <c r="N11" s="41"/>
      <c r="O11" s="41"/>
      <c r="P11" s="6">
        <v>7.0460000000000003</v>
      </c>
      <c r="Q11" s="41"/>
      <c r="R11" s="6">
        <v>6.8289999999999997</v>
      </c>
      <c r="S11" s="6">
        <v>6.6619999999999999</v>
      </c>
      <c r="T11" s="6">
        <v>6.6719999999999997</v>
      </c>
      <c r="U11" s="6">
        <v>6.7</v>
      </c>
      <c r="V11" s="6">
        <v>6.5780000000000003</v>
      </c>
      <c r="W11" s="41"/>
      <c r="X11" s="6">
        <v>6.8609999999999998</v>
      </c>
      <c r="Y11" s="6">
        <v>6.8179999999999996</v>
      </c>
      <c r="Z11" s="6">
        <v>6.5839999999999996</v>
      </c>
      <c r="AA11" s="6">
        <v>6.7089999999999996</v>
      </c>
      <c r="AB11" s="34">
        <v>6.1539999999999999</v>
      </c>
      <c r="AC11" s="34">
        <v>7.0919999999999996</v>
      </c>
      <c r="AD11" s="22">
        <f t="shared" si="0"/>
        <v>6.6229999999999993</v>
      </c>
      <c r="AF11" s="118"/>
      <c r="AG11" s="118"/>
      <c r="AH11" s="118"/>
      <c r="AI11" s="118"/>
      <c r="AJ11" s="118"/>
      <c r="AK11" s="118"/>
      <c r="AL11" s="118"/>
      <c r="AM11" s="118"/>
      <c r="AN11" s="118"/>
      <c r="AO11" s="118"/>
      <c r="AP11" s="118"/>
      <c r="AQ11" s="118"/>
      <c r="AR11" s="118"/>
      <c r="AS11" s="118"/>
      <c r="AT11" s="118"/>
      <c r="AU11" s="118"/>
      <c r="AV11" s="118"/>
    </row>
    <row r="12" spans="1:48">
      <c r="A12" s="1">
        <f t="shared" si="2"/>
        <v>10</v>
      </c>
      <c r="B12" s="2"/>
      <c r="C12" s="4">
        <v>10</v>
      </c>
      <c r="D12" s="4">
        <f t="shared" si="1"/>
        <v>1016</v>
      </c>
      <c r="E12" s="4" t="s">
        <v>230</v>
      </c>
      <c r="F12" s="4">
        <v>3</v>
      </c>
      <c r="G12" s="4" t="s">
        <v>11</v>
      </c>
      <c r="H12" s="4" t="s">
        <v>17</v>
      </c>
      <c r="I12" s="5">
        <v>97.4</v>
      </c>
      <c r="J12" s="68"/>
      <c r="K12" s="99">
        <v>3.9749999999999996</v>
      </c>
      <c r="L12" s="7" t="s">
        <v>260</v>
      </c>
      <c r="M12" s="3" t="s">
        <v>205</v>
      </c>
      <c r="N12" s="22">
        <v>4.556</v>
      </c>
      <c r="O12" s="22">
        <v>4.1260000000000003</v>
      </c>
      <c r="P12" s="22">
        <v>4.3890000000000002</v>
      </c>
      <c r="Q12" s="41"/>
      <c r="R12" s="6">
        <v>3.984</v>
      </c>
      <c r="S12" s="41"/>
      <c r="T12" s="41"/>
      <c r="U12" s="41"/>
      <c r="V12" s="41"/>
      <c r="W12" s="41"/>
      <c r="X12" s="22">
        <v>4.2450000000000001</v>
      </c>
      <c r="Y12" s="22">
        <v>4.2549999999999999</v>
      </c>
      <c r="Z12" s="22">
        <v>4.2140000000000004</v>
      </c>
      <c r="AA12" s="22">
        <v>4.0670000000000002</v>
      </c>
      <c r="AB12" s="6">
        <v>4.0960000000000001</v>
      </c>
      <c r="AC12" s="6">
        <v>3.734</v>
      </c>
      <c r="AD12" s="22">
        <f>AVERAGE(AB12:AC12)</f>
        <v>3.915</v>
      </c>
      <c r="AF12" s="118"/>
      <c r="AG12" s="118"/>
      <c r="AH12" s="118"/>
      <c r="AI12" s="118"/>
      <c r="AJ12" s="118"/>
      <c r="AK12" s="118"/>
      <c r="AL12" s="118"/>
      <c r="AM12" s="118"/>
      <c r="AN12" s="118"/>
      <c r="AO12" s="118"/>
      <c r="AP12" s="118"/>
      <c r="AQ12" s="118"/>
      <c r="AR12" s="118"/>
      <c r="AS12" s="118"/>
      <c r="AT12" s="118"/>
      <c r="AU12" s="118"/>
      <c r="AV12" s="118"/>
    </row>
    <row r="13" spans="1:48">
      <c r="A13" s="1">
        <f t="shared" si="2"/>
        <v>11</v>
      </c>
      <c r="B13" s="2"/>
      <c r="C13" s="4">
        <v>10</v>
      </c>
      <c r="D13" s="4">
        <f t="shared" si="1"/>
        <v>1016</v>
      </c>
      <c r="E13" s="4" t="s">
        <v>230</v>
      </c>
      <c r="F13" s="4">
        <v>3</v>
      </c>
      <c r="G13" s="4" t="s">
        <v>11</v>
      </c>
      <c r="H13" s="4" t="s">
        <v>17</v>
      </c>
      <c r="I13" s="5">
        <v>97</v>
      </c>
      <c r="J13" s="68"/>
      <c r="K13" s="99">
        <v>4.8670000000000009</v>
      </c>
      <c r="L13" s="7" t="s">
        <v>260</v>
      </c>
      <c r="M13" s="3" t="s">
        <v>205</v>
      </c>
      <c r="N13" s="6">
        <v>5.3979999999999997</v>
      </c>
      <c r="O13" s="6">
        <v>5.024</v>
      </c>
      <c r="P13" s="6">
        <v>5.319</v>
      </c>
      <c r="Q13" s="41"/>
      <c r="R13" s="6">
        <v>4.9379999999999997</v>
      </c>
      <c r="S13" s="41"/>
      <c r="T13" s="41"/>
      <c r="U13" s="41"/>
      <c r="V13" s="41"/>
      <c r="W13" s="41"/>
      <c r="X13" s="6">
        <v>5.0839999999999996</v>
      </c>
      <c r="Y13" s="6">
        <v>5.101</v>
      </c>
      <c r="Z13" s="6">
        <v>5.0789999999999997</v>
      </c>
      <c r="AA13" s="6">
        <v>4.8949999999999996</v>
      </c>
      <c r="AB13" s="22">
        <v>4.9889999999999999</v>
      </c>
      <c r="AC13" s="6">
        <v>4.657</v>
      </c>
      <c r="AD13" s="22">
        <f>AVERAGE(AB13:AC13)</f>
        <v>4.8230000000000004</v>
      </c>
      <c r="AF13" s="118"/>
      <c r="AG13" s="118"/>
      <c r="AH13" s="118"/>
      <c r="AI13" s="118"/>
      <c r="AJ13" s="118"/>
      <c r="AK13" s="118"/>
      <c r="AL13" s="118"/>
      <c r="AM13" s="118"/>
      <c r="AN13" s="118"/>
      <c r="AO13" s="118"/>
      <c r="AP13" s="118"/>
      <c r="AQ13" s="118"/>
      <c r="AR13" s="118"/>
      <c r="AS13" s="118"/>
      <c r="AT13" s="118"/>
      <c r="AU13" s="118"/>
      <c r="AV13" s="118"/>
    </row>
    <row r="14" spans="1:48">
      <c r="A14" s="1">
        <f>A13+1</f>
        <v>12</v>
      </c>
      <c r="B14" s="2"/>
      <c r="C14" s="4">
        <v>10</v>
      </c>
      <c r="D14" s="4">
        <f t="shared" si="1"/>
        <v>1016</v>
      </c>
      <c r="E14" s="4" t="s">
        <v>134</v>
      </c>
      <c r="F14" s="4">
        <v>3</v>
      </c>
      <c r="G14" s="4" t="s">
        <v>11</v>
      </c>
      <c r="H14" s="4" t="s">
        <v>12</v>
      </c>
      <c r="I14" s="5">
        <v>96.2</v>
      </c>
      <c r="J14" s="68"/>
      <c r="K14" s="99">
        <v>5.1789999999999985</v>
      </c>
      <c r="L14" s="7" t="s">
        <v>260</v>
      </c>
      <c r="M14" s="3" t="s">
        <v>205</v>
      </c>
      <c r="N14" s="22">
        <v>5.4790000000000001</v>
      </c>
      <c r="O14" s="22">
        <v>5.056</v>
      </c>
      <c r="P14" s="22">
        <v>5.58</v>
      </c>
      <c r="Q14" s="41"/>
      <c r="R14" s="6">
        <v>5.359</v>
      </c>
      <c r="S14" s="41"/>
      <c r="T14" s="41"/>
      <c r="U14" s="41"/>
      <c r="V14" s="41"/>
      <c r="W14" s="41"/>
      <c r="X14" s="22">
        <v>5.4509999999999996</v>
      </c>
      <c r="Y14" s="22">
        <v>5.4870000000000001</v>
      </c>
      <c r="Z14" s="22">
        <v>5.3479999999999999</v>
      </c>
      <c r="AA14" s="22">
        <v>5.2160000000000002</v>
      </c>
      <c r="AB14" s="6">
        <v>5.0030000000000001</v>
      </c>
      <c r="AC14" s="6">
        <v>5.3170000000000002</v>
      </c>
      <c r="AD14" s="22">
        <f>AVERAGE(AB14:AC14)</f>
        <v>5.16</v>
      </c>
      <c r="AF14" s="118"/>
      <c r="AG14" s="118"/>
      <c r="AH14" s="118"/>
      <c r="AI14" s="118"/>
      <c r="AJ14" s="118"/>
      <c r="AK14" s="118"/>
      <c r="AL14" s="118"/>
      <c r="AM14" s="118"/>
      <c r="AN14" s="118"/>
      <c r="AO14" s="118"/>
      <c r="AP14" s="118"/>
      <c r="AQ14" s="118"/>
      <c r="AR14" s="118"/>
      <c r="AS14" s="118"/>
      <c r="AT14" s="118"/>
      <c r="AU14" s="118"/>
      <c r="AV14" s="118"/>
    </row>
    <row r="15" spans="1:48">
      <c r="A15" s="1">
        <f t="shared" si="2"/>
        <v>13</v>
      </c>
      <c r="B15" s="2"/>
      <c r="C15" s="4">
        <v>10</v>
      </c>
      <c r="D15" s="4">
        <f t="shared" si="1"/>
        <v>1016</v>
      </c>
      <c r="E15" s="4" t="s">
        <v>134</v>
      </c>
      <c r="F15" s="4">
        <v>3</v>
      </c>
      <c r="G15" s="4" t="s">
        <v>14</v>
      </c>
      <c r="H15" s="4"/>
      <c r="I15" s="5">
        <v>97.2</v>
      </c>
      <c r="J15" s="68"/>
      <c r="K15" s="99">
        <v>5.5360000000000005</v>
      </c>
      <c r="L15" s="7" t="s">
        <v>260</v>
      </c>
      <c r="M15" s="3" t="s">
        <v>205</v>
      </c>
      <c r="N15" s="6">
        <v>5.702</v>
      </c>
      <c r="O15" s="6">
        <v>5.4649999999999999</v>
      </c>
      <c r="P15" s="6">
        <v>5.907</v>
      </c>
      <c r="Q15" s="41"/>
      <c r="R15" s="6">
        <v>5.62</v>
      </c>
      <c r="S15" s="41"/>
      <c r="T15" s="41"/>
      <c r="U15" s="41"/>
      <c r="V15" s="41"/>
      <c r="W15" s="41"/>
      <c r="X15" s="6">
        <v>5.8019999999999996</v>
      </c>
      <c r="Y15" s="6">
        <v>5.7480000000000002</v>
      </c>
      <c r="Z15" s="6">
        <v>5.6539999999999999</v>
      </c>
      <c r="AA15" s="6">
        <v>5.6619999999999999</v>
      </c>
      <c r="AB15" s="6">
        <v>5.5209999999999999</v>
      </c>
      <c r="AC15" s="6">
        <v>5.4459999999999997</v>
      </c>
      <c r="AD15" s="22">
        <f>AVERAGE(AB15:AC15)</f>
        <v>5.4834999999999994</v>
      </c>
      <c r="AF15" s="118"/>
      <c r="AG15" s="118"/>
      <c r="AH15" s="118"/>
      <c r="AI15" s="118"/>
      <c r="AJ15" s="118"/>
      <c r="AK15" s="118"/>
      <c r="AL15" s="118"/>
      <c r="AM15" s="118"/>
      <c r="AN15" s="118"/>
      <c r="AO15" s="118"/>
      <c r="AP15" s="118"/>
      <c r="AQ15" s="118"/>
      <c r="AR15" s="118"/>
      <c r="AS15" s="118"/>
      <c r="AT15" s="118"/>
      <c r="AU15" s="118"/>
      <c r="AV15" s="118"/>
    </row>
    <row r="16" spans="1:48">
      <c r="A16" s="1">
        <f t="shared" si="2"/>
        <v>14</v>
      </c>
      <c r="B16" s="2" t="s">
        <v>418</v>
      </c>
      <c r="C16" s="4">
        <v>8</v>
      </c>
      <c r="D16" s="4">
        <f t="shared" si="1"/>
        <v>69</v>
      </c>
      <c r="E16" s="4" t="s">
        <v>229</v>
      </c>
      <c r="F16" s="4">
        <v>1</v>
      </c>
      <c r="G16" s="4" t="s">
        <v>11</v>
      </c>
      <c r="H16" s="4" t="s">
        <v>17</v>
      </c>
      <c r="I16" s="5">
        <v>86.6</v>
      </c>
      <c r="J16" s="6">
        <v>6.0999999999999999E-2</v>
      </c>
      <c r="K16" s="99">
        <v>4.7360000000000007</v>
      </c>
      <c r="L16" s="7" t="s">
        <v>113</v>
      </c>
      <c r="M16" s="3" t="s">
        <v>205</v>
      </c>
      <c r="N16" s="6">
        <v>4.9009999999999998</v>
      </c>
      <c r="O16" s="6">
        <v>4.774</v>
      </c>
      <c r="P16" s="6">
        <v>5.1280000000000001</v>
      </c>
      <c r="Q16" s="6">
        <v>4.5419999999999998</v>
      </c>
      <c r="R16" s="6">
        <v>4.9950000000000001</v>
      </c>
      <c r="S16" s="6">
        <v>4.82</v>
      </c>
      <c r="T16" s="6">
        <v>4.8159999999999998</v>
      </c>
      <c r="U16" s="6">
        <v>4.8140000000000001</v>
      </c>
      <c r="V16" s="6">
        <v>4.7329999999999997</v>
      </c>
      <c r="W16" s="117"/>
      <c r="X16" s="6">
        <v>4.84</v>
      </c>
      <c r="Y16" s="6">
        <v>4.9550000000000001</v>
      </c>
      <c r="Z16" s="6">
        <v>4.899</v>
      </c>
      <c r="AA16" s="6">
        <v>4.5960000000000001</v>
      </c>
      <c r="AB16" s="6">
        <v>4.62</v>
      </c>
      <c r="AC16" s="6">
        <v>4.8520000000000003</v>
      </c>
      <c r="AD16" s="6">
        <f>IF((AB16&lt;&gt;"")*AND(AC16&lt;&gt;""),AVERAGE(AB16,AC16),"")</f>
        <v>4.7360000000000007</v>
      </c>
      <c r="AF16" s="118"/>
      <c r="AG16" s="118"/>
      <c r="AH16" s="118"/>
      <c r="AI16" s="118"/>
      <c r="AJ16" s="118"/>
      <c r="AK16" s="118"/>
      <c r="AL16" s="118"/>
      <c r="AM16" s="118"/>
      <c r="AN16" s="118"/>
      <c r="AO16" s="118"/>
      <c r="AP16" s="118"/>
      <c r="AQ16" s="118"/>
      <c r="AR16" s="118"/>
      <c r="AS16" s="118"/>
      <c r="AT16" s="118"/>
      <c r="AU16" s="118"/>
      <c r="AV16" s="118"/>
    </row>
    <row r="17" spans="1:48">
      <c r="A17" s="1">
        <f t="shared" si="2"/>
        <v>15</v>
      </c>
      <c r="B17" s="2"/>
      <c r="C17" s="4">
        <v>8</v>
      </c>
      <c r="D17" s="4">
        <f t="shared" si="1"/>
        <v>69</v>
      </c>
      <c r="E17" s="4" t="s">
        <v>147</v>
      </c>
      <c r="F17" s="4">
        <v>1</v>
      </c>
      <c r="G17" s="4" t="s">
        <v>11</v>
      </c>
      <c r="H17" s="4" t="s">
        <v>12</v>
      </c>
      <c r="I17" s="5">
        <v>86.4</v>
      </c>
      <c r="J17" s="6">
        <v>3.0000000000000001E-3</v>
      </c>
      <c r="K17" s="99">
        <v>5.1790000000000012</v>
      </c>
      <c r="L17" s="7" t="s">
        <v>113</v>
      </c>
      <c r="M17" s="3" t="s">
        <v>205</v>
      </c>
      <c r="N17" s="6">
        <v>5.2279999999999998</v>
      </c>
      <c r="O17" s="6">
        <v>5.0049999999999999</v>
      </c>
      <c r="P17" s="6">
        <v>5.5570000000000004</v>
      </c>
      <c r="Q17" s="6">
        <v>5.1210000000000004</v>
      </c>
      <c r="R17" s="6">
        <v>5.4649999999999999</v>
      </c>
      <c r="S17" s="6">
        <v>5.2809999999999997</v>
      </c>
      <c r="T17" s="6">
        <v>5.2809999999999997</v>
      </c>
      <c r="U17" s="6">
        <v>5.2759999999999998</v>
      </c>
      <c r="V17" s="6">
        <v>5.1619999999999999</v>
      </c>
      <c r="W17" s="117"/>
      <c r="X17" s="6">
        <v>5.431</v>
      </c>
      <c r="Y17" s="6">
        <v>5.5430000000000001</v>
      </c>
      <c r="Z17" s="6">
        <v>5.4039999999999999</v>
      </c>
      <c r="AA17" s="6">
        <v>5.181</v>
      </c>
      <c r="AB17" s="6">
        <v>4.8419999999999996</v>
      </c>
      <c r="AC17" s="6">
        <v>5.4669999999999996</v>
      </c>
      <c r="AD17" s="6">
        <f t="shared" ref="AD17:AD26" si="3">IF((AB17&lt;&gt;"")*AND(AC17&lt;&gt;""),AVERAGE(AB17,AC17),"")</f>
        <v>5.1544999999999996</v>
      </c>
      <c r="AF17" s="118"/>
      <c r="AG17" s="118"/>
      <c r="AH17" s="118"/>
      <c r="AI17" s="118"/>
      <c r="AJ17" s="118"/>
      <c r="AK17" s="118"/>
      <c r="AL17" s="118"/>
      <c r="AM17" s="118"/>
      <c r="AN17" s="118"/>
      <c r="AO17" s="118"/>
      <c r="AP17" s="118"/>
      <c r="AQ17" s="118"/>
      <c r="AR17" s="118"/>
      <c r="AS17" s="118"/>
      <c r="AT17" s="118"/>
      <c r="AU17" s="118"/>
      <c r="AV17" s="118"/>
    </row>
    <row r="18" spans="1:48">
      <c r="A18" s="1">
        <f t="shared" si="2"/>
        <v>16</v>
      </c>
      <c r="B18" s="2"/>
      <c r="C18" s="4">
        <v>8</v>
      </c>
      <c r="D18" s="4">
        <f t="shared" si="1"/>
        <v>69</v>
      </c>
      <c r="E18" s="4" t="s">
        <v>229</v>
      </c>
      <c r="F18" s="4">
        <v>1</v>
      </c>
      <c r="G18" s="4" t="s">
        <v>11</v>
      </c>
      <c r="H18" s="4" t="s">
        <v>17</v>
      </c>
      <c r="I18" s="5">
        <v>85</v>
      </c>
      <c r="J18" s="6">
        <v>0.16300000000000001</v>
      </c>
      <c r="K18" s="99">
        <v>5.5980000000000008</v>
      </c>
      <c r="L18" s="7" t="s">
        <v>113</v>
      </c>
      <c r="M18" s="3" t="s">
        <v>205</v>
      </c>
      <c r="N18" s="6">
        <v>5.6689999999999996</v>
      </c>
      <c r="O18" s="6">
        <v>5.6550000000000002</v>
      </c>
      <c r="P18" s="6">
        <v>6.0460000000000003</v>
      </c>
      <c r="Q18" s="6">
        <v>5.5720000000000001</v>
      </c>
      <c r="R18" s="6">
        <v>5.94</v>
      </c>
      <c r="S18" s="6">
        <v>5.7160000000000002</v>
      </c>
      <c r="T18" s="6">
        <v>5.7009999999999996</v>
      </c>
      <c r="U18" s="6">
        <v>5.7030000000000003</v>
      </c>
      <c r="V18" s="6">
        <v>5.6020000000000003</v>
      </c>
      <c r="W18" s="117"/>
      <c r="X18" s="6">
        <v>5.8369999999999997</v>
      </c>
      <c r="Y18" s="6">
        <v>5.9390000000000001</v>
      </c>
      <c r="Z18" s="6">
        <v>5.8479999999999999</v>
      </c>
      <c r="AA18" s="6">
        <v>5.5960000000000001</v>
      </c>
      <c r="AB18" s="6">
        <v>5.5439999999999996</v>
      </c>
      <c r="AC18" s="6">
        <v>5.7439999999999998</v>
      </c>
      <c r="AD18" s="6">
        <f>IF((AB18&lt;&gt;"")*AND(AC18&lt;&gt;""),AVERAGE(AB18,AC18),"")</f>
        <v>5.6440000000000001</v>
      </c>
      <c r="AF18" s="118"/>
      <c r="AG18" s="118"/>
      <c r="AH18" s="118"/>
      <c r="AI18" s="118"/>
      <c r="AJ18" s="118"/>
      <c r="AK18" s="118"/>
      <c r="AL18" s="118"/>
      <c r="AM18" s="118"/>
      <c r="AN18" s="118"/>
      <c r="AO18" s="118"/>
      <c r="AP18" s="118"/>
      <c r="AQ18" s="118"/>
      <c r="AR18" s="118"/>
      <c r="AS18" s="118"/>
      <c r="AT18" s="118"/>
      <c r="AU18" s="118"/>
      <c r="AV18" s="118"/>
    </row>
    <row r="19" spans="1:48">
      <c r="A19" s="1">
        <f t="shared" si="2"/>
        <v>17</v>
      </c>
      <c r="B19" s="2"/>
      <c r="C19" s="4">
        <v>8</v>
      </c>
      <c r="D19" s="4">
        <f t="shared" si="1"/>
        <v>69</v>
      </c>
      <c r="E19" s="4" t="s">
        <v>147</v>
      </c>
      <c r="F19" s="4">
        <v>1</v>
      </c>
      <c r="G19" s="4" t="s">
        <v>14</v>
      </c>
      <c r="H19" s="4"/>
      <c r="I19" s="5">
        <v>91.2</v>
      </c>
      <c r="J19" s="6">
        <v>4.0000000000000001E-3</v>
      </c>
      <c r="K19" s="99">
        <v>5.6150000000000011</v>
      </c>
      <c r="L19" s="7" t="s">
        <v>113</v>
      </c>
      <c r="M19" s="3" t="s">
        <v>205</v>
      </c>
      <c r="N19" s="6">
        <v>5.7050000000000001</v>
      </c>
      <c r="O19" s="6">
        <v>5.53</v>
      </c>
      <c r="P19" s="6">
        <v>5.9459999999999997</v>
      </c>
      <c r="Q19" s="6">
        <v>5.6909999999999998</v>
      </c>
      <c r="R19" s="6">
        <v>5.742</v>
      </c>
      <c r="S19" s="6">
        <v>5.6459999999999999</v>
      </c>
      <c r="T19" s="6">
        <v>5.6529999999999996</v>
      </c>
      <c r="U19" s="6">
        <v>5.6550000000000002</v>
      </c>
      <c r="V19" s="6">
        <v>5.6020000000000003</v>
      </c>
      <c r="W19" s="117"/>
      <c r="X19" s="6">
        <v>5.8559999999999999</v>
      </c>
      <c r="Y19" s="6">
        <v>5.8170000000000002</v>
      </c>
      <c r="Z19" s="6">
        <v>5.7210000000000001</v>
      </c>
      <c r="AA19" s="6">
        <v>5.7039999999999997</v>
      </c>
      <c r="AB19" s="6">
        <v>5.5460000000000003</v>
      </c>
      <c r="AC19" s="6">
        <v>5.5949999999999998</v>
      </c>
      <c r="AD19" s="6">
        <f>IF((AB19&lt;&gt;"")*AND(AC19&lt;&gt;""),AVERAGE(AB19,AC19),"")</f>
        <v>5.5705</v>
      </c>
      <c r="AF19" s="118"/>
      <c r="AG19" s="118"/>
      <c r="AH19" s="118"/>
      <c r="AI19" s="118"/>
      <c r="AJ19" s="118"/>
      <c r="AK19" s="118"/>
      <c r="AL19" s="118"/>
      <c r="AM19" s="118"/>
      <c r="AN19" s="118"/>
      <c r="AO19" s="118"/>
      <c r="AP19" s="118"/>
      <c r="AQ19" s="118"/>
      <c r="AR19" s="118"/>
      <c r="AS19" s="118"/>
      <c r="AT19" s="118"/>
      <c r="AU19" s="118"/>
      <c r="AV19" s="118"/>
    </row>
    <row r="20" spans="1:48">
      <c r="A20" s="1">
        <f t="shared" si="2"/>
        <v>18</v>
      </c>
      <c r="B20" s="2"/>
      <c r="C20" s="4">
        <v>8</v>
      </c>
      <c r="D20" s="4">
        <f t="shared" si="1"/>
        <v>69</v>
      </c>
      <c r="E20" s="4" t="s">
        <v>147</v>
      </c>
      <c r="F20" s="4">
        <v>1</v>
      </c>
      <c r="G20" s="4" t="s">
        <v>11</v>
      </c>
      <c r="H20" s="4" t="s">
        <v>12</v>
      </c>
      <c r="I20" s="5">
        <v>83.3</v>
      </c>
      <c r="J20" s="6">
        <v>0</v>
      </c>
      <c r="K20" s="99">
        <v>5.6289999999999996</v>
      </c>
      <c r="L20" s="7" t="s">
        <v>113</v>
      </c>
      <c r="M20" s="3" t="s">
        <v>205</v>
      </c>
      <c r="N20" s="6">
        <v>6.2</v>
      </c>
      <c r="O20" s="6">
        <v>5.41</v>
      </c>
      <c r="P20" s="6">
        <v>6.4189999999999996</v>
      </c>
      <c r="Q20" s="117"/>
      <c r="R20" s="6">
        <v>6.3949999999999996</v>
      </c>
      <c r="S20" s="6">
        <v>5.9089999999999998</v>
      </c>
      <c r="T20" s="6">
        <v>5.915</v>
      </c>
      <c r="U20" s="6">
        <v>5.7690000000000001</v>
      </c>
      <c r="V20" s="6">
        <v>5.5579999999999998</v>
      </c>
      <c r="W20" s="117"/>
      <c r="X20" s="6">
        <v>6.1340000000000003</v>
      </c>
      <c r="Y20" s="6">
        <v>6.3319999999999999</v>
      </c>
      <c r="Z20" s="6">
        <v>5.8979999999999997</v>
      </c>
      <c r="AA20" s="6">
        <v>5.8419999999999996</v>
      </c>
      <c r="AB20" s="6">
        <v>5.2489999999999997</v>
      </c>
      <c r="AC20" s="6">
        <v>6.8390000000000004</v>
      </c>
      <c r="AD20" s="6">
        <f t="shared" si="3"/>
        <v>6.0440000000000005</v>
      </c>
      <c r="AF20" s="118"/>
      <c r="AG20" s="118"/>
      <c r="AH20" s="118"/>
      <c r="AI20" s="118"/>
      <c r="AJ20" s="118"/>
      <c r="AK20" s="118"/>
      <c r="AL20" s="118"/>
      <c r="AM20" s="118"/>
      <c r="AN20" s="118"/>
      <c r="AO20" s="118"/>
      <c r="AP20" s="118"/>
      <c r="AQ20" s="118"/>
      <c r="AR20" s="118"/>
      <c r="AS20" s="118"/>
      <c r="AT20" s="118"/>
      <c r="AU20" s="118"/>
      <c r="AV20" s="118"/>
    </row>
    <row r="21" spans="1:48">
      <c r="A21" s="1">
        <f t="shared" si="2"/>
        <v>19</v>
      </c>
      <c r="B21" s="2"/>
      <c r="C21" s="4">
        <v>8</v>
      </c>
      <c r="D21" s="4">
        <f t="shared" si="1"/>
        <v>69</v>
      </c>
      <c r="E21" s="4" t="s">
        <v>147</v>
      </c>
      <c r="F21" s="4">
        <v>1</v>
      </c>
      <c r="G21" s="4" t="s">
        <v>11</v>
      </c>
      <c r="H21" s="4" t="s">
        <v>12</v>
      </c>
      <c r="I21" s="5">
        <v>88.1</v>
      </c>
      <c r="J21" s="6">
        <v>0</v>
      </c>
      <c r="K21" s="99">
        <v>5.9810000000000008</v>
      </c>
      <c r="L21" s="7" t="s">
        <v>113</v>
      </c>
      <c r="M21" s="3" t="s">
        <v>205</v>
      </c>
      <c r="N21" s="6">
        <v>5.891</v>
      </c>
      <c r="O21" s="6">
        <v>5.9359999999999999</v>
      </c>
      <c r="P21" s="6">
        <v>6.1689999999999996</v>
      </c>
      <c r="Q21" s="6">
        <v>5.8179999999999996</v>
      </c>
      <c r="R21" s="6">
        <v>6.0960000000000001</v>
      </c>
      <c r="S21" s="6">
        <v>5.9530000000000003</v>
      </c>
      <c r="T21" s="6">
        <v>5.9279999999999999</v>
      </c>
      <c r="U21" s="6">
        <v>6.0720000000000001</v>
      </c>
      <c r="V21" s="6">
        <v>5.9909999999999997</v>
      </c>
      <c r="W21" s="117"/>
      <c r="X21" s="6">
        <v>5.8929999999999998</v>
      </c>
      <c r="Y21" s="6">
        <v>6.0960000000000001</v>
      </c>
      <c r="Z21" s="6">
        <v>6.1379999999999999</v>
      </c>
      <c r="AA21" s="6">
        <v>5.6189999999999998</v>
      </c>
      <c r="AB21" s="6">
        <v>5.6829999999999998</v>
      </c>
      <c r="AC21" s="6">
        <v>6.2779999999999996</v>
      </c>
      <c r="AD21" s="6">
        <f t="shared" si="3"/>
        <v>5.9804999999999993</v>
      </c>
      <c r="AF21" s="118"/>
      <c r="AG21" s="118"/>
      <c r="AH21" s="118"/>
      <c r="AI21" s="118"/>
      <c r="AJ21" s="118"/>
      <c r="AK21" s="118"/>
      <c r="AL21" s="118"/>
      <c r="AM21" s="118"/>
      <c r="AN21" s="118"/>
      <c r="AO21" s="118"/>
      <c r="AP21" s="118"/>
      <c r="AQ21" s="118"/>
      <c r="AR21" s="118"/>
      <c r="AS21" s="118"/>
      <c r="AT21" s="118"/>
      <c r="AU21" s="118"/>
      <c r="AV21" s="118"/>
    </row>
    <row r="22" spans="1:48">
      <c r="A22" s="1">
        <f t="shared" si="2"/>
        <v>20</v>
      </c>
      <c r="B22" s="2"/>
      <c r="C22" s="4">
        <v>8</v>
      </c>
      <c r="D22" s="4">
        <f t="shared" si="1"/>
        <v>69</v>
      </c>
      <c r="E22" s="4" t="s">
        <v>229</v>
      </c>
      <c r="F22" s="4">
        <v>1</v>
      </c>
      <c r="G22" s="4" t="s">
        <v>11</v>
      </c>
      <c r="H22" s="4" t="s">
        <v>17</v>
      </c>
      <c r="I22" s="5">
        <v>88.5</v>
      </c>
      <c r="J22" s="6">
        <v>0.48899999999999999</v>
      </c>
      <c r="K22" s="99">
        <v>6.383</v>
      </c>
      <c r="L22" s="7" t="s">
        <v>113</v>
      </c>
      <c r="M22" s="3" t="s">
        <v>205</v>
      </c>
      <c r="N22" s="6">
        <v>6.4279999999999999</v>
      </c>
      <c r="O22" s="6">
        <v>6.3529999999999998</v>
      </c>
      <c r="P22" s="6">
        <v>6.7460000000000004</v>
      </c>
      <c r="Q22" s="117"/>
      <c r="R22" s="6">
        <v>6.5910000000000002</v>
      </c>
      <c r="S22" s="6">
        <v>6.4980000000000002</v>
      </c>
      <c r="T22" s="6">
        <v>6.4409999999999998</v>
      </c>
      <c r="U22" s="6">
        <v>6.4539999999999997</v>
      </c>
      <c r="V22" s="6">
        <v>6.3769999999999998</v>
      </c>
      <c r="W22" s="117"/>
      <c r="X22" s="6">
        <v>6.4690000000000003</v>
      </c>
      <c r="Y22" s="6">
        <v>6.5839999999999996</v>
      </c>
      <c r="Z22" s="6">
        <v>6.492</v>
      </c>
      <c r="AA22" s="6">
        <v>6.2389999999999999</v>
      </c>
      <c r="AB22" s="6">
        <v>6.2460000000000004</v>
      </c>
      <c r="AC22" s="6">
        <v>6.4340000000000002</v>
      </c>
      <c r="AD22" s="6">
        <f t="shared" si="3"/>
        <v>6.34</v>
      </c>
      <c r="AF22" s="118"/>
      <c r="AG22" s="118"/>
      <c r="AH22" s="118"/>
      <c r="AI22" s="118"/>
      <c r="AJ22" s="118"/>
      <c r="AK22" s="118"/>
      <c r="AL22" s="118"/>
      <c r="AM22" s="118"/>
      <c r="AN22" s="118"/>
      <c r="AO22" s="118"/>
      <c r="AP22" s="118"/>
      <c r="AQ22" s="118"/>
      <c r="AR22" s="118"/>
      <c r="AS22" s="118"/>
      <c r="AT22" s="118"/>
      <c r="AU22" s="118"/>
      <c r="AV22" s="118"/>
    </row>
    <row r="23" spans="1:48">
      <c r="A23" s="1">
        <f t="shared" si="2"/>
        <v>21</v>
      </c>
      <c r="B23" s="2"/>
      <c r="C23" s="4">
        <v>8</v>
      </c>
      <c r="D23" s="4">
        <f t="shared" si="1"/>
        <v>69</v>
      </c>
      <c r="E23" s="4" t="s">
        <v>230</v>
      </c>
      <c r="F23" s="4">
        <v>3</v>
      </c>
      <c r="G23" s="4" t="s">
        <v>11</v>
      </c>
      <c r="H23" s="4" t="s">
        <v>17</v>
      </c>
      <c r="I23" s="5">
        <v>97.6</v>
      </c>
      <c r="J23" s="68"/>
      <c r="K23" s="99">
        <v>3.8639999999999999</v>
      </c>
      <c r="L23" s="7" t="s">
        <v>158</v>
      </c>
      <c r="M23" s="3" t="s">
        <v>205</v>
      </c>
      <c r="N23" s="6">
        <v>4.157</v>
      </c>
      <c r="O23" s="6">
        <v>3.9420000000000002</v>
      </c>
      <c r="P23" s="6">
        <v>4.0380000000000003</v>
      </c>
      <c r="Q23" s="6">
        <v>3.7080000000000002</v>
      </c>
      <c r="R23" s="6">
        <v>3.867</v>
      </c>
      <c r="S23" s="117"/>
      <c r="T23" s="117"/>
      <c r="U23" s="117"/>
      <c r="V23" s="117"/>
      <c r="W23" s="117"/>
      <c r="X23" s="6">
        <v>4.008</v>
      </c>
      <c r="Y23" s="6">
        <v>4.0579999999999998</v>
      </c>
      <c r="Z23" s="6">
        <v>4.0229999999999997</v>
      </c>
      <c r="AA23" s="6">
        <v>3.839</v>
      </c>
      <c r="AB23" s="6">
        <v>3.847</v>
      </c>
      <c r="AC23" s="6">
        <v>3.7080000000000002</v>
      </c>
      <c r="AD23" s="6">
        <f t="shared" si="3"/>
        <v>3.7774999999999999</v>
      </c>
      <c r="AF23" s="118"/>
      <c r="AG23" s="118"/>
      <c r="AH23" s="118"/>
      <c r="AI23" s="118"/>
      <c r="AJ23" s="118"/>
      <c r="AK23" s="118"/>
      <c r="AL23" s="118"/>
      <c r="AM23" s="118"/>
      <c r="AN23" s="118"/>
      <c r="AO23" s="118"/>
      <c r="AP23" s="118"/>
      <c r="AQ23" s="118"/>
      <c r="AR23" s="118"/>
      <c r="AS23" s="118"/>
      <c r="AT23" s="118"/>
      <c r="AU23" s="118"/>
      <c r="AV23" s="118"/>
    </row>
    <row r="24" spans="1:48">
      <c r="A24" s="1">
        <f t="shared" si="2"/>
        <v>22</v>
      </c>
      <c r="B24" s="2"/>
      <c r="C24" s="4">
        <v>8</v>
      </c>
      <c r="D24" s="4">
        <f t="shared" si="1"/>
        <v>69</v>
      </c>
      <c r="E24" s="4" t="s">
        <v>230</v>
      </c>
      <c r="F24" s="4">
        <v>3</v>
      </c>
      <c r="G24" s="4" t="s">
        <v>11</v>
      </c>
      <c r="H24" s="4" t="s">
        <v>17</v>
      </c>
      <c r="I24" s="5">
        <v>97</v>
      </c>
      <c r="J24" s="68"/>
      <c r="K24" s="99">
        <v>4.6619999999999999</v>
      </c>
      <c r="L24" s="7" t="s">
        <v>158</v>
      </c>
      <c r="M24" s="3" t="s">
        <v>205</v>
      </c>
      <c r="N24" s="6">
        <v>4.9089999999999998</v>
      </c>
      <c r="O24" s="6">
        <v>4.7590000000000003</v>
      </c>
      <c r="P24" s="6">
        <v>4.9420000000000002</v>
      </c>
      <c r="Q24" s="6">
        <v>4.4909999999999997</v>
      </c>
      <c r="R24" s="6">
        <v>4.7460000000000004</v>
      </c>
      <c r="S24" s="117"/>
      <c r="T24" s="117"/>
      <c r="U24" s="117"/>
      <c r="V24" s="117"/>
      <c r="W24" s="117"/>
      <c r="X24" s="6">
        <v>4.899</v>
      </c>
      <c r="Y24" s="6">
        <v>4.9580000000000002</v>
      </c>
      <c r="Z24" s="6">
        <v>4.8949999999999996</v>
      </c>
      <c r="AA24" s="6">
        <v>4.7030000000000003</v>
      </c>
      <c r="AB24" s="6">
        <v>4.67</v>
      </c>
      <c r="AC24" s="6">
        <v>4.6120000000000001</v>
      </c>
      <c r="AD24" s="6">
        <f t="shared" si="3"/>
        <v>4.641</v>
      </c>
      <c r="AF24" s="118"/>
      <c r="AG24" s="118"/>
      <c r="AH24" s="118"/>
      <c r="AI24" s="118"/>
      <c r="AJ24" s="118"/>
      <c r="AK24" s="118"/>
      <c r="AL24" s="118"/>
      <c r="AM24" s="118"/>
      <c r="AN24" s="118"/>
      <c r="AO24" s="118"/>
      <c r="AP24" s="118"/>
      <c r="AQ24" s="118"/>
      <c r="AR24" s="118"/>
      <c r="AS24" s="118"/>
      <c r="AT24" s="118"/>
      <c r="AU24" s="118"/>
      <c r="AV24" s="118"/>
    </row>
    <row r="25" spans="1:48">
      <c r="A25" s="1">
        <f t="shared" si="2"/>
        <v>23</v>
      </c>
      <c r="B25" s="2"/>
      <c r="C25" s="4">
        <v>8</v>
      </c>
      <c r="D25" s="4">
        <f t="shared" si="1"/>
        <v>69</v>
      </c>
      <c r="E25" s="4" t="s">
        <v>134</v>
      </c>
      <c r="F25" s="4">
        <v>3</v>
      </c>
      <c r="G25" s="4" t="s">
        <v>11</v>
      </c>
      <c r="H25" s="4" t="s">
        <v>12</v>
      </c>
      <c r="I25" s="5">
        <v>95.9</v>
      </c>
      <c r="J25" s="68"/>
      <c r="K25" s="99">
        <v>5.0019999999999998</v>
      </c>
      <c r="L25" s="7" t="s">
        <v>158</v>
      </c>
      <c r="M25" s="3" t="s">
        <v>205</v>
      </c>
      <c r="N25" s="6">
        <v>5.0979999999999999</v>
      </c>
      <c r="O25" s="6">
        <v>4.891</v>
      </c>
      <c r="P25" s="6">
        <v>5.3150000000000004</v>
      </c>
      <c r="Q25" s="6">
        <v>4.9130000000000003</v>
      </c>
      <c r="R25" s="6">
        <v>5.2140000000000004</v>
      </c>
      <c r="S25" s="117"/>
      <c r="T25" s="117"/>
      <c r="U25" s="117"/>
      <c r="V25" s="117"/>
      <c r="W25" s="117"/>
      <c r="X25" s="6">
        <v>5.298</v>
      </c>
      <c r="Y25" s="6">
        <v>5.3920000000000003</v>
      </c>
      <c r="Z25" s="6">
        <v>5.2450000000000001</v>
      </c>
      <c r="AA25" s="6">
        <v>5.0679999999999996</v>
      </c>
      <c r="AB25" s="6">
        <v>4.75</v>
      </c>
      <c r="AC25" s="6">
        <v>5.1980000000000004</v>
      </c>
      <c r="AD25" s="6">
        <f t="shared" si="3"/>
        <v>4.9740000000000002</v>
      </c>
      <c r="AF25" s="118"/>
      <c r="AG25" s="118"/>
      <c r="AH25" s="118"/>
      <c r="AI25" s="118"/>
      <c r="AJ25" s="118"/>
      <c r="AK25" s="118"/>
      <c r="AL25" s="118"/>
      <c r="AM25" s="118"/>
      <c r="AN25" s="118"/>
      <c r="AO25" s="118"/>
      <c r="AP25" s="118"/>
      <c r="AQ25" s="118"/>
      <c r="AR25" s="118"/>
      <c r="AS25" s="118"/>
      <c r="AT25" s="118"/>
      <c r="AU25" s="118"/>
      <c r="AV25" s="118"/>
    </row>
    <row r="26" spans="1:48">
      <c r="A26" s="1">
        <f t="shared" si="2"/>
        <v>24</v>
      </c>
      <c r="B26" s="2"/>
      <c r="C26" s="4">
        <v>8</v>
      </c>
      <c r="D26" s="4">
        <f t="shared" si="1"/>
        <v>69</v>
      </c>
      <c r="E26" s="4" t="s">
        <v>134</v>
      </c>
      <c r="F26" s="4">
        <v>3</v>
      </c>
      <c r="G26" s="4" t="s">
        <v>14</v>
      </c>
      <c r="H26" s="4"/>
      <c r="I26" s="5">
        <v>96.9</v>
      </c>
      <c r="J26" s="68"/>
      <c r="K26" s="99">
        <v>5.5579999999999998</v>
      </c>
      <c r="L26" s="7" t="s">
        <v>158</v>
      </c>
      <c r="M26" s="3" t="s">
        <v>205</v>
      </c>
      <c r="N26" s="6">
        <v>5.7030000000000003</v>
      </c>
      <c r="O26" s="6">
        <v>5.4960000000000004</v>
      </c>
      <c r="P26" s="6">
        <v>5.8940000000000001</v>
      </c>
      <c r="Q26" s="6">
        <v>5.7590000000000003</v>
      </c>
      <c r="R26" s="6">
        <v>5.69</v>
      </c>
      <c r="S26" s="117"/>
      <c r="T26" s="117"/>
      <c r="U26" s="117"/>
      <c r="V26" s="117"/>
      <c r="W26" s="117"/>
      <c r="X26" s="6">
        <v>5.8369999999999997</v>
      </c>
      <c r="Y26" s="6">
        <v>5.7960000000000003</v>
      </c>
      <c r="Z26" s="6">
        <v>5.6959999999999997</v>
      </c>
      <c r="AA26" s="6">
        <v>5.6870000000000003</v>
      </c>
      <c r="AB26" s="6">
        <v>5.5140000000000002</v>
      </c>
      <c r="AC26" s="6">
        <v>5.5419999999999998</v>
      </c>
      <c r="AD26" s="6">
        <f t="shared" si="3"/>
        <v>5.5280000000000005</v>
      </c>
      <c r="AF26" s="118"/>
      <c r="AG26" s="118"/>
      <c r="AH26" s="118"/>
      <c r="AI26" s="118"/>
      <c r="AJ26" s="118"/>
      <c r="AK26" s="118"/>
      <c r="AL26" s="118"/>
      <c r="AM26" s="118"/>
      <c r="AN26" s="118"/>
      <c r="AO26" s="118"/>
      <c r="AP26" s="118"/>
      <c r="AQ26" s="118"/>
      <c r="AR26" s="118"/>
      <c r="AS26" s="118"/>
      <c r="AT26" s="118"/>
      <c r="AU26" s="118"/>
      <c r="AV26" s="118"/>
    </row>
    <row r="27" spans="1:48">
      <c r="A27" s="1">
        <f t="shared" si="2"/>
        <v>25</v>
      </c>
      <c r="B27" s="2" t="s">
        <v>419</v>
      </c>
      <c r="C27" s="4">
        <v>11</v>
      </c>
      <c r="D27" s="4">
        <f t="shared" si="1"/>
        <v>1016</v>
      </c>
      <c r="E27" s="4" t="s">
        <v>147</v>
      </c>
      <c r="F27" s="4">
        <v>1</v>
      </c>
      <c r="G27" s="4" t="s">
        <v>14</v>
      </c>
      <c r="H27" s="4"/>
      <c r="I27" s="5">
        <v>91.2</v>
      </c>
      <c r="J27" s="63">
        <v>2E-3</v>
      </c>
      <c r="K27" s="99">
        <v>4.9539999999999997</v>
      </c>
      <c r="L27" s="7" t="s">
        <v>113</v>
      </c>
      <c r="M27" s="3" t="s">
        <v>205</v>
      </c>
      <c r="N27" s="6">
        <v>5.1390000000000002</v>
      </c>
      <c r="O27" s="6">
        <v>4.9219999999999997</v>
      </c>
      <c r="P27" s="6">
        <v>5.43</v>
      </c>
      <c r="Q27" s="117"/>
      <c r="R27" s="6">
        <v>5.125</v>
      </c>
      <c r="S27" s="6">
        <v>5.0090000000000003</v>
      </c>
      <c r="T27" s="6">
        <v>5.0129999999999999</v>
      </c>
      <c r="U27" s="6">
        <v>4.9989999999999997</v>
      </c>
      <c r="V27" s="6">
        <v>4.9340000000000002</v>
      </c>
      <c r="W27" s="117"/>
      <c r="X27" s="6">
        <v>5.33</v>
      </c>
      <c r="Y27" s="6">
        <v>5.27</v>
      </c>
      <c r="Z27" s="6">
        <v>5.1539999999999999</v>
      </c>
      <c r="AA27" s="6">
        <v>5.181</v>
      </c>
      <c r="AB27" s="6">
        <v>4.976</v>
      </c>
      <c r="AC27" s="6">
        <v>4.9080000000000004</v>
      </c>
      <c r="AD27" s="6">
        <v>4.9420000000000002</v>
      </c>
      <c r="AF27" s="118"/>
      <c r="AG27" s="118"/>
      <c r="AH27" s="118"/>
      <c r="AI27" s="118"/>
      <c r="AJ27" s="118"/>
      <c r="AK27" s="118"/>
      <c r="AL27" s="118"/>
      <c r="AM27" s="118"/>
      <c r="AN27" s="118"/>
      <c r="AO27" s="118"/>
      <c r="AP27" s="118"/>
      <c r="AQ27" s="118"/>
      <c r="AR27" s="118"/>
      <c r="AS27" s="118"/>
      <c r="AT27" s="118"/>
      <c r="AU27" s="118"/>
      <c r="AV27" s="118"/>
    </row>
    <row r="28" spans="1:48">
      <c r="A28" s="1">
        <f t="shared" si="2"/>
        <v>26</v>
      </c>
      <c r="B28" s="2"/>
      <c r="C28" s="4">
        <v>11</v>
      </c>
      <c r="D28" s="4">
        <f t="shared" si="1"/>
        <v>1016</v>
      </c>
      <c r="E28" s="4" t="s">
        <v>229</v>
      </c>
      <c r="F28" s="4">
        <v>1</v>
      </c>
      <c r="G28" s="4" t="s">
        <v>11</v>
      </c>
      <c r="H28" s="4" t="s">
        <v>17</v>
      </c>
      <c r="I28" s="5">
        <v>88.2</v>
      </c>
      <c r="J28" s="63">
        <v>0.151</v>
      </c>
      <c r="K28" s="99">
        <v>5.0070000000000014</v>
      </c>
      <c r="L28" s="7" t="s">
        <v>113</v>
      </c>
      <c r="M28" s="3" t="s">
        <v>205</v>
      </c>
      <c r="N28" s="6">
        <v>5.1180000000000003</v>
      </c>
      <c r="O28" s="6">
        <v>5.0659999999999998</v>
      </c>
      <c r="P28" s="6">
        <v>5.5069999999999997</v>
      </c>
      <c r="Q28" s="117"/>
      <c r="R28" s="6">
        <v>5.2119999999999997</v>
      </c>
      <c r="S28" s="6">
        <v>5.0919999999999996</v>
      </c>
      <c r="T28" s="6">
        <v>5.0860000000000003</v>
      </c>
      <c r="U28" s="6">
        <v>5.0670000000000002</v>
      </c>
      <c r="V28" s="6">
        <v>5.0010000000000003</v>
      </c>
      <c r="W28" s="117"/>
      <c r="X28" s="6">
        <v>5.0919999999999996</v>
      </c>
      <c r="Y28" s="6">
        <v>5.1719999999999997</v>
      </c>
      <c r="Z28" s="6">
        <v>5.14</v>
      </c>
      <c r="AA28" s="6">
        <v>4.8550000000000004</v>
      </c>
      <c r="AB28" s="6">
        <v>4.96</v>
      </c>
      <c r="AC28" s="6">
        <v>4.9889999999999999</v>
      </c>
      <c r="AD28" s="6">
        <v>4.9744999999999999</v>
      </c>
      <c r="AF28" s="118"/>
      <c r="AG28" s="118"/>
      <c r="AH28" s="118"/>
      <c r="AI28" s="118"/>
      <c r="AJ28" s="118"/>
      <c r="AK28" s="118"/>
      <c r="AL28" s="118"/>
      <c r="AM28" s="118"/>
      <c r="AN28" s="118"/>
      <c r="AO28" s="118"/>
      <c r="AP28" s="118"/>
      <c r="AQ28" s="118"/>
      <c r="AR28" s="118"/>
      <c r="AS28" s="118"/>
      <c r="AT28" s="118"/>
      <c r="AU28" s="118"/>
      <c r="AV28" s="118"/>
    </row>
    <row r="29" spans="1:48">
      <c r="A29" s="1">
        <f t="shared" si="2"/>
        <v>27</v>
      </c>
      <c r="B29" s="2"/>
      <c r="C29" s="4">
        <v>11</v>
      </c>
      <c r="D29" s="4">
        <f t="shared" si="1"/>
        <v>1016</v>
      </c>
      <c r="E29" s="4" t="s">
        <v>147</v>
      </c>
      <c r="F29" s="4">
        <v>1</v>
      </c>
      <c r="G29" s="4" t="s">
        <v>14</v>
      </c>
      <c r="H29" s="4"/>
      <c r="I29" s="5">
        <v>91.9</v>
      </c>
      <c r="J29" s="63">
        <v>5.0000000000000001E-3</v>
      </c>
      <c r="K29" s="99">
        <v>5.3960000000000008</v>
      </c>
      <c r="L29" s="7" t="s">
        <v>113</v>
      </c>
      <c r="M29" s="3" t="s">
        <v>205</v>
      </c>
      <c r="N29" s="6">
        <v>5.3769999999999998</v>
      </c>
      <c r="O29" s="6">
        <v>5.3259999999999996</v>
      </c>
      <c r="P29" s="6">
        <v>5.8529999999999998</v>
      </c>
      <c r="Q29" s="117"/>
      <c r="R29" s="6">
        <v>5.5369999999999999</v>
      </c>
      <c r="S29" s="6">
        <v>5.4359999999999999</v>
      </c>
      <c r="T29" s="6">
        <v>5.4409999999999998</v>
      </c>
      <c r="U29" s="6">
        <v>5.4290000000000003</v>
      </c>
      <c r="V29" s="6">
        <v>5.375</v>
      </c>
      <c r="W29" s="117"/>
      <c r="X29" s="6">
        <v>5.7149999999999999</v>
      </c>
      <c r="Y29" s="6">
        <v>5.657</v>
      </c>
      <c r="Z29" s="6">
        <v>5.5449999999999999</v>
      </c>
      <c r="AA29" s="6">
        <v>5.57</v>
      </c>
      <c r="AB29" s="6">
        <v>5.3739999999999997</v>
      </c>
      <c r="AC29" s="6">
        <v>5.3129999999999997</v>
      </c>
      <c r="AD29" s="6">
        <v>5.3434999999999997</v>
      </c>
      <c r="AF29" s="118"/>
      <c r="AG29" s="118"/>
      <c r="AH29" s="118"/>
      <c r="AI29" s="118"/>
      <c r="AJ29" s="118"/>
      <c r="AK29" s="118"/>
      <c r="AL29" s="118"/>
      <c r="AM29" s="118"/>
      <c r="AN29" s="118"/>
      <c r="AO29" s="118"/>
      <c r="AP29" s="118"/>
      <c r="AQ29" s="118"/>
      <c r="AR29" s="118"/>
      <c r="AS29" s="118"/>
      <c r="AT29" s="118"/>
      <c r="AU29" s="118"/>
      <c r="AV29" s="118"/>
    </row>
    <row r="30" spans="1:48">
      <c r="A30" s="1">
        <f t="shared" si="2"/>
        <v>28</v>
      </c>
      <c r="B30" s="2"/>
      <c r="C30" s="4">
        <v>11</v>
      </c>
      <c r="D30" s="4">
        <f t="shared" si="1"/>
        <v>1016</v>
      </c>
      <c r="E30" s="4" t="s">
        <v>147</v>
      </c>
      <c r="F30" s="4">
        <v>1</v>
      </c>
      <c r="G30" s="4" t="s">
        <v>11</v>
      </c>
      <c r="H30" s="4" t="s">
        <v>12</v>
      </c>
      <c r="I30" s="5">
        <v>88.6</v>
      </c>
      <c r="J30" s="63">
        <v>0</v>
      </c>
      <c r="K30" s="99">
        <v>5.524</v>
      </c>
      <c r="L30" s="7" t="s">
        <v>113</v>
      </c>
      <c r="M30" s="3" t="s">
        <v>205</v>
      </c>
      <c r="N30" s="6">
        <v>5.5229999999999997</v>
      </c>
      <c r="O30" s="6">
        <v>5.5190000000000001</v>
      </c>
      <c r="P30" s="6">
        <v>5.8390000000000004</v>
      </c>
      <c r="Q30" s="117"/>
      <c r="R30" s="6">
        <v>5.7130000000000001</v>
      </c>
      <c r="S30" s="6">
        <v>5.6180000000000003</v>
      </c>
      <c r="T30" s="6">
        <v>5.6150000000000002</v>
      </c>
      <c r="U30" s="6">
        <v>5.6020000000000003</v>
      </c>
      <c r="V30" s="6">
        <v>5.54</v>
      </c>
      <c r="W30" s="117"/>
      <c r="X30" s="6">
        <v>5.569</v>
      </c>
      <c r="Y30" s="6">
        <v>5.7649999999999997</v>
      </c>
      <c r="Z30" s="6">
        <v>5.69</v>
      </c>
      <c r="AA30" s="6">
        <v>5.3170000000000002</v>
      </c>
      <c r="AB30" s="6">
        <v>5.2859999999999996</v>
      </c>
      <c r="AC30" s="6">
        <v>5.806</v>
      </c>
      <c r="AD30" s="6">
        <v>5.5459999999999994</v>
      </c>
      <c r="AF30" s="118"/>
      <c r="AG30" s="118"/>
      <c r="AH30" s="118"/>
      <c r="AI30" s="118"/>
      <c r="AJ30" s="118"/>
      <c r="AK30" s="118"/>
      <c r="AL30" s="118"/>
      <c r="AM30" s="118"/>
      <c r="AN30" s="118"/>
      <c r="AO30" s="118"/>
      <c r="AP30" s="118"/>
      <c r="AQ30" s="118"/>
      <c r="AR30" s="118"/>
      <c r="AS30" s="118"/>
      <c r="AT30" s="118"/>
      <c r="AU30" s="118"/>
      <c r="AV30" s="118"/>
    </row>
    <row r="31" spans="1:48">
      <c r="A31" s="1">
        <f t="shared" si="2"/>
        <v>29</v>
      </c>
      <c r="B31" s="2"/>
      <c r="C31" s="4">
        <v>11</v>
      </c>
      <c r="D31" s="4">
        <f t="shared" si="1"/>
        <v>1016</v>
      </c>
      <c r="E31" s="4" t="s">
        <v>229</v>
      </c>
      <c r="F31" s="4">
        <v>1</v>
      </c>
      <c r="G31" s="4" t="s">
        <v>11</v>
      </c>
      <c r="H31" s="4" t="s">
        <v>17</v>
      </c>
      <c r="I31" s="5">
        <v>88.6</v>
      </c>
      <c r="J31" s="63">
        <v>0.33700000000000002</v>
      </c>
      <c r="K31" s="99">
        <v>5.4979999999999993</v>
      </c>
      <c r="L31" s="7" t="s">
        <v>113</v>
      </c>
      <c r="M31" s="3" t="s">
        <v>205</v>
      </c>
      <c r="N31" s="6">
        <v>5.9260000000000002</v>
      </c>
      <c r="O31" s="6">
        <v>5.4870000000000001</v>
      </c>
      <c r="P31" s="6">
        <v>6.0549999999999997</v>
      </c>
      <c r="Q31" s="117"/>
      <c r="R31" s="6">
        <v>5.7439999999999998</v>
      </c>
      <c r="S31" s="6">
        <v>5.6029999999999998</v>
      </c>
      <c r="T31" s="6">
        <v>5.5709999999999997</v>
      </c>
      <c r="U31" s="6">
        <v>5.5570000000000004</v>
      </c>
      <c r="V31" s="6">
        <v>5.47</v>
      </c>
      <c r="W31" s="117"/>
      <c r="X31" s="6">
        <v>5.7069999999999999</v>
      </c>
      <c r="Y31" s="6">
        <v>5.7469999999999999</v>
      </c>
      <c r="Z31" s="6">
        <v>5.6609999999999996</v>
      </c>
      <c r="AA31" s="6">
        <v>5.4790000000000001</v>
      </c>
      <c r="AB31" s="6">
        <v>5.4269999999999996</v>
      </c>
      <c r="AC31" s="6">
        <v>5.4619999999999997</v>
      </c>
      <c r="AD31" s="6">
        <v>5.4444999999999997</v>
      </c>
      <c r="AF31" s="118"/>
      <c r="AG31" s="118"/>
      <c r="AH31" s="118"/>
      <c r="AI31" s="118"/>
      <c r="AJ31" s="118"/>
      <c r="AK31" s="118"/>
      <c r="AL31" s="118"/>
      <c r="AM31" s="118"/>
      <c r="AN31" s="118"/>
      <c r="AO31" s="118"/>
      <c r="AP31" s="118"/>
      <c r="AQ31" s="118"/>
      <c r="AR31" s="118"/>
      <c r="AS31" s="118"/>
      <c r="AT31" s="118"/>
      <c r="AU31" s="118"/>
      <c r="AV31" s="118"/>
    </row>
    <row r="32" spans="1:48">
      <c r="A32" s="1">
        <f t="shared" si="2"/>
        <v>30</v>
      </c>
      <c r="B32" s="2"/>
      <c r="C32" s="4">
        <v>11</v>
      </c>
      <c r="D32" s="4">
        <f t="shared" si="1"/>
        <v>1016</v>
      </c>
      <c r="E32" s="4" t="s">
        <v>230</v>
      </c>
      <c r="F32" s="4">
        <v>3</v>
      </c>
      <c r="G32" s="4" t="s">
        <v>11</v>
      </c>
      <c r="H32" s="4" t="s">
        <v>17</v>
      </c>
      <c r="I32" s="5">
        <v>97.5</v>
      </c>
      <c r="J32" s="68"/>
      <c r="K32" s="99">
        <v>4.2379999999999995</v>
      </c>
      <c r="L32" s="7" t="s">
        <v>260</v>
      </c>
      <c r="M32" s="3" t="s">
        <v>205</v>
      </c>
      <c r="N32" s="6">
        <v>4.7439999999999998</v>
      </c>
      <c r="O32" s="6">
        <v>4.3680000000000003</v>
      </c>
      <c r="P32" s="6">
        <v>4.5990000000000002</v>
      </c>
      <c r="Q32" s="117"/>
      <c r="R32" s="6">
        <v>4.2489999999999997</v>
      </c>
      <c r="S32" s="117"/>
      <c r="T32" s="117"/>
      <c r="U32" s="117"/>
      <c r="V32" s="117"/>
      <c r="W32" s="117"/>
      <c r="X32" s="6">
        <v>4.415</v>
      </c>
      <c r="Y32" s="6">
        <v>4.4660000000000002</v>
      </c>
      <c r="Z32" s="6">
        <v>4.3769999999999998</v>
      </c>
      <c r="AA32" s="6">
        <v>4.2300000000000004</v>
      </c>
      <c r="AB32" s="6">
        <v>4.2830000000000004</v>
      </c>
      <c r="AC32" s="6">
        <v>4.0179999999999998</v>
      </c>
      <c r="AD32" s="6">
        <v>4.1505000000000001</v>
      </c>
      <c r="AF32" s="118"/>
      <c r="AG32" s="118"/>
      <c r="AH32" s="118"/>
      <c r="AI32" s="118"/>
      <c r="AJ32" s="118"/>
      <c r="AK32" s="118"/>
      <c r="AL32" s="118"/>
      <c r="AM32" s="118"/>
      <c r="AN32" s="118"/>
      <c r="AO32" s="118"/>
      <c r="AP32" s="118"/>
      <c r="AQ32" s="118"/>
      <c r="AR32" s="118"/>
      <c r="AS32" s="118"/>
      <c r="AT32" s="118"/>
      <c r="AU32" s="118"/>
      <c r="AV32" s="118"/>
    </row>
    <row r="33" spans="1:48">
      <c r="A33" s="1">
        <f t="shared" si="2"/>
        <v>31</v>
      </c>
      <c r="B33" s="2"/>
      <c r="C33" s="4">
        <v>11</v>
      </c>
      <c r="D33" s="4">
        <f t="shared" si="1"/>
        <v>1016</v>
      </c>
      <c r="E33" s="4" t="s">
        <v>230</v>
      </c>
      <c r="F33" s="4">
        <v>3</v>
      </c>
      <c r="G33" s="4" t="s">
        <v>11</v>
      </c>
      <c r="H33" s="4" t="s">
        <v>17</v>
      </c>
      <c r="I33" s="5">
        <v>97.3</v>
      </c>
      <c r="J33" s="68"/>
      <c r="K33" s="99">
        <v>4.370000000000001</v>
      </c>
      <c r="L33" s="7" t="s">
        <v>260</v>
      </c>
      <c r="M33" s="3" t="s">
        <v>205</v>
      </c>
      <c r="N33" s="6">
        <v>4.7729999999999997</v>
      </c>
      <c r="O33" s="6">
        <v>4.5090000000000003</v>
      </c>
      <c r="P33" s="6">
        <v>4.7830000000000004</v>
      </c>
      <c r="Q33" s="117"/>
      <c r="R33" s="6">
        <v>4.4240000000000004</v>
      </c>
      <c r="S33" s="117"/>
      <c r="T33" s="117"/>
      <c r="U33" s="117"/>
      <c r="V33" s="117"/>
      <c r="W33" s="117"/>
      <c r="X33" s="6">
        <v>4.673</v>
      </c>
      <c r="Y33" s="6">
        <v>4.6989999999999998</v>
      </c>
      <c r="Z33" s="6">
        <v>4.6109999999999998</v>
      </c>
      <c r="AA33" s="6">
        <v>4.4939999999999998</v>
      </c>
      <c r="AB33" s="6">
        <v>4.4690000000000003</v>
      </c>
      <c r="AC33" s="6">
        <v>4.1920000000000002</v>
      </c>
      <c r="AD33" s="6">
        <v>4.3305000000000007</v>
      </c>
      <c r="AF33" s="118"/>
      <c r="AG33" s="118"/>
      <c r="AH33" s="118"/>
      <c r="AI33" s="118"/>
      <c r="AJ33" s="118"/>
      <c r="AK33" s="118"/>
      <c r="AL33" s="118"/>
      <c r="AM33" s="118"/>
      <c r="AN33" s="118"/>
      <c r="AO33" s="118"/>
      <c r="AP33" s="118"/>
      <c r="AQ33" s="118"/>
      <c r="AR33" s="118"/>
      <c r="AS33" s="118"/>
      <c r="AT33" s="118"/>
      <c r="AU33" s="118"/>
      <c r="AV33" s="118"/>
    </row>
    <row r="34" spans="1:48">
      <c r="A34" s="1">
        <f t="shared" si="2"/>
        <v>32</v>
      </c>
      <c r="B34" s="2"/>
      <c r="C34" s="4">
        <v>11</v>
      </c>
      <c r="D34" s="4">
        <f t="shared" si="1"/>
        <v>1016</v>
      </c>
      <c r="E34" s="4" t="s">
        <v>134</v>
      </c>
      <c r="F34" s="4">
        <v>3</v>
      </c>
      <c r="G34" s="4" t="s">
        <v>14</v>
      </c>
      <c r="H34" s="4"/>
      <c r="I34" s="5">
        <v>96.8</v>
      </c>
      <c r="J34" s="68"/>
      <c r="K34" s="99">
        <v>4.9260000000000002</v>
      </c>
      <c r="L34" s="7" t="s">
        <v>260</v>
      </c>
      <c r="M34" s="3" t="s">
        <v>205</v>
      </c>
      <c r="N34" s="6">
        <v>5.1289999999999996</v>
      </c>
      <c r="O34" s="6">
        <v>4.88</v>
      </c>
      <c r="P34" s="6">
        <v>5.3710000000000004</v>
      </c>
      <c r="Q34" s="117"/>
      <c r="R34" s="6">
        <v>5.069</v>
      </c>
      <c r="S34" s="117"/>
      <c r="T34" s="117"/>
      <c r="U34" s="117"/>
      <c r="V34" s="117"/>
      <c r="W34" s="117"/>
      <c r="X34" s="6">
        <v>5.3019999999999996</v>
      </c>
      <c r="Y34" s="6">
        <v>5.24</v>
      </c>
      <c r="Z34" s="6">
        <v>5.1820000000000004</v>
      </c>
      <c r="AA34" s="6">
        <v>5.1559999999999997</v>
      </c>
      <c r="AB34" s="6">
        <v>4.9379999999999997</v>
      </c>
      <c r="AC34" s="6">
        <v>4.8550000000000004</v>
      </c>
      <c r="AD34" s="6">
        <v>4.8964999999999996</v>
      </c>
      <c r="AF34" s="118"/>
      <c r="AG34" s="118"/>
      <c r="AH34" s="118"/>
      <c r="AI34" s="118"/>
      <c r="AJ34" s="118"/>
      <c r="AK34" s="118"/>
      <c r="AL34" s="118"/>
      <c r="AM34" s="118"/>
      <c r="AN34" s="118"/>
      <c r="AO34" s="118"/>
      <c r="AP34" s="118"/>
      <c r="AQ34" s="118"/>
      <c r="AR34" s="118"/>
      <c r="AS34" s="118"/>
      <c r="AT34" s="118"/>
      <c r="AU34" s="118"/>
      <c r="AV34" s="118"/>
    </row>
    <row r="35" spans="1:48">
      <c r="A35" s="1">
        <f t="shared" si="2"/>
        <v>33</v>
      </c>
      <c r="B35" s="2"/>
      <c r="C35" s="4">
        <v>11</v>
      </c>
      <c r="D35" s="4">
        <f t="shared" si="1"/>
        <v>1016</v>
      </c>
      <c r="E35" s="4" t="s">
        <v>134</v>
      </c>
      <c r="F35" s="4">
        <v>3</v>
      </c>
      <c r="G35" s="4" t="s">
        <v>11</v>
      </c>
      <c r="H35" s="4" t="s">
        <v>12</v>
      </c>
      <c r="I35" s="5">
        <v>96.7</v>
      </c>
      <c r="J35" s="68"/>
      <c r="K35" s="99">
        <v>5.3760000000000003</v>
      </c>
      <c r="L35" s="7" t="s">
        <v>260</v>
      </c>
      <c r="M35" s="3" t="s">
        <v>205</v>
      </c>
      <c r="N35" s="6">
        <v>5.4470000000000001</v>
      </c>
      <c r="O35" s="6">
        <v>5.2930000000000001</v>
      </c>
      <c r="P35" s="6">
        <v>5.5949999999999998</v>
      </c>
      <c r="Q35" s="117"/>
      <c r="R35" s="6">
        <v>5.4470000000000001</v>
      </c>
      <c r="S35" s="117"/>
      <c r="T35" s="117"/>
      <c r="U35" s="117"/>
      <c r="V35" s="117"/>
      <c r="W35" s="117"/>
      <c r="X35" s="6">
        <v>5.4240000000000004</v>
      </c>
      <c r="Y35" s="6">
        <v>5.5990000000000002</v>
      </c>
      <c r="Z35" s="6">
        <v>5.3150000000000004</v>
      </c>
      <c r="AA35" s="6">
        <v>5.1879999999999997</v>
      </c>
      <c r="AB35" s="6">
        <v>5.085</v>
      </c>
      <c r="AC35" s="6">
        <v>5.54</v>
      </c>
      <c r="AD35" s="6">
        <v>5.3125</v>
      </c>
      <c r="AF35" s="118"/>
      <c r="AG35" s="118"/>
      <c r="AH35" s="118"/>
      <c r="AI35" s="118"/>
      <c r="AJ35" s="118"/>
      <c r="AK35" s="118"/>
      <c r="AL35" s="118"/>
      <c r="AM35" s="118"/>
      <c r="AN35" s="118"/>
      <c r="AO35" s="118"/>
      <c r="AP35" s="118"/>
      <c r="AQ35" s="118"/>
      <c r="AR35" s="118"/>
      <c r="AS35" s="118"/>
      <c r="AT35" s="118"/>
      <c r="AU35" s="118"/>
      <c r="AV35" s="118"/>
    </row>
    <row r="36" spans="1:48">
      <c r="A36" s="1">
        <f t="shared" si="2"/>
        <v>34</v>
      </c>
      <c r="B36" s="2"/>
      <c r="C36" s="4">
        <v>11</v>
      </c>
      <c r="D36" s="4">
        <f t="shared" si="1"/>
        <v>1016</v>
      </c>
      <c r="E36" s="4" t="s">
        <v>134</v>
      </c>
      <c r="F36" s="4">
        <v>3</v>
      </c>
      <c r="G36" s="4" t="s">
        <v>14</v>
      </c>
      <c r="H36" s="4"/>
      <c r="I36" s="5">
        <v>97</v>
      </c>
      <c r="J36" s="68"/>
      <c r="K36" s="99">
        <v>5.3959999999999999</v>
      </c>
      <c r="L36" s="7" t="s">
        <v>260</v>
      </c>
      <c r="M36" s="3" t="s">
        <v>205</v>
      </c>
      <c r="N36" s="6">
        <v>5.3579999999999997</v>
      </c>
      <c r="O36" s="6">
        <v>5.31</v>
      </c>
      <c r="P36" s="6">
        <v>5.82</v>
      </c>
      <c r="Q36" s="117"/>
      <c r="R36" s="6">
        <v>5.508</v>
      </c>
      <c r="S36" s="117"/>
      <c r="T36" s="117"/>
      <c r="U36" s="117"/>
      <c r="V36" s="117"/>
      <c r="W36" s="117"/>
      <c r="X36" s="6">
        <v>5.7</v>
      </c>
      <c r="Y36" s="6">
        <v>5.641</v>
      </c>
      <c r="Z36" s="6">
        <v>5.5289999999999999</v>
      </c>
      <c r="AA36" s="6">
        <v>5.5570000000000004</v>
      </c>
      <c r="AB36" s="6">
        <v>5.3559999999999999</v>
      </c>
      <c r="AC36" s="6">
        <v>5.2859999999999996</v>
      </c>
      <c r="AD36" s="6">
        <v>5.3209999999999997</v>
      </c>
      <c r="AF36" s="118"/>
      <c r="AG36" s="118"/>
      <c r="AH36" s="118"/>
      <c r="AI36" s="118"/>
      <c r="AJ36" s="118"/>
      <c r="AK36" s="118"/>
      <c r="AL36" s="118"/>
      <c r="AM36" s="118"/>
      <c r="AN36" s="118"/>
      <c r="AO36" s="118"/>
      <c r="AP36" s="118"/>
      <c r="AQ36" s="118"/>
      <c r="AR36" s="118"/>
      <c r="AS36" s="118"/>
      <c r="AT36" s="118"/>
      <c r="AU36" s="118"/>
      <c r="AV36" s="118"/>
    </row>
    <row r="37" spans="1:48">
      <c r="A37" s="1">
        <f t="shared" si="2"/>
        <v>35</v>
      </c>
      <c r="B37" s="2" t="s">
        <v>420</v>
      </c>
      <c r="C37" s="4">
        <v>9</v>
      </c>
      <c r="D37" s="4">
        <f t="shared" si="1"/>
        <v>69</v>
      </c>
      <c r="E37" s="4" t="s">
        <v>147</v>
      </c>
      <c r="F37" s="4">
        <v>1</v>
      </c>
      <c r="G37" s="4" t="s">
        <v>11</v>
      </c>
      <c r="H37" s="4" t="s">
        <v>12</v>
      </c>
      <c r="I37" s="5">
        <v>86.8</v>
      </c>
      <c r="J37" s="63">
        <v>0</v>
      </c>
      <c r="K37" s="99">
        <v>4.9800000000000004</v>
      </c>
      <c r="L37" s="7" t="s">
        <v>113</v>
      </c>
      <c r="M37" s="3" t="s">
        <v>205</v>
      </c>
      <c r="N37" s="6">
        <v>5.0620000000000003</v>
      </c>
      <c r="O37" s="6">
        <v>4.9409999999999998</v>
      </c>
      <c r="P37" s="6">
        <v>5.2960000000000003</v>
      </c>
      <c r="Q37" s="117"/>
      <c r="R37" s="6">
        <v>5.2320000000000002</v>
      </c>
      <c r="S37" s="6">
        <v>5.0979999999999999</v>
      </c>
      <c r="T37" s="6">
        <v>5.0949999999999998</v>
      </c>
      <c r="U37" s="6">
        <v>5.0709999999999997</v>
      </c>
      <c r="V37" s="6">
        <v>4.9969999999999999</v>
      </c>
      <c r="W37" s="117"/>
      <c r="X37" s="6">
        <v>5.0949999999999998</v>
      </c>
      <c r="Y37" s="6">
        <v>5.2939999999999996</v>
      </c>
      <c r="Z37" s="6">
        <v>5.19</v>
      </c>
      <c r="AA37" s="6">
        <v>4.8419999999999996</v>
      </c>
      <c r="AB37" s="6">
        <v>4.726</v>
      </c>
      <c r="AC37" s="6">
        <v>5.3259999999999996</v>
      </c>
      <c r="AD37" s="6">
        <v>5.0259999999999998</v>
      </c>
      <c r="AF37" s="118"/>
      <c r="AG37" s="118"/>
      <c r="AH37" s="118"/>
      <c r="AI37" s="118"/>
      <c r="AJ37" s="118"/>
      <c r="AK37" s="118"/>
      <c r="AL37" s="118"/>
      <c r="AM37" s="118"/>
      <c r="AN37" s="118"/>
      <c r="AO37" s="118"/>
      <c r="AP37" s="118"/>
      <c r="AQ37" s="118"/>
      <c r="AR37" s="118"/>
      <c r="AS37" s="118"/>
      <c r="AT37" s="118"/>
      <c r="AU37" s="118"/>
      <c r="AV37" s="118"/>
    </row>
    <row r="38" spans="1:48">
      <c r="A38" s="1">
        <f t="shared" si="2"/>
        <v>36</v>
      </c>
      <c r="B38" s="2"/>
      <c r="C38" s="4">
        <v>9</v>
      </c>
      <c r="D38" s="4">
        <f t="shared" si="1"/>
        <v>69</v>
      </c>
      <c r="E38" s="4" t="s">
        <v>229</v>
      </c>
      <c r="F38" s="4">
        <v>1</v>
      </c>
      <c r="G38" s="4" t="s">
        <v>11</v>
      </c>
      <c r="H38" s="4" t="s">
        <v>17</v>
      </c>
      <c r="I38" s="5">
        <v>89.4</v>
      </c>
      <c r="J38" s="63">
        <v>0.19900000000000001</v>
      </c>
      <c r="K38" s="99">
        <v>5.2789999999999999</v>
      </c>
      <c r="L38" s="7" t="s">
        <v>113</v>
      </c>
      <c r="M38" s="3" t="s">
        <v>205</v>
      </c>
      <c r="N38" s="6">
        <v>5.4889999999999999</v>
      </c>
      <c r="O38" s="6">
        <v>5.2809999999999997</v>
      </c>
      <c r="P38" s="6">
        <v>5.6479999999999997</v>
      </c>
      <c r="Q38" s="117"/>
      <c r="R38" s="6">
        <v>5.5069999999999997</v>
      </c>
      <c r="S38" s="6">
        <v>5.3310000000000004</v>
      </c>
      <c r="T38" s="6">
        <v>5.3209999999999997</v>
      </c>
      <c r="U38" s="6">
        <v>5.327</v>
      </c>
      <c r="V38" s="6">
        <v>5.2489999999999997</v>
      </c>
      <c r="W38" s="117"/>
      <c r="X38" s="6">
        <v>5.46</v>
      </c>
      <c r="Y38" s="6">
        <v>5.516</v>
      </c>
      <c r="Z38" s="6">
        <v>5.4390000000000001</v>
      </c>
      <c r="AA38" s="6">
        <v>5.2370000000000001</v>
      </c>
      <c r="AB38" s="6">
        <v>5.2119999999999997</v>
      </c>
      <c r="AC38" s="6">
        <v>5.28</v>
      </c>
      <c r="AD38" s="6">
        <v>5.2460000000000004</v>
      </c>
      <c r="AF38" s="118"/>
      <c r="AG38" s="118"/>
      <c r="AH38" s="118"/>
      <c r="AI38" s="118"/>
      <c r="AJ38" s="118"/>
      <c r="AK38" s="118"/>
      <c r="AL38" s="118"/>
      <c r="AM38" s="118"/>
      <c r="AN38" s="118"/>
      <c r="AO38" s="118"/>
      <c r="AP38" s="118"/>
      <c r="AQ38" s="118"/>
      <c r="AR38" s="118"/>
      <c r="AS38" s="118"/>
      <c r="AT38" s="118"/>
      <c r="AU38" s="118"/>
      <c r="AV38" s="118"/>
    </row>
    <row r="39" spans="1:48">
      <c r="A39" s="1">
        <f t="shared" si="2"/>
        <v>37</v>
      </c>
      <c r="B39" s="2"/>
      <c r="C39" s="4">
        <v>9</v>
      </c>
      <c r="D39" s="4">
        <f t="shared" si="1"/>
        <v>69</v>
      </c>
      <c r="E39" s="4" t="s">
        <v>147</v>
      </c>
      <c r="F39" s="4">
        <v>1</v>
      </c>
      <c r="G39" s="4" t="s">
        <v>14</v>
      </c>
      <c r="H39" s="4"/>
      <c r="I39" s="5">
        <v>92.3</v>
      </c>
      <c r="J39" s="63">
        <v>1E-3</v>
      </c>
      <c r="K39" s="99">
        <v>5.8159999999999998</v>
      </c>
      <c r="L39" s="7" t="s">
        <v>113</v>
      </c>
      <c r="M39" s="3" t="s">
        <v>205</v>
      </c>
      <c r="N39" s="6">
        <v>5.8639999999999999</v>
      </c>
      <c r="O39" s="6">
        <v>5.7469999999999999</v>
      </c>
      <c r="P39" s="6">
        <v>6.15</v>
      </c>
      <c r="Q39" s="117"/>
      <c r="R39" s="6">
        <v>5.9329999999999998</v>
      </c>
      <c r="S39" s="6">
        <v>5.8330000000000002</v>
      </c>
      <c r="T39" s="6">
        <v>5.8410000000000002</v>
      </c>
      <c r="U39" s="6">
        <v>5.8410000000000002</v>
      </c>
      <c r="V39" s="6">
        <v>5.7889999999999997</v>
      </c>
      <c r="W39" s="117"/>
      <c r="X39" s="6">
        <v>6.1390000000000002</v>
      </c>
      <c r="Y39" s="6">
        <v>6.06</v>
      </c>
      <c r="Z39" s="6">
        <v>5.9550000000000001</v>
      </c>
      <c r="AA39" s="6">
        <v>5.9930000000000003</v>
      </c>
      <c r="AB39" s="6">
        <v>5.8120000000000003</v>
      </c>
      <c r="AC39" s="6">
        <v>5.7149999999999999</v>
      </c>
      <c r="AD39" s="6">
        <v>5.7640000000000002</v>
      </c>
      <c r="AF39" s="118"/>
      <c r="AG39" s="118"/>
      <c r="AH39" s="118"/>
      <c r="AI39" s="118"/>
      <c r="AJ39" s="118"/>
      <c r="AK39" s="118"/>
      <c r="AL39" s="118"/>
      <c r="AM39" s="118"/>
      <c r="AN39" s="118"/>
      <c r="AO39" s="118"/>
      <c r="AP39" s="118"/>
      <c r="AQ39" s="118"/>
      <c r="AR39" s="118"/>
      <c r="AS39" s="118"/>
      <c r="AT39" s="118"/>
      <c r="AU39" s="118"/>
      <c r="AV39" s="118"/>
    </row>
    <row r="40" spans="1:48">
      <c r="A40" s="1">
        <f t="shared" si="2"/>
        <v>38</v>
      </c>
      <c r="B40" s="2"/>
      <c r="C40" s="4">
        <v>9</v>
      </c>
      <c r="D40" s="4">
        <f t="shared" si="1"/>
        <v>69</v>
      </c>
      <c r="E40" s="4" t="s">
        <v>229</v>
      </c>
      <c r="F40" s="4">
        <v>1</v>
      </c>
      <c r="G40" s="4" t="s">
        <v>11</v>
      </c>
      <c r="H40" s="4" t="s">
        <v>17</v>
      </c>
      <c r="I40" s="5">
        <v>84.1</v>
      </c>
      <c r="J40" s="63">
        <v>5.8999999999999997E-2</v>
      </c>
      <c r="K40" s="99">
        <v>6.3410000000000002</v>
      </c>
      <c r="L40" s="7" t="s">
        <v>113</v>
      </c>
      <c r="M40" s="3" t="s">
        <v>205</v>
      </c>
      <c r="N40" s="6">
        <v>7.0990000000000002</v>
      </c>
      <c r="O40" s="6">
        <v>6.37</v>
      </c>
      <c r="P40" s="6">
        <v>6.8929999999999998</v>
      </c>
      <c r="Q40" s="117"/>
      <c r="R40" s="6">
        <v>6.7539999999999996</v>
      </c>
      <c r="S40" s="6">
        <v>6.5170000000000003</v>
      </c>
      <c r="T40" s="6">
        <v>6.4909999999999997</v>
      </c>
      <c r="U40" s="6">
        <v>6.4660000000000002</v>
      </c>
      <c r="V40" s="6">
        <v>6.335</v>
      </c>
      <c r="W40" s="117"/>
      <c r="X40" s="6">
        <v>6.6859999999999999</v>
      </c>
      <c r="Y40" s="6">
        <v>6.8040000000000003</v>
      </c>
      <c r="Z40" s="6">
        <v>6.673</v>
      </c>
      <c r="AA40" s="6">
        <v>6.4260000000000002</v>
      </c>
      <c r="AB40" s="6">
        <v>6.26</v>
      </c>
      <c r="AC40" s="6">
        <v>6.5979999999999999</v>
      </c>
      <c r="AD40" s="6">
        <v>6.4290000000000003</v>
      </c>
      <c r="AF40" s="118"/>
      <c r="AG40" s="118"/>
      <c r="AH40" s="118"/>
      <c r="AI40" s="118"/>
      <c r="AJ40" s="118"/>
      <c r="AK40" s="118"/>
      <c r="AL40" s="118"/>
      <c r="AM40" s="118"/>
      <c r="AN40" s="118"/>
      <c r="AO40" s="118"/>
      <c r="AP40" s="118"/>
      <c r="AQ40" s="118"/>
      <c r="AR40" s="118"/>
      <c r="AS40" s="118"/>
      <c r="AT40" s="118"/>
      <c r="AU40" s="118"/>
      <c r="AV40" s="118"/>
    </row>
    <row r="41" spans="1:48">
      <c r="A41" s="1">
        <f t="shared" si="2"/>
        <v>39</v>
      </c>
      <c r="B41" s="2"/>
      <c r="C41" s="4">
        <v>9</v>
      </c>
      <c r="D41" s="4">
        <f t="shared" si="1"/>
        <v>69</v>
      </c>
      <c r="E41" s="4" t="s">
        <v>147</v>
      </c>
      <c r="F41" s="4">
        <v>1</v>
      </c>
      <c r="G41" s="4" t="s">
        <v>11</v>
      </c>
      <c r="H41" s="4" t="s">
        <v>12</v>
      </c>
      <c r="I41" s="5">
        <v>88</v>
      </c>
      <c r="J41" s="63">
        <v>0</v>
      </c>
      <c r="K41" s="99">
        <v>6.4050000000000002</v>
      </c>
      <c r="L41" s="7" t="s">
        <v>113</v>
      </c>
      <c r="M41" s="3" t="s">
        <v>205</v>
      </c>
      <c r="N41" s="6">
        <v>6.44</v>
      </c>
      <c r="O41" s="6">
        <v>6.2770000000000001</v>
      </c>
      <c r="P41" s="6">
        <v>6.6890000000000001</v>
      </c>
      <c r="Q41" s="117"/>
      <c r="R41" s="6">
        <v>6.6390000000000002</v>
      </c>
      <c r="S41" s="6">
        <v>6.5259999999999998</v>
      </c>
      <c r="T41" s="6">
        <v>6.5229999999999997</v>
      </c>
      <c r="U41" s="6">
        <v>6.5030000000000001</v>
      </c>
      <c r="V41" s="6">
        <v>6.4059999999999997</v>
      </c>
      <c r="W41" s="117"/>
      <c r="X41" s="6">
        <v>6.4669999999999996</v>
      </c>
      <c r="Y41" s="6">
        <v>6.6710000000000003</v>
      </c>
      <c r="Z41" s="6">
        <v>6.57</v>
      </c>
      <c r="AA41" s="6">
        <v>6.2149999999999999</v>
      </c>
      <c r="AB41" s="6">
        <v>6.0869999999999997</v>
      </c>
      <c r="AC41" s="6">
        <v>6.851</v>
      </c>
      <c r="AD41" s="6">
        <v>6.4690000000000003</v>
      </c>
      <c r="AF41" s="118"/>
      <c r="AG41" s="118"/>
      <c r="AH41" s="118"/>
      <c r="AI41" s="118"/>
      <c r="AJ41" s="118"/>
      <c r="AK41" s="118"/>
      <c r="AL41" s="118"/>
      <c r="AM41" s="118"/>
      <c r="AN41" s="118"/>
      <c r="AO41" s="118"/>
      <c r="AP41" s="118"/>
      <c r="AQ41" s="118"/>
      <c r="AR41" s="118"/>
      <c r="AS41" s="118"/>
      <c r="AT41" s="118"/>
      <c r="AU41" s="118"/>
      <c r="AV41" s="118"/>
    </row>
    <row r="42" spans="1:48">
      <c r="A42" s="1">
        <f t="shared" si="2"/>
        <v>40</v>
      </c>
      <c r="B42" s="2"/>
      <c r="C42" s="4">
        <v>9</v>
      </c>
      <c r="D42" s="4">
        <f t="shared" si="1"/>
        <v>69</v>
      </c>
      <c r="E42" s="4" t="s">
        <v>147</v>
      </c>
      <c r="F42" s="4">
        <v>1</v>
      </c>
      <c r="G42" s="4" t="s">
        <v>14</v>
      </c>
      <c r="H42" s="4"/>
      <c r="I42" s="5">
        <v>92.3</v>
      </c>
      <c r="J42" s="63">
        <v>1E-3</v>
      </c>
      <c r="K42" s="99">
        <v>6.5679999999999996</v>
      </c>
      <c r="L42" s="7" t="s">
        <v>113</v>
      </c>
      <c r="M42" s="3" t="s">
        <v>205</v>
      </c>
      <c r="N42" s="6">
        <v>6.7850000000000001</v>
      </c>
      <c r="O42" s="6">
        <v>6.4909999999999997</v>
      </c>
      <c r="P42" s="6">
        <v>6.9379999999999997</v>
      </c>
      <c r="Q42" s="117"/>
      <c r="R42" s="6">
        <v>6.71</v>
      </c>
      <c r="S42" s="6">
        <v>6.59</v>
      </c>
      <c r="T42" s="6">
        <v>6.5970000000000004</v>
      </c>
      <c r="U42" s="6">
        <v>6.5970000000000004</v>
      </c>
      <c r="V42" s="6">
        <v>6.5359999999999996</v>
      </c>
      <c r="W42" s="117"/>
      <c r="X42" s="6">
        <v>6.9279999999999999</v>
      </c>
      <c r="Y42" s="6">
        <v>6.8339999999999996</v>
      </c>
      <c r="Z42" s="6">
        <v>6.72</v>
      </c>
      <c r="AA42" s="6">
        <v>6.7830000000000004</v>
      </c>
      <c r="AB42" s="6">
        <v>6.5819999999999999</v>
      </c>
      <c r="AC42" s="6">
        <v>6.4889999999999999</v>
      </c>
      <c r="AD42" s="6">
        <v>6.5359999999999996</v>
      </c>
      <c r="AF42" s="118"/>
      <c r="AG42" s="118"/>
      <c r="AH42" s="118"/>
      <c r="AI42" s="118"/>
      <c r="AJ42" s="118"/>
      <c r="AK42" s="118"/>
      <c r="AL42" s="118"/>
      <c r="AM42" s="118"/>
      <c r="AN42" s="118"/>
      <c r="AO42" s="118"/>
      <c r="AP42" s="118"/>
      <c r="AQ42" s="118"/>
      <c r="AR42" s="118"/>
      <c r="AS42" s="118"/>
      <c r="AT42" s="118"/>
      <c r="AU42" s="118"/>
      <c r="AV42" s="118"/>
    </row>
    <row r="43" spans="1:48">
      <c r="A43" s="1">
        <f t="shared" si="2"/>
        <v>41</v>
      </c>
      <c r="B43" s="2"/>
      <c r="C43" s="4">
        <v>9</v>
      </c>
      <c r="D43" s="4">
        <f t="shared" si="1"/>
        <v>69</v>
      </c>
      <c r="E43" s="4" t="s">
        <v>229</v>
      </c>
      <c r="F43" s="4">
        <v>1</v>
      </c>
      <c r="G43" s="4" t="s">
        <v>11</v>
      </c>
      <c r="H43" s="4" t="s">
        <v>17</v>
      </c>
      <c r="I43" s="5">
        <v>88.8</v>
      </c>
      <c r="J43" s="63">
        <v>0.184</v>
      </c>
      <c r="K43" s="99">
        <v>6.6</v>
      </c>
      <c r="L43" s="7" t="s">
        <v>113</v>
      </c>
      <c r="M43" s="3" t="s">
        <v>205</v>
      </c>
      <c r="N43" s="6">
        <v>6.5659999999999998</v>
      </c>
      <c r="O43" s="6">
        <v>6.601</v>
      </c>
      <c r="P43" s="6">
        <v>7.133</v>
      </c>
      <c r="Q43" s="117"/>
      <c r="R43" s="6">
        <v>6.9029999999999996</v>
      </c>
      <c r="S43" s="6">
        <v>6.74</v>
      </c>
      <c r="T43" s="6">
        <v>6.6680000000000001</v>
      </c>
      <c r="U43" s="6">
        <v>6.6749999999999998</v>
      </c>
      <c r="V43" s="6">
        <v>6.5720000000000001</v>
      </c>
      <c r="W43" s="117"/>
      <c r="X43" s="6">
        <v>6.9480000000000004</v>
      </c>
      <c r="Y43" s="6">
        <v>6.9669999999999996</v>
      </c>
      <c r="Z43" s="6">
        <v>6.8419999999999996</v>
      </c>
      <c r="AA43" s="6">
        <v>6.71</v>
      </c>
      <c r="AB43" s="6">
        <v>6.569</v>
      </c>
      <c r="AC43" s="6">
        <v>6.7080000000000002</v>
      </c>
      <c r="AD43" s="6">
        <v>6.6390000000000002</v>
      </c>
      <c r="AF43" s="118"/>
      <c r="AG43" s="118"/>
      <c r="AH43" s="118"/>
      <c r="AI43" s="118"/>
      <c r="AJ43" s="118"/>
      <c r="AK43" s="118"/>
      <c r="AL43" s="118"/>
      <c r="AM43" s="118"/>
      <c r="AN43" s="118"/>
      <c r="AO43" s="118"/>
      <c r="AP43" s="118"/>
      <c r="AQ43" s="118"/>
      <c r="AR43" s="118"/>
      <c r="AS43" s="118"/>
      <c r="AT43" s="118"/>
      <c r="AU43" s="118"/>
      <c r="AV43" s="118"/>
    </row>
    <row r="44" spans="1:48">
      <c r="A44" s="1">
        <f t="shared" si="2"/>
        <v>42</v>
      </c>
      <c r="B44" s="2"/>
      <c r="C44" s="4">
        <v>9</v>
      </c>
      <c r="D44" s="4">
        <f t="shared" si="1"/>
        <v>69</v>
      </c>
      <c r="E44" s="4" t="s">
        <v>147</v>
      </c>
      <c r="F44" s="4">
        <v>1</v>
      </c>
      <c r="G44" s="4" t="s">
        <v>14</v>
      </c>
      <c r="H44" s="4"/>
      <c r="I44" s="5">
        <v>92.4</v>
      </c>
      <c r="J44" s="63">
        <v>0</v>
      </c>
      <c r="K44" s="99">
        <v>6.7430000000000003</v>
      </c>
      <c r="L44" s="7" t="s">
        <v>113</v>
      </c>
      <c r="M44" s="3" t="s">
        <v>205</v>
      </c>
      <c r="N44" s="6">
        <v>6.6479999999999997</v>
      </c>
      <c r="O44" s="6">
        <v>6.6420000000000003</v>
      </c>
      <c r="P44" s="6">
        <v>7.1120000000000001</v>
      </c>
      <c r="Q44" s="117"/>
      <c r="R44" s="6">
        <v>6.8840000000000003</v>
      </c>
      <c r="S44" s="6">
        <v>6.7610000000000001</v>
      </c>
      <c r="T44" s="6">
        <v>6.7679999999999998</v>
      </c>
      <c r="U44" s="6">
        <v>6.7690000000000001</v>
      </c>
      <c r="V44" s="6">
        <v>6.7050000000000001</v>
      </c>
      <c r="W44" s="117"/>
      <c r="X44" s="6">
        <v>7.1120000000000001</v>
      </c>
      <c r="Y44" s="6">
        <v>7.0179999999999998</v>
      </c>
      <c r="Z44" s="6">
        <v>6.8920000000000003</v>
      </c>
      <c r="AA44" s="6">
        <v>6.9649999999999999</v>
      </c>
      <c r="AB44" s="6">
        <v>6.7309999999999999</v>
      </c>
      <c r="AC44" s="6">
        <v>6.657</v>
      </c>
      <c r="AD44" s="6">
        <v>6.694</v>
      </c>
      <c r="AF44" s="118"/>
      <c r="AG44" s="118"/>
      <c r="AH44" s="118"/>
      <c r="AI44" s="118"/>
      <c r="AJ44" s="118"/>
      <c r="AK44" s="118"/>
      <c r="AL44" s="118"/>
      <c r="AM44" s="118"/>
      <c r="AN44" s="118"/>
      <c r="AO44" s="118"/>
      <c r="AP44" s="118"/>
      <c r="AQ44" s="118"/>
      <c r="AR44" s="118"/>
      <c r="AS44" s="118"/>
      <c r="AT44" s="118"/>
      <c r="AU44" s="118"/>
      <c r="AV44" s="118"/>
    </row>
    <row r="45" spans="1:48">
      <c r="A45" s="1">
        <f t="shared" si="2"/>
        <v>43</v>
      </c>
      <c r="B45" s="2"/>
      <c r="C45" s="4">
        <v>9</v>
      </c>
      <c r="D45" s="4">
        <f t="shared" si="1"/>
        <v>69</v>
      </c>
      <c r="E45" s="4" t="s">
        <v>230</v>
      </c>
      <c r="F45" s="4">
        <v>3</v>
      </c>
      <c r="G45" s="4" t="s">
        <v>11</v>
      </c>
      <c r="H45" s="4" t="s">
        <v>17</v>
      </c>
      <c r="I45" s="5">
        <v>98.1</v>
      </c>
      <c r="J45" s="68"/>
      <c r="K45" s="99">
        <v>3.7959999999999998</v>
      </c>
      <c r="L45" s="7" t="s">
        <v>158</v>
      </c>
      <c r="M45" s="3" t="s">
        <v>205</v>
      </c>
      <c r="N45" s="6">
        <v>4.048</v>
      </c>
      <c r="O45" s="6">
        <v>3.89</v>
      </c>
      <c r="P45" s="6">
        <v>3.9489999999999998</v>
      </c>
      <c r="Q45" s="117"/>
      <c r="R45" s="6">
        <v>3.7559999999999998</v>
      </c>
      <c r="S45" s="117"/>
      <c r="T45" s="117"/>
      <c r="U45" s="117"/>
      <c r="V45" s="117"/>
      <c r="W45" s="117"/>
      <c r="X45" s="6">
        <v>3.944</v>
      </c>
      <c r="Y45" s="6">
        <v>3.9750000000000001</v>
      </c>
      <c r="Z45" s="6">
        <v>3.9489999999999998</v>
      </c>
      <c r="AA45" s="6">
        <v>3.7949999999999999</v>
      </c>
      <c r="AB45" s="6">
        <v>3.83</v>
      </c>
      <c r="AC45" s="6">
        <v>3.5750000000000002</v>
      </c>
      <c r="AD45" s="6">
        <v>3.7029999999999998</v>
      </c>
      <c r="AF45" s="118"/>
      <c r="AG45" s="118"/>
      <c r="AH45" s="118"/>
      <c r="AI45" s="118"/>
      <c r="AJ45" s="118"/>
      <c r="AK45" s="118"/>
      <c r="AL45" s="118"/>
      <c r="AM45" s="118"/>
      <c r="AN45" s="118"/>
      <c r="AO45" s="118"/>
      <c r="AP45" s="118"/>
      <c r="AQ45" s="118"/>
      <c r="AR45" s="118"/>
      <c r="AS45" s="118"/>
      <c r="AT45" s="118"/>
      <c r="AU45" s="118"/>
      <c r="AV45" s="118"/>
    </row>
    <row r="46" spans="1:48">
      <c r="A46" s="1">
        <f t="shared" si="2"/>
        <v>44</v>
      </c>
      <c r="B46" s="2"/>
      <c r="C46" s="4">
        <v>9</v>
      </c>
      <c r="D46" s="4">
        <f t="shared" si="1"/>
        <v>69</v>
      </c>
      <c r="E46" s="4" t="s">
        <v>134</v>
      </c>
      <c r="F46" s="4">
        <v>3</v>
      </c>
      <c r="G46" s="4" t="s">
        <v>11</v>
      </c>
      <c r="H46" s="4" t="s">
        <v>12</v>
      </c>
      <c r="I46" s="5">
        <v>96.2</v>
      </c>
      <c r="J46" s="68"/>
      <c r="K46" s="99">
        <v>4.8179999999999996</v>
      </c>
      <c r="L46" s="7" t="s">
        <v>158</v>
      </c>
      <c r="M46" s="3" t="s">
        <v>205</v>
      </c>
      <c r="N46" s="6">
        <v>4.87</v>
      </c>
      <c r="O46" s="6">
        <v>4.7300000000000004</v>
      </c>
      <c r="P46" s="6">
        <v>5.0449999999999999</v>
      </c>
      <c r="Q46" s="117"/>
      <c r="R46" s="6">
        <v>4.9649999999999999</v>
      </c>
      <c r="S46" s="117"/>
      <c r="T46" s="117"/>
      <c r="U46" s="117"/>
      <c r="V46" s="117"/>
      <c r="W46" s="117"/>
      <c r="X46" s="6">
        <v>4.9370000000000003</v>
      </c>
      <c r="Y46" s="6">
        <v>5.1210000000000004</v>
      </c>
      <c r="Z46" s="6">
        <v>5</v>
      </c>
      <c r="AA46" s="6">
        <v>4.7009999999999996</v>
      </c>
      <c r="AB46" s="6">
        <v>4.5250000000000004</v>
      </c>
      <c r="AC46" s="6">
        <v>5.0730000000000004</v>
      </c>
      <c r="AD46" s="6">
        <v>4.7990000000000004</v>
      </c>
      <c r="AF46" s="118"/>
      <c r="AG46" s="118"/>
      <c r="AH46" s="118"/>
      <c r="AI46" s="118"/>
      <c r="AJ46" s="118"/>
      <c r="AK46" s="118"/>
      <c r="AL46" s="118"/>
      <c r="AM46" s="118"/>
      <c r="AN46" s="118"/>
      <c r="AO46" s="118"/>
      <c r="AP46" s="118"/>
      <c r="AQ46" s="118"/>
      <c r="AR46" s="118"/>
      <c r="AS46" s="118"/>
      <c r="AT46" s="118"/>
      <c r="AU46" s="118"/>
      <c r="AV46" s="118"/>
    </row>
    <row r="47" spans="1:48">
      <c r="A47" s="1">
        <f t="shared" si="2"/>
        <v>45</v>
      </c>
      <c r="B47" s="2"/>
      <c r="C47" s="4">
        <v>9</v>
      </c>
      <c r="D47" s="4">
        <f t="shared" si="1"/>
        <v>69</v>
      </c>
      <c r="E47" s="4" t="s">
        <v>230</v>
      </c>
      <c r="F47" s="4">
        <v>3</v>
      </c>
      <c r="G47" s="4" t="s">
        <v>11</v>
      </c>
      <c r="H47" s="4" t="s">
        <v>17</v>
      </c>
      <c r="I47" s="5">
        <v>97.1</v>
      </c>
      <c r="J47" s="68"/>
      <c r="K47" s="99">
        <v>5.3810000000000002</v>
      </c>
      <c r="L47" s="7" t="s">
        <v>158</v>
      </c>
      <c r="M47" s="3" t="s">
        <v>205</v>
      </c>
      <c r="N47" s="6">
        <v>5.8419999999999996</v>
      </c>
      <c r="O47" s="6">
        <v>5.508</v>
      </c>
      <c r="P47" s="6">
        <v>5.742</v>
      </c>
      <c r="Q47" s="117"/>
      <c r="R47" s="6">
        <v>5.4969999999999999</v>
      </c>
      <c r="S47" s="117"/>
      <c r="T47" s="117"/>
      <c r="U47" s="117"/>
      <c r="V47" s="117"/>
      <c r="W47" s="117"/>
      <c r="X47" s="6">
        <v>5.72</v>
      </c>
      <c r="Y47" s="6">
        <v>5.7839999999999998</v>
      </c>
      <c r="Z47" s="6">
        <v>5.6989999999999998</v>
      </c>
      <c r="AA47" s="6">
        <v>5.5229999999999997</v>
      </c>
      <c r="AB47" s="6">
        <v>5.43</v>
      </c>
      <c r="AC47" s="6">
        <v>5.3410000000000002</v>
      </c>
      <c r="AD47" s="6">
        <v>5.3860000000000001</v>
      </c>
      <c r="AF47" s="118"/>
      <c r="AG47" s="118"/>
      <c r="AH47" s="118"/>
      <c r="AI47" s="118"/>
      <c r="AJ47" s="118"/>
      <c r="AK47" s="118"/>
      <c r="AL47" s="118"/>
      <c r="AM47" s="118"/>
      <c r="AN47" s="118"/>
      <c r="AO47" s="118"/>
      <c r="AP47" s="118"/>
      <c r="AQ47" s="118"/>
      <c r="AR47" s="118"/>
      <c r="AS47" s="118"/>
      <c r="AT47" s="118"/>
      <c r="AU47" s="118"/>
      <c r="AV47" s="118"/>
    </row>
    <row r="48" spans="1:48">
      <c r="A48" s="1">
        <f t="shared" si="2"/>
        <v>46</v>
      </c>
      <c r="B48" s="2"/>
      <c r="C48" s="4">
        <v>9</v>
      </c>
      <c r="D48" s="4">
        <f t="shared" si="1"/>
        <v>69</v>
      </c>
      <c r="E48" s="4" t="s">
        <v>134</v>
      </c>
      <c r="F48" s="4">
        <v>3</v>
      </c>
      <c r="G48" s="4" t="s">
        <v>14</v>
      </c>
      <c r="H48" s="4"/>
      <c r="I48" s="5">
        <v>97.3</v>
      </c>
      <c r="J48" s="68"/>
      <c r="K48" s="99">
        <v>5.74</v>
      </c>
      <c r="L48" s="7" t="s">
        <v>158</v>
      </c>
      <c r="M48" s="3" t="s">
        <v>205</v>
      </c>
      <c r="N48" s="6">
        <v>5.8680000000000003</v>
      </c>
      <c r="O48" s="6">
        <v>5.7050000000000001</v>
      </c>
      <c r="P48" s="6">
        <v>6.0880000000000001</v>
      </c>
      <c r="Q48" s="117"/>
      <c r="R48" s="6">
        <v>5.8730000000000002</v>
      </c>
      <c r="S48" s="117"/>
      <c r="T48" s="117"/>
      <c r="U48" s="117"/>
      <c r="V48" s="117"/>
      <c r="W48" s="117"/>
      <c r="X48" s="6">
        <v>6.11</v>
      </c>
      <c r="Y48" s="6">
        <v>6.032</v>
      </c>
      <c r="Z48" s="6">
        <v>5.9219999999999997</v>
      </c>
      <c r="AA48" s="6">
        <v>5.968</v>
      </c>
      <c r="AB48" s="6">
        <v>5.7679999999999998</v>
      </c>
      <c r="AC48" s="6">
        <v>5.6589999999999998</v>
      </c>
      <c r="AD48" s="6">
        <v>5.7140000000000004</v>
      </c>
      <c r="AF48" s="118"/>
      <c r="AG48" s="118"/>
      <c r="AH48" s="118"/>
      <c r="AI48" s="118"/>
      <c r="AJ48" s="118"/>
      <c r="AK48" s="118"/>
      <c r="AL48" s="118"/>
      <c r="AM48" s="118"/>
      <c r="AN48" s="118"/>
      <c r="AO48" s="118"/>
      <c r="AP48" s="118"/>
      <c r="AQ48" s="118"/>
      <c r="AR48" s="118"/>
      <c r="AS48" s="118"/>
      <c r="AT48" s="118"/>
      <c r="AU48" s="118"/>
      <c r="AV48" s="118"/>
    </row>
    <row r="49" spans="1:48">
      <c r="A49" s="1">
        <f t="shared" si="2"/>
        <v>47</v>
      </c>
      <c r="B49" s="2" t="s">
        <v>421</v>
      </c>
      <c r="C49" s="4">
        <v>8</v>
      </c>
      <c r="D49" s="4">
        <f t="shared" si="1"/>
        <v>69</v>
      </c>
      <c r="E49" s="4" t="s">
        <v>147</v>
      </c>
      <c r="F49" s="4">
        <v>1</v>
      </c>
      <c r="G49" s="4" t="s">
        <v>11</v>
      </c>
      <c r="H49" s="4" t="s">
        <v>12</v>
      </c>
      <c r="I49" s="5">
        <v>86.4</v>
      </c>
      <c r="J49" s="63">
        <v>0</v>
      </c>
      <c r="K49" s="99">
        <v>4.9349999999999996</v>
      </c>
      <c r="L49" s="7" t="s">
        <v>113</v>
      </c>
      <c r="M49" s="3" t="s">
        <v>205</v>
      </c>
      <c r="N49" s="6">
        <v>5.0350000000000001</v>
      </c>
      <c r="O49" s="6">
        <v>4.9119999999999999</v>
      </c>
      <c r="P49" s="6">
        <v>5.2539999999999996</v>
      </c>
      <c r="Q49" s="6">
        <v>4.9710000000000001</v>
      </c>
      <c r="R49" s="6">
        <v>5.2089999999999996</v>
      </c>
      <c r="S49" s="6">
        <v>5.0609999999999999</v>
      </c>
      <c r="T49" s="6">
        <v>5.0570000000000004</v>
      </c>
      <c r="U49" s="6">
        <v>5.03</v>
      </c>
      <c r="V49" s="6">
        <v>4.95</v>
      </c>
      <c r="W49" s="117"/>
      <c r="X49" s="6">
        <v>5.0750000000000002</v>
      </c>
      <c r="Y49" s="6">
        <v>5.28</v>
      </c>
      <c r="Z49" s="6">
        <v>5.1749999999999998</v>
      </c>
      <c r="AA49" s="6">
        <v>4.8209999999999997</v>
      </c>
      <c r="AB49" s="6">
        <v>4.694</v>
      </c>
      <c r="AC49" s="6">
        <v>5.2939999999999996</v>
      </c>
      <c r="AD49" s="6">
        <v>4.9939999999999998</v>
      </c>
      <c r="AF49" s="118"/>
      <c r="AG49" s="118"/>
      <c r="AH49" s="118"/>
      <c r="AI49" s="118"/>
      <c r="AJ49" s="118"/>
      <c r="AK49" s="118"/>
      <c r="AL49" s="118"/>
      <c r="AM49" s="118"/>
      <c r="AN49" s="118"/>
      <c r="AO49" s="118"/>
      <c r="AP49" s="118"/>
      <c r="AQ49" s="118"/>
      <c r="AR49" s="118"/>
      <c r="AS49" s="118"/>
      <c r="AT49" s="118"/>
      <c r="AU49" s="118"/>
      <c r="AV49" s="118"/>
    </row>
    <row r="50" spans="1:48">
      <c r="A50" s="1">
        <f t="shared" si="2"/>
        <v>48</v>
      </c>
      <c r="B50" s="2"/>
      <c r="C50" s="4">
        <v>8</v>
      </c>
      <c r="D50" s="4">
        <f t="shared" si="1"/>
        <v>69</v>
      </c>
      <c r="E50" s="4" t="s">
        <v>229</v>
      </c>
      <c r="F50" s="4">
        <v>1</v>
      </c>
      <c r="G50" s="4" t="s">
        <v>11</v>
      </c>
      <c r="H50" s="4" t="s">
        <v>17</v>
      </c>
      <c r="I50" s="5">
        <v>88.8</v>
      </c>
      <c r="J50" s="63">
        <v>0.19900000000000001</v>
      </c>
      <c r="K50" s="99">
        <v>5.3810000000000002</v>
      </c>
      <c r="L50" s="7" t="s">
        <v>113</v>
      </c>
      <c r="M50" s="3" t="s">
        <v>205</v>
      </c>
      <c r="N50" s="6">
        <v>5.5869999999999997</v>
      </c>
      <c r="O50" s="6">
        <v>5.4189999999999996</v>
      </c>
      <c r="P50" s="6">
        <v>5.7160000000000002</v>
      </c>
      <c r="Q50" s="6">
        <v>5.2030000000000003</v>
      </c>
      <c r="R50" s="6">
        <v>5.6109999999999998</v>
      </c>
      <c r="S50" s="6">
        <v>5.4379999999999997</v>
      </c>
      <c r="T50" s="6">
        <v>5.4279999999999999</v>
      </c>
      <c r="U50" s="6">
        <v>5.4329999999999998</v>
      </c>
      <c r="V50" s="6">
        <v>5.3570000000000002</v>
      </c>
      <c r="W50" s="117"/>
      <c r="X50" s="6">
        <v>5.54</v>
      </c>
      <c r="Y50" s="6">
        <v>5.6150000000000002</v>
      </c>
      <c r="Z50" s="6">
        <v>5.5510000000000002</v>
      </c>
      <c r="AA50" s="6">
        <v>5.3150000000000004</v>
      </c>
      <c r="AB50" s="6">
        <v>5.3319999999999999</v>
      </c>
      <c r="AC50" s="6">
        <v>5.375</v>
      </c>
      <c r="AD50" s="6">
        <v>5.3540000000000001</v>
      </c>
      <c r="AF50" s="118"/>
      <c r="AG50" s="118"/>
      <c r="AH50" s="118"/>
      <c r="AI50" s="118"/>
      <c r="AJ50" s="118"/>
      <c r="AK50" s="118"/>
      <c r="AL50" s="118"/>
      <c r="AM50" s="118"/>
      <c r="AN50" s="118"/>
      <c r="AO50" s="118"/>
      <c r="AP50" s="118"/>
      <c r="AQ50" s="118"/>
      <c r="AR50" s="118"/>
      <c r="AS50" s="118"/>
      <c r="AT50" s="118"/>
      <c r="AU50" s="118"/>
      <c r="AV50" s="118"/>
    </row>
    <row r="51" spans="1:48">
      <c r="A51" s="1">
        <f t="shared" si="2"/>
        <v>49</v>
      </c>
      <c r="B51" s="2"/>
      <c r="C51" s="4">
        <v>8</v>
      </c>
      <c r="D51" s="4">
        <f t="shared" si="1"/>
        <v>69</v>
      </c>
      <c r="E51" s="4" t="s">
        <v>147</v>
      </c>
      <c r="F51" s="4">
        <v>1</v>
      </c>
      <c r="G51" s="4" t="s">
        <v>14</v>
      </c>
      <c r="H51" s="4"/>
      <c r="I51" s="5">
        <v>91.9</v>
      </c>
      <c r="J51" s="63">
        <v>3.0000000000000001E-3</v>
      </c>
      <c r="K51" s="99">
        <v>6.0519999999999996</v>
      </c>
      <c r="L51" s="7" t="s">
        <v>113</v>
      </c>
      <c r="M51" s="3" t="s">
        <v>205</v>
      </c>
      <c r="N51" s="6">
        <v>6.18</v>
      </c>
      <c r="O51" s="6">
        <v>6.0179999999999998</v>
      </c>
      <c r="P51" s="6">
        <v>6.3840000000000003</v>
      </c>
      <c r="Q51" s="6">
        <v>6.15</v>
      </c>
      <c r="R51" s="6">
        <v>6.1840000000000002</v>
      </c>
      <c r="S51" s="6">
        <v>6.0730000000000004</v>
      </c>
      <c r="T51" s="6">
        <v>6.08</v>
      </c>
      <c r="U51" s="6">
        <v>6.0810000000000004</v>
      </c>
      <c r="V51" s="6">
        <v>6.0259999999999998</v>
      </c>
      <c r="W51" s="117"/>
      <c r="X51" s="6">
        <v>6.3689999999999998</v>
      </c>
      <c r="Y51" s="6">
        <v>6.2949999999999999</v>
      </c>
      <c r="Z51" s="6">
        <v>6.202</v>
      </c>
      <c r="AA51" s="6">
        <v>6.2229999999999999</v>
      </c>
      <c r="AB51" s="6">
        <v>6.0780000000000003</v>
      </c>
      <c r="AC51" s="6">
        <v>5.9560000000000004</v>
      </c>
      <c r="AD51" s="6">
        <v>6.0170000000000003</v>
      </c>
      <c r="AF51" s="118"/>
      <c r="AG51" s="118"/>
      <c r="AH51" s="118"/>
      <c r="AI51" s="118"/>
      <c r="AJ51" s="118"/>
      <c r="AK51" s="118"/>
      <c r="AL51" s="118"/>
      <c r="AM51" s="118"/>
      <c r="AN51" s="118"/>
      <c r="AO51" s="118"/>
      <c r="AP51" s="118"/>
      <c r="AQ51" s="118"/>
      <c r="AR51" s="118"/>
      <c r="AS51" s="118"/>
      <c r="AT51" s="118"/>
      <c r="AU51" s="118"/>
      <c r="AV51" s="118"/>
    </row>
    <row r="52" spans="1:48">
      <c r="A52" s="1">
        <f t="shared" si="2"/>
        <v>50</v>
      </c>
      <c r="B52" s="2"/>
      <c r="C52" s="4">
        <v>8</v>
      </c>
      <c r="D52" s="4">
        <f t="shared" si="1"/>
        <v>69</v>
      </c>
      <c r="E52" s="4" t="s">
        <v>229</v>
      </c>
      <c r="F52" s="4">
        <v>1</v>
      </c>
      <c r="G52" s="4" t="s">
        <v>11</v>
      </c>
      <c r="H52" s="4" t="s">
        <v>17</v>
      </c>
      <c r="I52" s="5">
        <v>83.7</v>
      </c>
      <c r="J52" s="63">
        <v>4.7E-2</v>
      </c>
      <c r="K52" s="99">
        <v>6.2869999999999999</v>
      </c>
      <c r="L52" s="7" t="s">
        <v>113</v>
      </c>
      <c r="M52" s="3" t="s">
        <v>205</v>
      </c>
      <c r="N52" s="6">
        <v>6.6159999999999997</v>
      </c>
      <c r="O52" s="6">
        <v>6.3550000000000004</v>
      </c>
      <c r="P52" s="6">
        <v>6.8579999999999997</v>
      </c>
      <c r="Q52" s="6">
        <v>6.43</v>
      </c>
      <c r="R52" s="6">
        <v>6.7460000000000004</v>
      </c>
      <c r="S52" s="6">
        <v>6.4480000000000004</v>
      </c>
      <c r="T52" s="6">
        <v>6.431</v>
      </c>
      <c r="U52" s="6">
        <v>6.4169999999999998</v>
      </c>
      <c r="V52" s="6">
        <v>6.28</v>
      </c>
      <c r="W52" s="117"/>
      <c r="X52" s="6">
        <v>6.681</v>
      </c>
      <c r="Y52" s="6">
        <v>6.806</v>
      </c>
      <c r="Z52" s="6">
        <v>6.6630000000000003</v>
      </c>
      <c r="AA52" s="6">
        <v>6.4169999999999998</v>
      </c>
      <c r="AB52" s="6">
        <v>6.23</v>
      </c>
      <c r="AC52" s="6">
        <v>6.5739999999999998</v>
      </c>
      <c r="AD52" s="6">
        <v>6.4020000000000001</v>
      </c>
      <c r="AF52" s="118"/>
      <c r="AG52" s="118"/>
      <c r="AH52" s="118"/>
      <c r="AI52" s="118"/>
      <c r="AJ52" s="118"/>
      <c r="AK52" s="118"/>
      <c r="AL52" s="118"/>
      <c r="AM52" s="118"/>
      <c r="AN52" s="118"/>
      <c r="AO52" s="118"/>
      <c r="AP52" s="118"/>
      <c r="AQ52" s="118"/>
      <c r="AR52" s="118"/>
      <c r="AS52" s="118"/>
      <c r="AT52" s="118"/>
      <c r="AU52" s="118"/>
      <c r="AV52" s="118"/>
    </row>
    <row r="53" spans="1:48">
      <c r="A53" s="1">
        <f t="shared" si="2"/>
        <v>51</v>
      </c>
      <c r="B53" s="2"/>
      <c r="C53" s="4">
        <v>8</v>
      </c>
      <c r="D53" s="4">
        <f t="shared" si="1"/>
        <v>69</v>
      </c>
      <c r="E53" s="4" t="s">
        <v>147</v>
      </c>
      <c r="F53" s="4">
        <v>1</v>
      </c>
      <c r="G53" s="4" t="s">
        <v>11</v>
      </c>
      <c r="H53" s="4" t="s">
        <v>12</v>
      </c>
      <c r="I53" s="5">
        <v>87.9</v>
      </c>
      <c r="J53" s="63">
        <v>0</v>
      </c>
      <c r="K53" s="99">
        <v>6.3120000000000003</v>
      </c>
      <c r="L53" s="7" t="s">
        <v>113</v>
      </c>
      <c r="M53" s="3" t="s">
        <v>205</v>
      </c>
      <c r="N53" s="6">
        <v>6.3869999999999996</v>
      </c>
      <c r="O53" s="6">
        <v>6.2009999999999996</v>
      </c>
      <c r="P53" s="6">
        <v>6.5990000000000002</v>
      </c>
      <c r="Q53" s="6">
        <v>6.2889999999999997</v>
      </c>
      <c r="R53" s="6">
        <v>6.5579999999999998</v>
      </c>
      <c r="S53" s="6">
        <v>6.4320000000000004</v>
      </c>
      <c r="T53" s="6">
        <v>6.4290000000000003</v>
      </c>
      <c r="U53" s="6">
        <v>6.4080000000000004</v>
      </c>
      <c r="V53" s="6">
        <v>6.3109999999999999</v>
      </c>
      <c r="W53" s="117"/>
      <c r="X53" s="6">
        <v>6.3929999999999998</v>
      </c>
      <c r="Y53" s="6">
        <v>6.5970000000000004</v>
      </c>
      <c r="Z53" s="6">
        <v>6.4889999999999999</v>
      </c>
      <c r="AA53" s="6">
        <v>6.141</v>
      </c>
      <c r="AB53" s="6">
        <v>6.0019999999999998</v>
      </c>
      <c r="AC53" s="6">
        <v>6.7670000000000003</v>
      </c>
      <c r="AD53" s="6">
        <v>6.3849999999999998</v>
      </c>
      <c r="AF53" s="118"/>
      <c r="AG53" s="118"/>
      <c r="AH53" s="118"/>
      <c r="AI53" s="118"/>
      <c r="AJ53" s="118"/>
      <c r="AK53" s="118"/>
      <c r="AL53" s="118"/>
      <c r="AM53" s="118"/>
      <c r="AN53" s="118"/>
      <c r="AO53" s="118"/>
      <c r="AP53" s="118"/>
      <c r="AQ53" s="118"/>
      <c r="AR53" s="118"/>
      <c r="AS53" s="118"/>
      <c r="AT53" s="118"/>
      <c r="AU53" s="118"/>
      <c r="AV53" s="118"/>
    </row>
    <row r="54" spans="1:48">
      <c r="A54" s="1">
        <f t="shared" si="2"/>
        <v>52</v>
      </c>
      <c r="B54" s="2"/>
      <c r="C54" s="4">
        <v>8</v>
      </c>
      <c r="D54" s="4">
        <f t="shared" si="1"/>
        <v>69</v>
      </c>
      <c r="E54" s="4" t="s">
        <v>229</v>
      </c>
      <c r="F54" s="4">
        <v>1</v>
      </c>
      <c r="G54" s="4" t="s">
        <v>11</v>
      </c>
      <c r="H54" s="4" t="s">
        <v>17</v>
      </c>
      <c r="I54" s="5">
        <v>88.1</v>
      </c>
      <c r="J54" s="63">
        <v>0.19800000000000001</v>
      </c>
      <c r="K54" s="99">
        <v>6.7359999999999998</v>
      </c>
      <c r="L54" s="7" t="s">
        <v>113</v>
      </c>
      <c r="M54" s="3" t="s">
        <v>205</v>
      </c>
      <c r="N54" s="6">
        <v>6.6630000000000003</v>
      </c>
      <c r="O54" s="6">
        <v>6.7779999999999996</v>
      </c>
      <c r="P54" s="6">
        <v>7.282</v>
      </c>
      <c r="Q54" s="6">
        <v>6.7320000000000002</v>
      </c>
      <c r="R54" s="6">
        <v>7.0590000000000002</v>
      </c>
      <c r="S54" s="6">
        <v>6.891</v>
      </c>
      <c r="T54" s="6">
        <v>6.81</v>
      </c>
      <c r="U54" s="6">
        <v>6.8150000000000004</v>
      </c>
      <c r="V54" s="6">
        <v>6.7060000000000004</v>
      </c>
      <c r="W54" s="117"/>
      <c r="X54" s="6">
        <v>7.1079999999999997</v>
      </c>
      <c r="Y54" s="6">
        <v>7.1379999999999999</v>
      </c>
      <c r="Z54" s="6">
        <v>6.9930000000000003</v>
      </c>
      <c r="AA54" s="6">
        <v>6.867</v>
      </c>
      <c r="AB54" s="6">
        <v>6.74</v>
      </c>
      <c r="AC54" s="6">
        <v>6.8419999999999996</v>
      </c>
      <c r="AD54" s="6">
        <v>6.7910000000000004</v>
      </c>
      <c r="AF54" s="118"/>
      <c r="AG54" s="118"/>
      <c r="AH54" s="118"/>
      <c r="AI54" s="118"/>
      <c r="AJ54" s="118"/>
      <c r="AK54" s="118"/>
      <c r="AL54" s="118"/>
      <c r="AM54" s="118"/>
      <c r="AN54" s="118"/>
      <c r="AO54" s="118"/>
      <c r="AP54" s="118"/>
      <c r="AQ54" s="118"/>
      <c r="AR54" s="118"/>
      <c r="AS54" s="118"/>
      <c r="AT54" s="118"/>
      <c r="AU54" s="118"/>
      <c r="AV54" s="118"/>
    </row>
    <row r="55" spans="1:48">
      <c r="A55" s="1">
        <f t="shared" si="2"/>
        <v>53</v>
      </c>
      <c r="B55" s="2"/>
      <c r="C55" s="4">
        <v>8</v>
      </c>
      <c r="D55" s="4">
        <f t="shared" si="1"/>
        <v>69</v>
      </c>
      <c r="E55" s="4" t="s">
        <v>230</v>
      </c>
      <c r="F55" s="4">
        <v>3</v>
      </c>
      <c r="G55" s="4" t="s">
        <v>11</v>
      </c>
      <c r="H55" s="4" t="s">
        <v>17</v>
      </c>
      <c r="I55" s="5">
        <v>98.1</v>
      </c>
      <c r="J55" s="68"/>
      <c r="K55" s="99">
        <v>3.8959999999999999</v>
      </c>
      <c r="L55" s="7" t="s">
        <v>158</v>
      </c>
      <c r="M55" s="3" t="s">
        <v>205</v>
      </c>
      <c r="N55" s="6">
        <v>4.1360000000000001</v>
      </c>
      <c r="O55" s="6">
        <v>3.9940000000000002</v>
      </c>
      <c r="P55" s="6">
        <v>4.0170000000000003</v>
      </c>
      <c r="Q55" s="6">
        <v>3.6480000000000001</v>
      </c>
      <c r="R55" s="6">
        <v>3.8559999999999999</v>
      </c>
      <c r="S55" s="117"/>
      <c r="T55" s="117"/>
      <c r="U55" s="117"/>
      <c r="V55" s="117"/>
      <c r="W55" s="117"/>
      <c r="X55" s="6">
        <v>4.032</v>
      </c>
      <c r="Y55" s="6">
        <v>4.0670000000000002</v>
      </c>
      <c r="Z55" s="6">
        <v>4.0449999999999999</v>
      </c>
      <c r="AA55" s="6">
        <v>3.8849999999999998</v>
      </c>
      <c r="AB55" s="6">
        <v>3.9289999999999998</v>
      </c>
      <c r="AC55" s="6">
        <v>3.85</v>
      </c>
      <c r="AD55" s="6">
        <v>3.89</v>
      </c>
      <c r="AF55" s="118"/>
      <c r="AG55" s="118"/>
      <c r="AH55" s="118"/>
      <c r="AI55" s="118"/>
      <c r="AJ55" s="118"/>
      <c r="AK55" s="118"/>
      <c r="AL55" s="118"/>
      <c r="AM55" s="118"/>
      <c r="AN55" s="118"/>
      <c r="AO55" s="118"/>
      <c r="AP55" s="118"/>
      <c r="AQ55" s="118"/>
      <c r="AR55" s="118"/>
      <c r="AS55" s="118"/>
      <c r="AT55" s="118"/>
      <c r="AU55" s="118"/>
      <c r="AV55" s="118"/>
    </row>
    <row r="56" spans="1:48">
      <c r="A56" s="1">
        <f t="shared" si="2"/>
        <v>54</v>
      </c>
      <c r="B56" s="2"/>
      <c r="C56" s="4">
        <v>8</v>
      </c>
      <c r="D56" s="4">
        <f t="shared" si="1"/>
        <v>69</v>
      </c>
      <c r="E56" s="4" t="s">
        <v>134</v>
      </c>
      <c r="F56" s="4">
        <v>3</v>
      </c>
      <c r="G56" s="4" t="s">
        <v>11</v>
      </c>
      <c r="H56" s="4" t="s">
        <v>12</v>
      </c>
      <c r="I56" s="5">
        <v>96.1</v>
      </c>
      <c r="J56" s="68"/>
      <c r="K56" s="99">
        <v>4.7759999999999998</v>
      </c>
      <c r="L56" s="7" t="s">
        <v>158</v>
      </c>
      <c r="M56" s="3" t="s">
        <v>205</v>
      </c>
      <c r="N56" s="6">
        <v>4.8579999999999997</v>
      </c>
      <c r="O56" s="6">
        <v>4.7039999999999997</v>
      </c>
      <c r="P56" s="6">
        <v>5.0090000000000003</v>
      </c>
      <c r="Q56" s="6">
        <v>4.7210000000000001</v>
      </c>
      <c r="R56" s="6">
        <v>4.9459999999999997</v>
      </c>
      <c r="S56" s="117"/>
      <c r="T56" s="117"/>
      <c r="U56" s="117"/>
      <c r="V56" s="117"/>
      <c r="W56" s="117"/>
      <c r="X56" s="6">
        <v>4.9189999999999996</v>
      </c>
      <c r="Y56" s="6">
        <v>5.1070000000000002</v>
      </c>
      <c r="Z56" s="6">
        <v>4.9829999999999997</v>
      </c>
      <c r="AA56" s="6">
        <v>4.8620000000000001</v>
      </c>
      <c r="AB56" s="6">
        <v>4.4960000000000004</v>
      </c>
      <c r="AC56" s="6">
        <v>5.0469999999999997</v>
      </c>
      <c r="AD56" s="6">
        <v>4.7720000000000002</v>
      </c>
      <c r="AF56" s="118"/>
      <c r="AG56" s="118"/>
      <c r="AH56" s="118"/>
      <c r="AI56" s="118"/>
      <c r="AJ56" s="118"/>
      <c r="AK56" s="118"/>
      <c r="AL56" s="118"/>
      <c r="AM56" s="118"/>
      <c r="AN56" s="118"/>
      <c r="AO56" s="118"/>
      <c r="AP56" s="118"/>
      <c r="AQ56" s="118"/>
      <c r="AR56" s="118"/>
      <c r="AS56" s="118"/>
      <c r="AT56" s="118"/>
      <c r="AU56" s="118"/>
      <c r="AV56" s="118"/>
    </row>
    <row r="57" spans="1:48">
      <c r="A57" s="1">
        <f t="shared" si="2"/>
        <v>55</v>
      </c>
      <c r="B57" s="2"/>
      <c r="C57" s="4">
        <v>8</v>
      </c>
      <c r="D57" s="4">
        <f t="shared" si="1"/>
        <v>69</v>
      </c>
      <c r="E57" s="4" t="s">
        <v>230</v>
      </c>
      <c r="F57" s="4">
        <v>3</v>
      </c>
      <c r="G57" s="4" t="s">
        <v>11</v>
      </c>
      <c r="H57" s="4" t="s">
        <v>17</v>
      </c>
      <c r="I57" s="5">
        <v>97</v>
      </c>
      <c r="J57" s="68"/>
      <c r="K57" s="99">
        <v>5.3819999999999997</v>
      </c>
      <c r="L57" s="7" t="s">
        <v>158</v>
      </c>
      <c r="M57" s="3" t="s">
        <v>205</v>
      </c>
      <c r="N57" s="6">
        <v>5.8680000000000003</v>
      </c>
      <c r="O57" s="6">
        <v>5.5179999999999998</v>
      </c>
      <c r="P57" s="6">
        <v>5.7370000000000001</v>
      </c>
      <c r="Q57" s="6">
        <v>5.3040000000000003</v>
      </c>
      <c r="R57" s="6">
        <v>5.5119999999999996</v>
      </c>
      <c r="S57" s="117"/>
      <c r="T57" s="117"/>
      <c r="U57" s="117"/>
      <c r="V57" s="117"/>
      <c r="W57" s="117"/>
      <c r="X57" s="6">
        <v>5.7270000000000003</v>
      </c>
      <c r="Y57" s="6">
        <v>5.7949999999999999</v>
      </c>
      <c r="Z57" s="6">
        <v>5.71</v>
      </c>
      <c r="AA57" s="6">
        <v>5.53</v>
      </c>
      <c r="AB57" s="6">
        <v>5.4340000000000002</v>
      </c>
      <c r="AC57" s="6">
        <v>5.3559999999999999</v>
      </c>
      <c r="AD57" s="6">
        <v>5.3949999999999996</v>
      </c>
      <c r="AF57" s="118"/>
      <c r="AG57" s="118"/>
      <c r="AH57" s="118"/>
      <c r="AI57" s="118"/>
      <c r="AJ57" s="118"/>
      <c r="AK57" s="118"/>
      <c r="AL57" s="118"/>
      <c r="AM57" s="118"/>
      <c r="AN57" s="118"/>
      <c r="AO57" s="118"/>
      <c r="AP57" s="118"/>
      <c r="AQ57" s="118"/>
      <c r="AR57" s="118"/>
      <c r="AS57" s="118"/>
      <c r="AT57" s="118"/>
      <c r="AU57" s="118"/>
      <c r="AV57" s="118"/>
    </row>
    <row r="58" spans="1:48">
      <c r="A58" s="1">
        <f t="shared" si="2"/>
        <v>56</v>
      </c>
      <c r="B58" s="2"/>
      <c r="C58" s="4">
        <v>8</v>
      </c>
      <c r="D58" s="4">
        <f t="shared" si="1"/>
        <v>69</v>
      </c>
      <c r="E58" s="4" t="s">
        <v>134</v>
      </c>
      <c r="F58" s="4">
        <v>3</v>
      </c>
      <c r="G58" s="4" t="s">
        <v>14</v>
      </c>
      <c r="H58" s="4"/>
      <c r="I58" s="5">
        <v>97.2</v>
      </c>
      <c r="J58" s="68"/>
      <c r="K58" s="99">
        <v>5.968</v>
      </c>
      <c r="L58" s="7" t="s">
        <v>158</v>
      </c>
      <c r="M58" s="3" t="s">
        <v>205</v>
      </c>
      <c r="N58" s="6">
        <v>6.1609999999999996</v>
      </c>
      <c r="O58" s="6">
        <v>5.9669999999999996</v>
      </c>
      <c r="P58" s="6">
        <v>6.3140000000000001</v>
      </c>
      <c r="Q58" s="6">
        <v>6.173</v>
      </c>
      <c r="R58" s="6">
        <v>6.1150000000000002</v>
      </c>
      <c r="S58" s="117"/>
      <c r="T58" s="117"/>
      <c r="U58" s="117"/>
      <c r="V58" s="117"/>
      <c r="W58" s="117"/>
      <c r="X58" s="6">
        <v>6.3339999999999996</v>
      </c>
      <c r="Y58" s="6">
        <v>6.2590000000000003</v>
      </c>
      <c r="Z58" s="6">
        <v>6.1609999999999996</v>
      </c>
      <c r="AA58" s="6">
        <v>6.1920000000000002</v>
      </c>
      <c r="AB58" s="6">
        <v>6.0259999999999998</v>
      </c>
      <c r="AC58" s="6">
        <v>5.8920000000000003</v>
      </c>
      <c r="AD58" s="6">
        <v>5.9589999999999996</v>
      </c>
      <c r="AF58" s="118"/>
      <c r="AG58" s="118"/>
      <c r="AH58" s="118"/>
      <c r="AI58" s="118"/>
      <c r="AJ58" s="118"/>
      <c r="AK58" s="118"/>
      <c r="AL58" s="118"/>
      <c r="AM58" s="118"/>
      <c r="AN58" s="118"/>
      <c r="AO58" s="118"/>
      <c r="AP58" s="118"/>
      <c r="AQ58" s="118"/>
      <c r="AR58" s="118"/>
      <c r="AS58" s="118"/>
      <c r="AT58" s="118"/>
      <c r="AU58" s="118"/>
      <c r="AV58" s="118"/>
    </row>
    <row r="59" spans="1:48">
      <c r="M59" s="3" t="s">
        <v>205</v>
      </c>
    </row>
    <row r="60" spans="1:48">
      <c r="B60" s="18" t="s">
        <v>283</v>
      </c>
      <c r="C60" s="1">
        <f>COUNTIF(D3:D58,"=12")</f>
        <v>0</v>
      </c>
      <c r="D60" s="18"/>
      <c r="E60" s="18" t="s">
        <v>55</v>
      </c>
      <c r="F60" s="1">
        <f>COUNTIF(F3:F58,"=1")</f>
        <v>35</v>
      </c>
      <c r="G60" s="18" t="s">
        <v>12</v>
      </c>
      <c r="H60" s="1">
        <f>COUNTIF(H3:H58,"=npi")</f>
        <v>15</v>
      </c>
    </row>
    <row r="61" spans="1:48">
      <c r="B61" s="18" t="s">
        <v>526</v>
      </c>
      <c r="C61" s="1">
        <f>COUNTIF(D3:D58,"=35")</f>
        <v>0</v>
      </c>
      <c r="D61" s="1"/>
      <c r="E61" s="18" t="s">
        <v>57</v>
      </c>
      <c r="F61" s="1">
        <f>COUNTIF(F3:F58,"=3")</f>
        <v>21</v>
      </c>
      <c r="G61" s="18" t="s">
        <v>58</v>
      </c>
      <c r="H61" s="1">
        <f>COUNTIF(H3:H58,"=ppi")</f>
        <v>25</v>
      </c>
    </row>
    <row r="62" spans="1:48">
      <c r="B62" s="18" t="s">
        <v>527</v>
      </c>
      <c r="C62" s="1">
        <f>COUNTIF(D3:D60,"=69")</f>
        <v>33</v>
      </c>
      <c r="D62" s="18"/>
      <c r="E62" s="18" t="s">
        <v>60</v>
      </c>
      <c r="F62" s="1">
        <f>COUNTIF(G3:G58,"=V")</f>
        <v>40</v>
      </c>
      <c r="G62" s="18"/>
      <c r="H62" s="1"/>
    </row>
    <row r="63" spans="1:48">
      <c r="B63" s="18" t="s">
        <v>281</v>
      </c>
      <c r="C63" s="1">
        <f>COUNTIF(D3:D60,"=1016")</f>
        <v>23</v>
      </c>
      <c r="D63" s="1"/>
      <c r="E63" s="18" t="s">
        <v>64</v>
      </c>
      <c r="F63" s="1">
        <f>COUNTIF(G3:G58,"=R")</f>
        <v>16</v>
      </c>
      <c r="G63" s="18" t="s">
        <v>528</v>
      </c>
      <c r="H63" s="1">
        <f>COUNTIF(I3:I58,"&gt;85")</f>
        <v>51</v>
      </c>
    </row>
    <row r="64" spans="1:48">
      <c r="B64" s="18"/>
      <c r="C64" s="1"/>
      <c r="D64" s="1"/>
      <c r="E64" s="1"/>
      <c r="F64" s="1"/>
      <c r="G64" s="1"/>
      <c r="H64" s="1"/>
    </row>
    <row r="65" spans="2:9">
      <c r="B65" s="18" t="s">
        <v>68</v>
      </c>
      <c r="C65" s="1">
        <f>SUM(C60:C64)</f>
        <v>56</v>
      </c>
      <c r="D65" s="1"/>
      <c r="E65" s="18" t="s">
        <v>68</v>
      </c>
      <c r="F65" s="1">
        <f>SUM(F60:F61)</f>
        <v>56</v>
      </c>
      <c r="G65" s="1"/>
      <c r="H65" s="1"/>
    </row>
    <row r="67" spans="2:9">
      <c r="B67" s="1"/>
      <c r="C67" s="1" t="s">
        <v>533</v>
      </c>
      <c r="D67" s="1" t="s">
        <v>534</v>
      </c>
      <c r="E67" s="1" t="s">
        <v>537</v>
      </c>
      <c r="F67" s="1" t="s">
        <v>535</v>
      </c>
      <c r="G67" s="1" t="s">
        <v>536</v>
      </c>
      <c r="H67" s="1" t="s">
        <v>123</v>
      </c>
      <c r="I67" s="1"/>
    </row>
    <row r="68" spans="2:9">
      <c r="B68" s="18" t="s">
        <v>283</v>
      </c>
      <c r="C68" s="1">
        <f>COUNTIFS($D$3:$D$58,"12",$F$3:$F$58,"1",$G$3:$G$58,"V")</f>
        <v>0</v>
      </c>
      <c r="D68" s="1">
        <f>COUNTIFS($D$3:$D$58,"12",$F$3:$F$58,"1",$G$3:$G$58,"R")</f>
        <v>0</v>
      </c>
      <c r="E68" s="1">
        <f>COUNTIFS($D$3:$D$58,"12",$F$3:$F$58,"1",$G$3:$G$58,"M")</f>
        <v>0</v>
      </c>
      <c r="F68" s="1">
        <f>COUNTIFS($D$3:$D$58,"12",$F$3:$F$58,"3",$G$3:$G$58,"V")</f>
        <v>0</v>
      </c>
      <c r="G68" s="1">
        <f>COUNTIFS($D$3:$D$58,"12",$F$3:$F$58,"3",$G$3:$G$58,"R")</f>
        <v>0</v>
      </c>
      <c r="H68" s="1">
        <f>COUNTIFS($D$3:$D$58,"12",$F$3:$F$58,"3",$G$3:$G$58,"M")</f>
        <v>0</v>
      </c>
      <c r="I68" s="1">
        <f>SUM(C68:G68)</f>
        <v>0</v>
      </c>
    </row>
    <row r="69" spans="2:9">
      <c r="B69" s="18" t="s">
        <v>526</v>
      </c>
      <c r="C69" s="1">
        <f>COUNTIFS($D$3:$D$58,"35",$F$3:$F$58,"1",$G$3:$G$58,"V")</f>
        <v>0</v>
      </c>
      <c r="D69" s="1">
        <f>COUNTIFS($D$3:$D$58,"35",$F$3:$F$58,"1",$G$3:$G$58,"R")</f>
        <v>0</v>
      </c>
      <c r="E69" s="1">
        <f>COUNTIFS($D$3:$D$58,"35",$F$3:$F$58,"1",$G$3:$G$58,"M")</f>
        <v>0</v>
      </c>
      <c r="F69" s="1">
        <f>COUNTIFS($D$3:$D$58,"35",$F$3:$F$58,"3",$G$3:$G$58,"V")</f>
        <v>0</v>
      </c>
      <c r="G69" s="1">
        <f>COUNTIFS($D$3:$D$58,"35",$F$3:$F$58,"3",$G$3:$G$58,"R")</f>
        <v>0</v>
      </c>
      <c r="H69" s="1">
        <f>COUNTIFS($D$3:$D$58,"35",$F$3:$F$58,"3",$G$3:$G$58,"M")</f>
        <v>0</v>
      </c>
      <c r="I69" s="1">
        <f>SUM(C69:G69)</f>
        <v>0</v>
      </c>
    </row>
    <row r="70" spans="2:9">
      <c r="B70" s="18" t="s">
        <v>527</v>
      </c>
      <c r="C70" s="1">
        <f>COUNTIFS($D$3:$D$58,"69",$F$3:$F$58,"1",$G$3:$G$58,"V")</f>
        <v>16</v>
      </c>
      <c r="D70" s="1">
        <f>COUNTIFS($D$3:$D$58,"69",$F$3:$F$58,"1",$G$3:$G$58,"R")</f>
        <v>5</v>
      </c>
      <c r="E70" s="1">
        <f>COUNTIFS($D$3:$D$58,"69",$F$3:$F$58,"1",$G$3:$G$58,"M")</f>
        <v>0</v>
      </c>
      <c r="F70" s="1">
        <f>COUNTIFS($D$3:$D$58,"69",$F$3:$F$58,"3",$G$3:$G$58,"V")</f>
        <v>9</v>
      </c>
      <c r="G70" s="1">
        <f>COUNTIFS($D$3:$D$58,"69",$F$3:$F$58,"3",$G$3:$G$58,"R")</f>
        <v>3</v>
      </c>
      <c r="H70" s="1">
        <f>COUNTIFS($D$3:$D$58,"69",$F$3:$F$58,"3",$G$3:$G$58,"M")</f>
        <v>0</v>
      </c>
      <c r="I70" s="1">
        <f>SUM(C70:G70)</f>
        <v>33</v>
      </c>
    </row>
    <row r="71" spans="2:9">
      <c r="B71" s="18" t="s">
        <v>532</v>
      </c>
      <c r="C71" s="1">
        <f>COUNTIFS($D$3:$D$58,"1016",$F$3:$F$58,"1",$G$3:$G$58,"V")</f>
        <v>9</v>
      </c>
      <c r="D71" s="1">
        <f>COUNTIFS($D$3:$D$58,"1016",$F$3:$F$58,"1",$G$3:$G$58,"R")</f>
        <v>5</v>
      </c>
      <c r="E71" s="1">
        <f>COUNTIFS($D$3:$D$58,"1016",$F$3:$F$58,"1",$G$3:$G$58,"M")</f>
        <v>0</v>
      </c>
      <c r="F71" s="1">
        <f>COUNTIFS($D$3:$D$58,"1016",$F$3:$F$58,"3",$G$3:$G$58,"V")</f>
        <v>6</v>
      </c>
      <c r="G71" s="1">
        <f>COUNTIFS($D$3:$D$58,"1016",$F$3:$F$58,"3",$G$3:$G$58,"R")</f>
        <v>3</v>
      </c>
      <c r="H71" s="1">
        <f>COUNTIFS($D$3:$D$58,"1016",$F$3:$F$58,"3",$G$3:$G$58,"M")</f>
        <v>0</v>
      </c>
      <c r="I71" s="1">
        <f>SUM(C71:G71)</f>
        <v>23</v>
      </c>
    </row>
    <row r="72" spans="2:9">
      <c r="B72" s="1"/>
      <c r="C72" s="1">
        <f t="shared" ref="C72:H72" si="4">SUM(C68:C71)</f>
        <v>25</v>
      </c>
      <c r="D72" s="1">
        <f t="shared" si="4"/>
        <v>10</v>
      </c>
      <c r="E72" s="1">
        <f t="shared" si="4"/>
        <v>0</v>
      </c>
      <c r="F72" s="1">
        <f t="shared" si="4"/>
        <v>15</v>
      </c>
      <c r="G72" s="1">
        <f t="shared" si="4"/>
        <v>6</v>
      </c>
      <c r="H72" s="1">
        <f t="shared" si="4"/>
        <v>0</v>
      </c>
      <c r="I72" s="1"/>
    </row>
    <row r="73" spans="2:9">
      <c r="B73" s="1"/>
      <c r="C73" s="1">
        <f>SUM(C72:E72)</f>
        <v>35</v>
      </c>
      <c r="D73" s="1"/>
      <c r="E73" s="1"/>
      <c r="F73" s="1">
        <f>SUM(F72:G72)</f>
        <v>21</v>
      </c>
      <c r="G73" s="1"/>
      <c r="H73" s="1"/>
      <c r="I73" s="1"/>
    </row>
  </sheetData>
  <mergeCells count="2">
    <mergeCell ref="B1:L1"/>
    <mergeCell ref="N1:AD1"/>
  </mergeCells>
  <conditionalFormatting sqref="I3:I58">
    <cfRule type="cellIs" dxfId="2" priority="1" operator="lessThan">
      <formula>65</formula>
    </cfRule>
    <cfRule type="cellIs" dxfId="1" priority="2" operator="between">
      <formula>65</formula>
      <formula>85</formula>
    </cfRule>
    <cfRule type="cellIs" dxfId="0" priority="3" operator="greaterThan">
      <formula>85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918100-CCBD-3D49-9479-E348864A1D77}">
  <dimension ref="A1:AI940"/>
  <sheetViews>
    <sheetView topLeftCell="A2" zoomScale="90" zoomScaleNormal="90" workbookViewId="0">
      <selection activeCell="F67" sqref="F67"/>
    </sheetView>
  </sheetViews>
  <sheetFormatPr baseColWidth="10" defaultRowHeight="16"/>
  <cols>
    <col min="1" max="1" width="3.6640625" customWidth="1"/>
    <col min="4" max="4" width="3.1640625" customWidth="1"/>
    <col min="5" max="5" width="4.6640625" customWidth="1"/>
    <col min="6" max="6" width="6.33203125" customWidth="1"/>
    <col min="7" max="7" width="24" customWidth="1"/>
    <col min="8" max="8" width="2.83203125" style="1" customWidth="1"/>
    <col min="9" max="9" width="3.33203125" customWidth="1"/>
    <col min="10" max="12" width="6.33203125" bestFit="1" customWidth="1"/>
    <col min="13" max="13" width="7" bestFit="1" customWidth="1"/>
    <col min="14" max="17" width="6.33203125" bestFit="1" customWidth="1"/>
  </cols>
  <sheetData>
    <row r="1" spans="1:35">
      <c r="A1" s="1"/>
      <c r="B1" s="136" t="s">
        <v>0</v>
      </c>
      <c r="C1" s="136"/>
      <c r="D1" s="136"/>
      <c r="E1" s="136"/>
      <c r="F1" s="136"/>
      <c r="G1" s="136"/>
      <c r="H1" s="29"/>
      <c r="I1" s="1"/>
      <c r="J1" s="137"/>
      <c r="K1" s="137"/>
      <c r="L1" s="137"/>
      <c r="M1" s="137"/>
      <c r="N1" s="137"/>
      <c r="O1" s="137"/>
      <c r="P1" s="137"/>
      <c r="Q1" s="137"/>
    </row>
    <row r="2" spans="1:35" ht="104">
      <c r="A2" s="1"/>
      <c r="B2" s="98" t="s">
        <v>1</v>
      </c>
      <c r="C2" s="98" t="s">
        <v>3</v>
      </c>
      <c r="D2" s="20" t="s">
        <v>562</v>
      </c>
      <c r="E2" s="20" t="s">
        <v>132</v>
      </c>
      <c r="F2" s="20" t="s">
        <v>5</v>
      </c>
      <c r="G2" s="98" t="s">
        <v>102</v>
      </c>
      <c r="H2" s="20" t="s">
        <v>531</v>
      </c>
      <c r="I2" s="3" t="s">
        <v>205</v>
      </c>
      <c r="J2" s="20" t="s">
        <v>7</v>
      </c>
      <c r="K2" s="20" t="s">
        <v>184</v>
      </c>
      <c r="L2" s="20" t="s">
        <v>433</v>
      </c>
      <c r="M2" s="20" t="s">
        <v>434</v>
      </c>
      <c r="N2" s="20" t="s">
        <v>197</v>
      </c>
      <c r="O2" s="20" t="s">
        <v>198</v>
      </c>
      <c r="P2" s="20" t="s">
        <v>191</v>
      </c>
      <c r="Q2" s="20" t="s">
        <v>190</v>
      </c>
    </row>
    <row r="3" spans="1:35">
      <c r="A3" s="1">
        <v>1</v>
      </c>
      <c r="B3" s="2" t="s">
        <v>422</v>
      </c>
      <c r="C3" s="4" t="s">
        <v>423</v>
      </c>
      <c r="D3" s="4">
        <v>1</v>
      </c>
      <c r="E3" s="4" t="s">
        <v>435</v>
      </c>
      <c r="F3" s="57">
        <v>3.0649999999999999</v>
      </c>
      <c r="G3" s="1" t="s">
        <v>431</v>
      </c>
      <c r="H3" s="10" t="s">
        <v>111</v>
      </c>
      <c r="I3" s="3" t="s">
        <v>205</v>
      </c>
      <c r="J3" s="22">
        <v>3.09</v>
      </c>
      <c r="K3" s="22">
        <v>2.8980000000000001</v>
      </c>
      <c r="L3" s="22">
        <v>3.242</v>
      </c>
      <c r="M3" s="41"/>
      <c r="N3" s="22">
        <v>3.149</v>
      </c>
      <c r="O3" s="22">
        <v>3.0089999999999999</v>
      </c>
      <c r="P3" s="22">
        <v>3.0470000000000002</v>
      </c>
      <c r="Q3" s="22">
        <v>3.03</v>
      </c>
      <c r="S3" s="118"/>
      <c r="T3" s="118"/>
      <c r="U3" s="118"/>
      <c r="V3" s="118"/>
      <c r="W3" s="118"/>
      <c r="X3" s="118"/>
      <c r="Y3" s="118"/>
      <c r="Z3" s="118"/>
      <c r="AA3" s="118"/>
      <c r="AB3" s="118"/>
      <c r="AC3" s="118"/>
      <c r="AD3" s="118"/>
      <c r="AE3" s="118"/>
      <c r="AF3" s="118"/>
      <c r="AG3" s="118"/>
      <c r="AH3" s="118"/>
      <c r="AI3" s="118"/>
    </row>
    <row r="4" spans="1:35">
      <c r="A4" s="1">
        <f>A3+1</f>
        <v>2</v>
      </c>
      <c r="B4" s="2"/>
      <c r="C4" s="4" t="s">
        <v>424</v>
      </c>
      <c r="D4" s="4">
        <v>1</v>
      </c>
      <c r="E4" s="4" t="s">
        <v>430</v>
      </c>
      <c r="F4" s="57">
        <v>3.0920000000000001</v>
      </c>
      <c r="G4" s="1" t="s">
        <v>431</v>
      </c>
      <c r="H4" s="10" t="s">
        <v>111</v>
      </c>
      <c r="I4" s="3" t="s">
        <v>205</v>
      </c>
      <c r="J4" s="22">
        <v>3.044</v>
      </c>
      <c r="K4" s="22">
        <v>2.9119999999999999</v>
      </c>
      <c r="L4" s="22">
        <v>3.2629999999999999</v>
      </c>
      <c r="M4" s="41"/>
      <c r="N4" s="22">
        <v>3.0489999999999999</v>
      </c>
      <c r="O4" s="22">
        <v>2.972</v>
      </c>
      <c r="P4" s="22">
        <v>2.968</v>
      </c>
      <c r="Q4" s="22">
        <v>3.0150000000000001</v>
      </c>
      <c r="S4" s="118"/>
      <c r="T4" s="118"/>
      <c r="U4" s="118"/>
      <c r="V4" s="118"/>
      <c r="W4" s="118"/>
      <c r="X4" s="118"/>
      <c r="Y4" s="118"/>
      <c r="Z4" s="118"/>
      <c r="AA4" s="118"/>
      <c r="AB4" s="118"/>
      <c r="AC4" s="118"/>
      <c r="AD4" s="118"/>
      <c r="AE4" s="118"/>
      <c r="AF4" s="118"/>
      <c r="AG4" s="118"/>
      <c r="AH4" s="118"/>
      <c r="AI4" s="118"/>
    </row>
    <row r="5" spans="1:35">
      <c r="A5" s="1">
        <f t="shared" ref="A5:A69" si="0">A4+1</f>
        <v>3</v>
      </c>
      <c r="B5" s="2"/>
      <c r="C5" s="4" t="s">
        <v>425</v>
      </c>
      <c r="D5" s="4">
        <v>1</v>
      </c>
      <c r="E5" s="4" t="s">
        <v>430</v>
      </c>
      <c r="F5" s="57">
        <v>3.4790000000000001</v>
      </c>
      <c r="G5" s="1" t="s">
        <v>431</v>
      </c>
      <c r="H5" s="10" t="s">
        <v>111</v>
      </c>
      <c r="I5" s="3" t="s">
        <v>205</v>
      </c>
      <c r="J5" s="22">
        <v>3.5960000000000001</v>
      </c>
      <c r="K5" s="22">
        <v>3.4220000000000002</v>
      </c>
      <c r="L5" s="22">
        <v>3.8740000000000001</v>
      </c>
      <c r="M5" s="41"/>
      <c r="N5" s="22">
        <v>3.472</v>
      </c>
      <c r="O5" s="22">
        <v>3.4540000000000002</v>
      </c>
      <c r="P5" s="22">
        <v>3.371</v>
      </c>
      <c r="Q5" s="22">
        <v>3.4540000000000002</v>
      </c>
      <c r="S5" s="118"/>
      <c r="T5" s="118"/>
      <c r="U5" s="118"/>
      <c r="V5" s="118"/>
      <c r="W5" s="118"/>
      <c r="X5" s="118"/>
      <c r="Y5" s="118"/>
      <c r="Z5" s="118"/>
      <c r="AA5" s="118"/>
      <c r="AB5" s="118"/>
      <c r="AC5" s="118"/>
      <c r="AD5" s="118"/>
      <c r="AE5" s="118"/>
      <c r="AF5" s="118"/>
      <c r="AG5" s="118"/>
      <c r="AH5" s="118"/>
      <c r="AI5" s="118"/>
    </row>
    <row r="6" spans="1:35">
      <c r="A6" s="1">
        <f t="shared" si="0"/>
        <v>4</v>
      </c>
      <c r="B6" s="2"/>
      <c r="C6" s="4" t="s">
        <v>426</v>
      </c>
      <c r="D6" s="4">
        <v>3</v>
      </c>
      <c r="E6" s="4" t="s">
        <v>435</v>
      </c>
      <c r="F6" s="57">
        <v>2.6920000000000002</v>
      </c>
      <c r="G6" s="1" t="s">
        <v>432</v>
      </c>
      <c r="H6" s="10" t="s">
        <v>111</v>
      </c>
      <c r="I6" s="3" t="s">
        <v>205</v>
      </c>
      <c r="J6" s="22">
        <v>2.7080000000000002</v>
      </c>
      <c r="K6" s="22">
        <v>2.4859999999999998</v>
      </c>
      <c r="L6" s="41"/>
      <c r="M6" s="41"/>
      <c r="N6" s="41"/>
      <c r="O6" s="22">
        <v>2.5620000000000003</v>
      </c>
      <c r="P6" s="22">
        <v>2.59</v>
      </c>
      <c r="Q6" s="22">
        <v>2.5779999999999998</v>
      </c>
      <c r="S6" s="118"/>
      <c r="T6" s="118"/>
      <c r="U6" s="118"/>
      <c r="V6" s="118"/>
      <c r="W6" s="118"/>
      <c r="X6" s="118"/>
      <c r="Y6" s="118"/>
      <c r="Z6" s="118"/>
      <c r="AA6" s="118"/>
      <c r="AB6" s="118"/>
      <c r="AC6" s="118"/>
      <c r="AD6" s="118"/>
      <c r="AE6" s="118"/>
      <c r="AF6" s="118"/>
      <c r="AG6" s="118"/>
      <c r="AH6" s="118"/>
      <c r="AI6" s="118"/>
    </row>
    <row r="7" spans="1:35">
      <c r="A7" s="1">
        <f t="shared" si="0"/>
        <v>5</v>
      </c>
      <c r="B7" s="2"/>
      <c r="C7" s="4" t="s">
        <v>427</v>
      </c>
      <c r="D7" s="4">
        <v>3</v>
      </c>
      <c r="E7" s="4" t="s">
        <v>430</v>
      </c>
      <c r="F7" s="57">
        <v>2.8449999999999998</v>
      </c>
      <c r="G7" s="1" t="s">
        <v>432</v>
      </c>
      <c r="H7" s="10" t="s">
        <v>111</v>
      </c>
      <c r="I7" s="3" t="s">
        <v>205</v>
      </c>
      <c r="J7" s="22">
        <v>2.8109999999999999</v>
      </c>
      <c r="K7" s="22">
        <v>2.6310000000000002</v>
      </c>
      <c r="L7" s="41"/>
      <c r="M7" s="41"/>
      <c r="N7" s="41"/>
      <c r="O7" s="22">
        <v>2.7789999999999999</v>
      </c>
      <c r="P7" s="22">
        <v>2.7389999999999999</v>
      </c>
      <c r="Q7" s="22">
        <v>2.8180000000000001</v>
      </c>
      <c r="S7" s="118"/>
      <c r="T7" s="118"/>
      <c r="U7" s="118"/>
      <c r="V7" s="118"/>
      <c r="W7" s="118"/>
      <c r="X7" s="118"/>
      <c r="Y7" s="118"/>
      <c r="Z7" s="118"/>
      <c r="AA7" s="118"/>
      <c r="AB7" s="118"/>
      <c r="AC7" s="118"/>
      <c r="AD7" s="118"/>
      <c r="AE7" s="118"/>
      <c r="AF7" s="118"/>
      <c r="AG7" s="118"/>
      <c r="AH7" s="118"/>
      <c r="AI7" s="118"/>
    </row>
    <row r="8" spans="1:35">
      <c r="A8" s="1">
        <f t="shared" si="0"/>
        <v>6</v>
      </c>
      <c r="B8" s="2"/>
      <c r="C8" s="4" t="s">
        <v>428</v>
      </c>
      <c r="D8" s="4">
        <v>3</v>
      </c>
      <c r="E8" s="4" t="s">
        <v>430</v>
      </c>
      <c r="F8" s="57">
        <v>3.2290000000000001</v>
      </c>
      <c r="G8" s="1" t="s">
        <v>432</v>
      </c>
      <c r="H8" s="10" t="s">
        <v>111</v>
      </c>
      <c r="I8" s="3" t="s">
        <v>205</v>
      </c>
      <c r="J8" s="22">
        <v>3.3980000000000001</v>
      </c>
      <c r="K8" s="22">
        <v>3.1789999999999998</v>
      </c>
      <c r="L8" s="41"/>
      <c r="M8" s="41"/>
      <c r="N8" s="41"/>
      <c r="O8" s="22">
        <v>3.214</v>
      </c>
      <c r="P8" s="22">
        <v>3.1240000000000001</v>
      </c>
      <c r="Q8" s="22">
        <v>3.2029999999999998</v>
      </c>
      <c r="S8" s="118"/>
      <c r="T8" s="118"/>
      <c r="U8" s="118"/>
      <c r="V8" s="118"/>
      <c r="W8" s="118"/>
      <c r="X8" s="118"/>
      <c r="Y8" s="118"/>
      <c r="Z8" s="118"/>
      <c r="AA8" s="118"/>
      <c r="AB8" s="118"/>
      <c r="AC8" s="118"/>
      <c r="AD8" s="118"/>
      <c r="AE8" s="118"/>
      <c r="AF8" s="118"/>
      <c r="AG8" s="118"/>
      <c r="AH8" s="118"/>
      <c r="AI8" s="118"/>
    </row>
    <row r="9" spans="1:35">
      <c r="A9" s="1">
        <f t="shared" si="0"/>
        <v>7</v>
      </c>
      <c r="B9" s="2" t="s">
        <v>429</v>
      </c>
      <c r="C9" s="4" t="s">
        <v>423</v>
      </c>
      <c r="D9" s="4">
        <v>1</v>
      </c>
      <c r="E9" s="4" t="s">
        <v>430</v>
      </c>
      <c r="F9" s="37">
        <v>2.5720000000000001</v>
      </c>
      <c r="G9" s="1" t="s">
        <v>436</v>
      </c>
      <c r="H9" s="1" t="s">
        <v>13</v>
      </c>
      <c r="I9" s="3" t="s">
        <v>205</v>
      </c>
      <c r="J9" s="22">
        <v>2.5960000000000001</v>
      </c>
      <c r="K9" s="22">
        <v>2.4159999999999999</v>
      </c>
      <c r="L9" s="22">
        <v>2.7439999999999998</v>
      </c>
      <c r="M9" s="41"/>
      <c r="N9" s="22">
        <v>2.5390000000000001</v>
      </c>
      <c r="O9" s="22">
        <v>2.4769999999999999</v>
      </c>
      <c r="P9" s="41"/>
      <c r="Q9" s="41"/>
      <c r="S9" s="118"/>
      <c r="T9" s="118"/>
      <c r="U9" s="118"/>
      <c r="V9" s="118"/>
      <c r="W9" s="118"/>
      <c r="X9" s="118"/>
      <c r="Y9" s="118"/>
      <c r="Z9" s="118"/>
      <c r="AA9" s="118"/>
      <c r="AB9" s="118"/>
      <c r="AC9" s="118"/>
      <c r="AD9" s="118"/>
      <c r="AE9" s="118"/>
      <c r="AF9" s="118"/>
      <c r="AG9" s="118"/>
      <c r="AH9" s="118"/>
      <c r="AI9" s="118"/>
    </row>
    <row r="10" spans="1:35">
      <c r="A10" s="1">
        <f t="shared" si="0"/>
        <v>8</v>
      </c>
      <c r="B10" s="2"/>
      <c r="C10" s="4" t="s">
        <v>424</v>
      </c>
      <c r="D10" s="4">
        <v>1</v>
      </c>
      <c r="E10" s="4" t="s">
        <v>430</v>
      </c>
      <c r="F10" s="37">
        <v>2.7930000000000001</v>
      </c>
      <c r="G10" s="1" t="s">
        <v>436</v>
      </c>
      <c r="H10" s="1" t="s">
        <v>13</v>
      </c>
      <c r="I10" s="3" t="s">
        <v>205</v>
      </c>
      <c r="J10" s="22">
        <v>2.6710000000000003</v>
      </c>
      <c r="K10" s="22">
        <v>2.56</v>
      </c>
      <c r="L10" s="22">
        <v>2.97</v>
      </c>
      <c r="M10" s="41"/>
      <c r="N10" s="22">
        <v>2.6739999999999999</v>
      </c>
      <c r="O10" s="22">
        <v>2.6579999999999999</v>
      </c>
      <c r="P10" s="41"/>
      <c r="Q10" s="41"/>
      <c r="S10" s="118"/>
      <c r="T10" s="118"/>
      <c r="U10" s="118"/>
      <c r="V10" s="118"/>
      <c r="W10" s="118"/>
      <c r="X10" s="118"/>
      <c r="Y10" s="118"/>
      <c r="Z10" s="118"/>
      <c r="AA10" s="118"/>
      <c r="AB10" s="118"/>
      <c r="AC10" s="118"/>
      <c r="AD10" s="118"/>
      <c r="AE10" s="118"/>
      <c r="AF10" s="118"/>
      <c r="AG10" s="118"/>
      <c r="AH10" s="118"/>
      <c r="AI10" s="118"/>
    </row>
    <row r="11" spans="1:35">
      <c r="A11" s="1">
        <f t="shared" si="0"/>
        <v>9</v>
      </c>
      <c r="B11" s="2"/>
      <c r="C11" s="4" t="s">
        <v>425</v>
      </c>
      <c r="D11" s="4">
        <v>1</v>
      </c>
      <c r="E11" s="4" t="s">
        <v>430</v>
      </c>
      <c r="F11" s="50">
        <v>3.3159999999999998</v>
      </c>
      <c r="G11" s="1" t="s">
        <v>436</v>
      </c>
      <c r="H11" s="10" t="s">
        <v>111</v>
      </c>
      <c r="I11" s="3" t="s">
        <v>205</v>
      </c>
      <c r="J11" s="22">
        <v>3.2450000000000001</v>
      </c>
      <c r="K11" s="22">
        <v>3.1110000000000002</v>
      </c>
      <c r="L11" s="22">
        <v>3.528</v>
      </c>
      <c r="M11" s="41"/>
      <c r="N11" s="22">
        <v>3.0449999999999999</v>
      </c>
      <c r="O11" s="22">
        <v>3.0449999999999999</v>
      </c>
      <c r="P11" s="41"/>
      <c r="Q11" s="41"/>
      <c r="S11" s="118"/>
      <c r="T11" s="118"/>
      <c r="U11" s="118"/>
      <c r="V11" s="118"/>
      <c r="W11" s="118"/>
      <c r="X11" s="118"/>
      <c r="Y11" s="118"/>
      <c r="Z11" s="118"/>
      <c r="AA11" s="118"/>
      <c r="AB11" s="118"/>
      <c r="AC11" s="118"/>
      <c r="AD11" s="118"/>
      <c r="AE11" s="118"/>
      <c r="AF11" s="118"/>
      <c r="AG11" s="118"/>
      <c r="AH11" s="118"/>
      <c r="AI11" s="118"/>
    </row>
    <row r="12" spans="1:35">
      <c r="A12" s="1">
        <f t="shared" si="0"/>
        <v>10</v>
      </c>
      <c r="B12" s="2"/>
      <c r="C12" s="4" t="s">
        <v>424</v>
      </c>
      <c r="D12" s="4">
        <v>1</v>
      </c>
      <c r="E12" s="4" t="s">
        <v>430</v>
      </c>
      <c r="F12" s="50">
        <v>5.9329999999999998</v>
      </c>
      <c r="G12" s="1" t="s">
        <v>431</v>
      </c>
      <c r="H12" s="10" t="s">
        <v>111</v>
      </c>
      <c r="I12" s="3" t="s">
        <v>205</v>
      </c>
      <c r="J12" s="22">
        <v>5.7519999999999998</v>
      </c>
      <c r="K12" s="22">
        <v>5.9190000000000005</v>
      </c>
      <c r="L12" s="22">
        <v>6.0110000000000001</v>
      </c>
      <c r="M12" s="41"/>
      <c r="N12" s="22">
        <v>6.0469999999999997</v>
      </c>
      <c r="O12" s="22">
        <v>6.0209999999999999</v>
      </c>
      <c r="P12" s="41"/>
      <c r="Q12" s="41"/>
      <c r="S12" s="118"/>
      <c r="T12" s="118"/>
      <c r="U12" s="118"/>
      <c r="V12" s="118"/>
      <c r="W12" s="118"/>
      <c r="X12" s="118"/>
      <c r="Y12" s="118"/>
      <c r="Z12" s="118"/>
      <c r="AA12" s="118"/>
      <c r="AB12" s="118"/>
      <c r="AC12" s="118"/>
      <c r="AD12" s="118"/>
      <c r="AE12" s="118"/>
      <c r="AF12" s="118"/>
      <c r="AG12" s="118"/>
      <c r="AH12" s="118"/>
      <c r="AI12" s="118"/>
    </row>
    <row r="13" spans="1:35">
      <c r="A13" s="1">
        <f t="shared" si="0"/>
        <v>11</v>
      </c>
      <c r="B13" s="2"/>
      <c r="C13" s="4" t="s">
        <v>426</v>
      </c>
      <c r="D13" s="4">
        <v>3</v>
      </c>
      <c r="E13" s="4" t="s">
        <v>430</v>
      </c>
      <c r="F13" s="37">
        <v>2.0630000000000002</v>
      </c>
      <c r="G13" s="1" t="s">
        <v>436</v>
      </c>
      <c r="H13" s="4" t="s">
        <v>13</v>
      </c>
      <c r="I13" s="3" t="s">
        <v>205</v>
      </c>
      <c r="J13" s="22">
        <v>2.1579999999999999</v>
      </c>
      <c r="K13" s="22">
        <v>1.9180000000000001</v>
      </c>
      <c r="L13" s="41"/>
      <c r="M13" s="41"/>
      <c r="N13" s="22">
        <v>1.9870000000000001</v>
      </c>
      <c r="O13" s="22">
        <v>1.9330000000000001</v>
      </c>
      <c r="P13" s="41"/>
      <c r="Q13" s="41"/>
      <c r="S13" s="118"/>
      <c r="T13" s="118"/>
      <c r="U13" s="118"/>
      <c r="V13" s="118"/>
      <c r="W13" s="118"/>
      <c r="X13" s="118"/>
      <c r="Y13" s="118"/>
      <c r="Z13" s="118"/>
      <c r="AA13" s="118"/>
      <c r="AB13" s="118"/>
      <c r="AC13" s="118"/>
      <c r="AD13" s="118"/>
      <c r="AE13" s="118"/>
      <c r="AF13" s="118"/>
      <c r="AG13" s="118"/>
      <c r="AH13" s="118"/>
      <c r="AI13" s="118"/>
    </row>
    <row r="14" spans="1:35">
      <c r="A14" s="1">
        <f>A13+1</f>
        <v>12</v>
      </c>
      <c r="B14" s="2"/>
      <c r="C14" s="4" t="s">
        <v>427</v>
      </c>
      <c r="D14" s="4">
        <v>3</v>
      </c>
      <c r="E14" s="4" t="s">
        <v>430</v>
      </c>
      <c r="F14" s="37">
        <v>2.4710000000000001</v>
      </c>
      <c r="G14" s="1" t="s">
        <v>436</v>
      </c>
      <c r="H14" s="4" t="s">
        <v>13</v>
      </c>
      <c r="I14" s="3" t="s">
        <v>205</v>
      </c>
      <c r="J14" s="22">
        <v>2.4390000000000001</v>
      </c>
      <c r="K14" s="22">
        <v>2.258</v>
      </c>
      <c r="L14" s="41"/>
      <c r="M14" s="41"/>
      <c r="N14" s="22">
        <v>2.367</v>
      </c>
      <c r="O14" s="22">
        <v>2.355</v>
      </c>
      <c r="P14" s="41"/>
      <c r="Q14" s="41"/>
      <c r="S14" s="118"/>
      <c r="T14" s="118"/>
      <c r="U14" s="118"/>
      <c r="V14" s="118"/>
      <c r="W14" s="118"/>
      <c r="X14" s="118"/>
      <c r="Y14" s="118"/>
      <c r="Z14" s="118"/>
      <c r="AA14" s="118"/>
      <c r="AB14" s="118"/>
      <c r="AC14" s="118"/>
      <c r="AD14" s="118"/>
      <c r="AE14" s="118"/>
      <c r="AF14" s="118"/>
      <c r="AG14" s="118"/>
      <c r="AH14" s="118"/>
      <c r="AI14" s="118"/>
    </row>
    <row r="15" spans="1:35">
      <c r="A15" s="1">
        <f t="shared" si="0"/>
        <v>13</v>
      </c>
      <c r="B15" s="2"/>
      <c r="C15" s="4" t="s">
        <v>428</v>
      </c>
      <c r="D15" s="4">
        <v>3</v>
      </c>
      <c r="E15" s="4" t="s">
        <v>430</v>
      </c>
      <c r="F15" s="50">
        <v>2.972</v>
      </c>
      <c r="G15" s="1" t="s">
        <v>431</v>
      </c>
      <c r="H15" s="10" t="s">
        <v>111</v>
      </c>
      <c r="I15" s="3" t="s">
        <v>205</v>
      </c>
      <c r="J15" s="22">
        <v>3.0369999999999999</v>
      </c>
      <c r="K15" s="22">
        <v>2.8380000000000001</v>
      </c>
      <c r="L15" s="41"/>
      <c r="M15" s="41"/>
      <c r="N15" s="22">
        <v>2.7930000000000001</v>
      </c>
      <c r="O15" s="22">
        <v>2.7909999999999999</v>
      </c>
      <c r="P15" s="41"/>
      <c r="Q15" s="41"/>
      <c r="S15" s="118"/>
      <c r="T15" s="118"/>
      <c r="U15" s="118"/>
      <c r="V15" s="118"/>
      <c r="W15" s="118"/>
      <c r="X15" s="118"/>
      <c r="Y15" s="118"/>
      <c r="Z15" s="118"/>
      <c r="AA15" s="118"/>
      <c r="AB15" s="118"/>
      <c r="AC15" s="118"/>
      <c r="AD15" s="118"/>
      <c r="AE15" s="118"/>
      <c r="AF15" s="118"/>
      <c r="AG15" s="118"/>
      <c r="AH15" s="118"/>
      <c r="AI15" s="118"/>
    </row>
    <row r="16" spans="1:35">
      <c r="A16" s="1">
        <f t="shared" si="0"/>
        <v>14</v>
      </c>
      <c r="B16" s="2"/>
      <c r="C16" s="4" t="s">
        <v>427</v>
      </c>
      <c r="D16" s="4">
        <v>3</v>
      </c>
      <c r="E16" s="4" t="s">
        <v>430</v>
      </c>
      <c r="F16" s="50">
        <v>5.8</v>
      </c>
      <c r="G16" s="1" t="s">
        <v>431</v>
      </c>
      <c r="H16" s="10" t="s">
        <v>111</v>
      </c>
      <c r="I16" s="3" t="s">
        <v>205</v>
      </c>
      <c r="J16" s="22">
        <v>5.76</v>
      </c>
      <c r="K16" s="22">
        <v>5.7670000000000003</v>
      </c>
      <c r="L16" s="41"/>
      <c r="M16" s="41"/>
      <c r="N16" s="22">
        <v>5.8250000000000002</v>
      </c>
      <c r="O16" s="22">
        <v>5.79</v>
      </c>
      <c r="P16" s="41"/>
      <c r="Q16" s="41"/>
      <c r="S16" s="118"/>
      <c r="T16" s="118"/>
      <c r="U16" s="118"/>
      <c r="V16" s="118"/>
      <c r="W16" s="118"/>
      <c r="X16" s="118"/>
      <c r="Y16" s="118"/>
      <c r="Z16" s="118"/>
      <c r="AA16" s="118"/>
      <c r="AB16" s="118"/>
      <c r="AC16" s="118"/>
      <c r="AD16" s="118"/>
      <c r="AE16" s="118"/>
      <c r="AF16" s="118"/>
      <c r="AG16" s="118"/>
      <c r="AH16" s="118"/>
      <c r="AI16" s="118"/>
    </row>
    <row r="17" spans="1:35">
      <c r="A17" s="1">
        <f t="shared" si="0"/>
        <v>15</v>
      </c>
      <c r="B17" s="2" t="s">
        <v>437</v>
      </c>
      <c r="C17" s="4" t="s">
        <v>423</v>
      </c>
      <c r="D17" s="4">
        <v>1</v>
      </c>
      <c r="E17" s="4" t="s">
        <v>430</v>
      </c>
      <c r="F17" s="37">
        <v>3.08</v>
      </c>
      <c r="G17" s="1" t="s">
        <v>103</v>
      </c>
      <c r="H17" s="4" t="s">
        <v>13</v>
      </c>
      <c r="I17" s="3" t="s">
        <v>205</v>
      </c>
      <c r="J17" s="22">
        <v>3.12</v>
      </c>
      <c r="K17" s="22">
        <v>2.9279999999999999</v>
      </c>
      <c r="L17" s="22">
        <v>3.222</v>
      </c>
      <c r="M17" s="41"/>
      <c r="N17" s="22">
        <v>3.1429999999999998</v>
      </c>
      <c r="O17" s="22">
        <v>3.0670000000000002</v>
      </c>
      <c r="P17" s="41"/>
      <c r="Q17" s="41"/>
      <c r="S17" s="118"/>
      <c r="T17" s="118"/>
      <c r="U17" s="118"/>
      <c r="V17" s="118"/>
      <c r="W17" s="118"/>
      <c r="X17" s="118"/>
      <c r="Y17" s="118"/>
      <c r="Z17" s="118"/>
      <c r="AA17" s="118"/>
      <c r="AB17" s="118"/>
      <c r="AC17" s="118"/>
      <c r="AD17" s="118"/>
      <c r="AE17" s="118"/>
      <c r="AF17" s="118"/>
      <c r="AG17" s="118"/>
      <c r="AH17" s="118"/>
      <c r="AI17" s="118"/>
    </row>
    <row r="18" spans="1:35">
      <c r="A18" s="1">
        <f t="shared" si="0"/>
        <v>16</v>
      </c>
      <c r="B18" s="2"/>
      <c r="C18" s="4" t="s">
        <v>425</v>
      </c>
      <c r="D18" s="4">
        <v>1</v>
      </c>
      <c r="E18" s="4" t="s">
        <v>430</v>
      </c>
      <c r="F18" s="50">
        <v>3.754</v>
      </c>
      <c r="G18" s="1" t="s">
        <v>438</v>
      </c>
      <c r="H18" s="10" t="s">
        <v>111</v>
      </c>
      <c r="I18" s="3" t="s">
        <v>205</v>
      </c>
      <c r="J18" s="22">
        <v>3.7429999999999999</v>
      </c>
      <c r="K18" s="22">
        <v>3.593</v>
      </c>
      <c r="L18" s="22">
        <v>4.1100000000000003</v>
      </c>
      <c r="M18" s="22">
        <v>3.754</v>
      </c>
      <c r="N18" s="22">
        <v>3.6139999999999999</v>
      </c>
      <c r="O18" s="22">
        <v>3.6419999999999999</v>
      </c>
      <c r="P18" s="41"/>
      <c r="Q18" s="41"/>
      <c r="S18" s="118"/>
      <c r="T18" s="118"/>
      <c r="U18" s="118"/>
      <c r="V18" s="118"/>
      <c r="W18" s="118"/>
      <c r="X18" s="118"/>
      <c r="Y18" s="118"/>
      <c r="Z18" s="118"/>
      <c r="AA18" s="118"/>
      <c r="AB18" s="118"/>
      <c r="AC18" s="118"/>
      <c r="AD18" s="118"/>
      <c r="AE18" s="118"/>
      <c r="AF18" s="118"/>
      <c r="AG18" s="118"/>
      <c r="AH18" s="118"/>
      <c r="AI18" s="118"/>
    </row>
    <row r="19" spans="1:35">
      <c r="A19" s="1">
        <f t="shared" si="0"/>
        <v>17</v>
      </c>
      <c r="B19" s="2"/>
      <c r="C19" s="4" t="s">
        <v>424</v>
      </c>
      <c r="D19" s="4">
        <v>1</v>
      </c>
      <c r="E19" s="4" t="s">
        <v>430</v>
      </c>
      <c r="F19" s="37">
        <v>3.8290000000000002</v>
      </c>
      <c r="G19" s="1" t="s">
        <v>103</v>
      </c>
      <c r="H19" s="1" t="s">
        <v>13</v>
      </c>
      <c r="I19" s="3" t="s">
        <v>205</v>
      </c>
      <c r="J19" s="22">
        <v>3.7</v>
      </c>
      <c r="K19" s="22">
        <v>3.58</v>
      </c>
      <c r="L19" s="22">
        <v>4.1020000000000003</v>
      </c>
      <c r="M19" s="22">
        <v>3.746</v>
      </c>
      <c r="N19" s="22">
        <v>3.6230000000000002</v>
      </c>
      <c r="O19" s="22">
        <v>3.6520000000000001</v>
      </c>
      <c r="P19" s="41"/>
      <c r="Q19" s="41"/>
      <c r="S19" s="118"/>
      <c r="T19" s="118"/>
      <c r="U19" s="118"/>
      <c r="V19" s="118"/>
      <c r="W19" s="118"/>
      <c r="X19" s="118"/>
      <c r="Y19" s="118"/>
      <c r="Z19" s="118"/>
      <c r="AA19" s="118"/>
      <c r="AB19" s="118"/>
      <c r="AC19" s="118"/>
      <c r="AD19" s="118"/>
      <c r="AE19" s="118"/>
      <c r="AF19" s="118"/>
      <c r="AG19" s="118"/>
      <c r="AH19" s="118"/>
      <c r="AI19" s="118"/>
    </row>
    <row r="20" spans="1:35">
      <c r="A20" s="1">
        <f t="shared" si="0"/>
        <v>18</v>
      </c>
      <c r="B20" s="2"/>
      <c r="C20" s="4" t="s">
        <v>424</v>
      </c>
      <c r="D20" s="4">
        <v>1</v>
      </c>
      <c r="E20" s="4" t="s">
        <v>430</v>
      </c>
      <c r="F20" s="50">
        <v>5.4969999999999999</v>
      </c>
      <c r="G20" s="1" t="s">
        <v>438</v>
      </c>
      <c r="H20" s="10" t="s">
        <v>111</v>
      </c>
      <c r="I20" s="3" t="s">
        <v>205</v>
      </c>
      <c r="J20" s="22">
        <v>5.5570000000000004</v>
      </c>
      <c r="K20" s="22">
        <v>5.41</v>
      </c>
      <c r="L20" s="22">
        <v>5.6859999999999999</v>
      </c>
      <c r="M20" s="41"/>
      <c r="N20" s="22">
        <v>5.4489999999999998</v>
      </c>
      <c r="O20" s="22">
        <v>5.26</v>
      </c>
      <c r="P20" s="41"/>
      <c r="Q20" s="41"/>
      <c r="S20" s="118"/>
      <c r="T20" s="118"/>
      <c r="U20" s="118"/>
      <c r="V20" s="118"/>
      <c r="W20" s="118"/>
      <c r="X20" s="118"/>
      <c r="Y20" s="118"/>
      <c r="Z20" s="118"/>
      <c r="AA20" s="118"/>
      <c r="AB20" s="118"/>
      <c r="AC20" s="118"/>
      <c r="AD20" s="118"/>
      <c r="AE20" s="118"/>
      <c r="AF20" s="118"/>
      <c r="AG20" s="118"/>
      <c r="AH20" s="118"/>
      <c r="AI20" s="118"/>
    </row>
    <row r="21" spans="1:35">
      <c r="A21" s="1">
        <f t="shared" si="0"/>
        <v>19</v>
      </c>
      <c r="B21" s="2"/>
      <c r="C21" s="4" t="s">
        <v>423</v>
      </c>
      <c r="D21" s="4">
        <v>1</v>
      </c>
      <c r="E21" s="4" t="s">
        <v>430</v>
      </c>
      <c r="F21" s="50">
        <v>5.7510000000000003</v>
      </c>
      <c r="G21" s="1" t="s">
        <v>438</v>
      </c>
      <c r="H21" s="10" t="s">
        <v>111</v>
      </c>
      <c r="I21" s="3" t="s">
        <v>205</v>
      </c>
      <c r="J21" s="22">
        <v>5.6180000000000003</v>
      </c>
      <c r="K21" s="22">
        <v>5.6820000000000004</v>
      </c>
      <c r="L21" s="22">
        <v>5.9219999999999997</v>
      </c>
      <c r="M21" s="41"/>
      <c r="N21" s="22">
        <v>6.0380000000000003</v>
      </c>
      <c r="O21" s="22">
        <v>5.9320000000000004</v>
      </c>
      <c r="P21" s="41"/>
      <c r="Q21" s="41"/>
      <c r="S21" s="118"/>
      <c r="T21" s="118"/>
      <c r="U21" s="118"/>
      <c r="V21" s="118"/>
      <c r="W21" s="118"/>
      <c r="X21" s="118"/>
      <c r="Y21" s="118"/>
      <c r="Z21" s="118"/>
      <c r="AA21" s="118"/>
      <c r="AB21" s="118"/>
      <c r="AC21" s="118"/>
      <c r="AD21" s="118"/>
      <c r="AE21" s="118"/>
      <c r="AF21" s="118"/>
      <c r="AG21" s="118"/>
      <c r="AH21" s="118"/>
      <c r="AI21" s="118"/>
    </row>
    <row r="22" spans="1:35">
      <c r="A22" s="1">
        <f t="shared" si="0"/>
        <v>20</v>
      </c>
      <c r="B22" s="2"/>
      <c r="C22" s="4" t="s">
        <v>426</v>
      </c>
      <c r="D22" s="4">
        <v>3</v>
      </c>
      <c r="E22" s="4" t="s">
        <v>430</v>
      </c>
      <c r="F22" s="37">
        <v>2.5499999999999998</v>
      </c>
      <c r="G22" s="1" t="s">
        <v>436</v>
      </c>
      <c r="H22" s="1" t="s">
        <v>13</v>
      </c>
      <c r="I22" s="3" t="s">
        <v>205</v>
      </c>
      <c r="J22" s="22">
        <v>2.6259999999999999</v>
      </c>
      <c r="K22" s="22">
        <v>2.4390000000000001</v>
      </c>
      <c r="L22" s="41"/>
      <c r="M22" s="41"/>
      <c r="N22" s="22">
        <v>2.5720000000000001</v>
      </c>
      <c r="O22" s="22">
        <v>2.5070000000000001</v>
      </c>
      <c r="P22" s="41"/>
      <c r="Q22" s="41"/>
      <c r="S22" s="118"/>
      <c r="T22" s="118"/>
      <c r="U22" s="118"/>
      <c r="V22" s="118"/>
      <c r="W22" s="118"/>
      <c r="X22" s="118"/>
      <c r="Y22" s="118"/>
      <c r="Z22" s="118"/>
      <c r="AA22" s="118"/>
      <c r="AB22" s="118"/>
      <c r="AC22" s="118"/>
      <c r="AD22" s="118"/>
      <c r="AE22" s="118"/>
      <c r="AF22" s="118"/>
      <c r="AG22" s="118"/>
      <c r="AH22" s="118"/>
      <c r="AI22" s="118"/>
    </row>
    <row r="23" spans="1:35">
      <c r="A23" s="1">
        <f t="shared" si="0"/>
        <v>21</v>
      </c>
      <c r="B23" s="2"/>
      <c r="C23" s="4" t="s">
        <v>427</v>
      </c>
      <c r="D23" s="4">
        <v>3</v>
      </c>
      <c r="E23" s="4" t="s">
        <v>430</v>
      </c>
      <c r="F23" s="37">
        <v>3.5819999999999999</v>
      </c>
      <c r="G23" s="1" t="s">
        <v>436</v>
      </c>
      <c r="H23" s="1" t="s">
        <v>13</v>
      </c>
      <c r="I23" s="3" t="s">
        <v>205</v>
      </c>
      <c r="J23" s="22">
        <v>3.508</v>
      </c>
      <c r="K23" s="22">
        <v>3.327</v>
      </c>
      <c r="L23" s="41"/>
      <c r="M23" s="41"/>
      <c r="N23" s="22">
        <v>3.3929999999999998</v>
      </c>
      <c r="O23" s="22">
        <v>3.4279999999999999</v>
      </c>
      <c r="P23" s="41"/>
      <c r="Q23" s="41"/>
      <c r="S23" s="118"/>
      <c r="T23" s="118"/>
      <c r="U23" s="118"/>
      <c r="V23" s="118"/>
      <c r="W23" s="118"/>
      <c r="X23" s="118"/>
      <c r="Y23" s="118"/>
      <c r="Z23" s="118"/>
      <c r="AA23" s="118"/>
      <c r="AB23" s="118"/>
      <c r="AC23" s="118"/>
      <c r="AD23" s="118"/>
      <c r="AE23" s="118"/>
      <c r="AF23" s="118"/>
      <c r="AG23" s="118"/>
      <c r="AH23" s="118"/>
      <c r="AI23" s="118"/>
    </row>
    <row r="24" spans="1:35">
      <c r="A24" s="1">
        <f t="shared" si="0"/>
        <v>22</v>
      </c>
      <c r="B24" s="2"/>
      <c r="C24" s="4" t="s">
        <v>428</v>
      </c>
      <c r="D24" s="4">
        <v>3</v>
      </c>
      <c r="E24" s="4" t="s">
        <v>430</v>
      </c>
      <c r="F24" s="50">
        <v>3.6179999999999999</v>
      </c>
      <c r="G24" s="1" t="s">
        <v>431</v>
      </c>
      <c r="H24" s="10" t="s">
        <v>111</v>
      </c>
      <c r="I24" s="3" t="s">
        <v>205</v>
      </c>
      <c r="J24" s="22">
        <v>3.6310000000000002</v>
      </c>
      <c r="K24" s="22">
        <v>3.4319999999999999</v>
      </c>
      <c r="L24" s="41"/>
      <c r="M24" s="41"/>
      <c r="N24" s="22">
        <v>3.4790000000000001</v>
      </c>
      <c r="O24" s="22">
        <v>3.5089999999999999</v>
      </c>
      <c r="P24" s="41"/>
      <c r="Q24" s="41"/>
      <c r="S24" s="118"/>
      <c r="T24" s="118"/>
      <c r="U24" s="118"/>
      <c r="V24" s="118"/>
      <c r="W24" s="118"/>
      <c r="X24" s="118"/>
      <c r="Y24" s="118"/>
      <c r="Z24" s="118"/>
      <c r="AA24" s="118"/>
      <c r="AB24" s="118"/>
      <c r="AC24" s="118"/>
      <c r="AD24" s="118"/>
      <c r="AE24" s="118"/>
      <c r="AF24" s="118"/>
      <c r="AG24" s="118"/>
      <c r="AH24" s="118"/>
      <c r="AI24" s="118"/>
    </row>
    <row r="25" spans="1:35">
      <c r="A25" s="1">
        <f t="shared" si="0"/>
        <v>23</v>
      </c>
      <c r="B25" s="2"/>
      <c r="C25" s="4" t="s">
        <v>427</v>
      </c>
      <c r="D25" s="4">
        <v>3</v>
      </c>
      <c r="E25" s="4" t="s">
        <v>430</v>
      </c>
      <c r="F25" s="50">
        <v>4.8170000000000002</v>
      </c>
      <c r="G25" s="1" t="s">
        <v>431</v>
      </c>
      <c r="H25" s="10" t="s">
        <v>111</v>
      </c>
      <c r="I25" s="3" t="s">
        <v>205</v>
      </c>
      <c r="J25" s="22">
        <v>4.9000000000000004</v>
      </c>
      <c r="K25" s="22">
        <v>4.7160000000000002</v>
      </c>
      <c r="L25" s="41"/>
      <c r="M25" s="41"/>
      <c r="N25" s="22">
        <v>4.7460000000000004</v>
      </c>
      <c r="O25" s="22">
        <v>4.6509999999999998</v>
      </c>
      <c r="P25" s="41"/>
      <c r="Q25" s="41"/>
      <c r="S25" s="118"/>
      <c r="T25" s="118"/>
      <c r="U25" s="118"/>
      <c r="V25" s="118"/>
      <c r="W25" s="118"/>
      <c r="X25" s="118"/>
      <c r="Y25" s="118"/>
      <c r="Z25" s="118"/>
      <c r="AA25" s="118"/>
      <c r="AB25" s="118"/>
      <c r="AC25" s="118"/>
      <c r="AD25" s="118"/>
      <c r="AE25" s="118"/>
      <c r="AF25" s="118"/>
      <c r="AG25" s="118"/>
      <c r="AH25" s="118"/>
      <c r="AI25" s="118"/>
    </row>
    <row r="26" spans="1:35">
      <c r="A26" s="1">
        <f t="shared" si="0"/>
        <v>24</v>
      </c>
      <c r="B26" s="2" t="s">
        <v>439</v>
      </c>
      <c r="C26" s="4" t="s">
        <v>425</v>
      </c>
      <c r="D26" s="4">
        <v>1</v>
      </c>
      <c r="E26" s="4" t="s">
        <v>441</v>
      </c>
      <c r="F26" s="37">
        <v>0.90300000000000002</v>
      </c>
      <c r="G26" s="1" t="s">
        <v>103</v>
      </c>
      <c r="H26" s="1" t="s">
        <v>13</v>
      </c>
      <c r="I26" s="3" t="s">
        <v>205</v>
      </c>
      <c r="J26" s="22">
        <v>0.92500000000000004</v>
      </c>
      <c r="K26" s="22">
        <v>0.86299999999999999</v>
      </c>
      <c r="L26" s="22">
        <v>0.91900000000000004</v>
      </c>
      <c r="M26" s="22">
        <v>0.89</v>
      </c>
      <c r="N26" s="22">
        <v>0.55400000000000005</v>
      </c>
      <c r="O26" s="22">
        <v>0.55000000000000004</v>
      </c>
      <c r="P26" s="22">
        <v>0.56800000000000006</v>
      </c>
      <c r="Q26" s="22">
        <v>0.58399999999999996</v>
      </c>
      <c r="S26" s="118"/>
      <c r="T26" s="118"/>
      <c r="U26" s="118"/>
      <c r="V26" s="118"/>
      <c r="W26" s="118"/>
      <c r="X26" s="118"/>
      <c r="Y26" s="118"/>
      <c r="Z26" s="118"/>
      <c r="AA26" s="118"/>
      <c r="AB26" s="118"/>
      <c r="AC26" s="118"/>
      <c r="AD26" s="118"/>
      <c r="AE26" s="118"/>
      <c r="AF26" s="118"/>
      <c r="AG26" s="118"/>
      <c r="AH26" s="118"/>
      <c r="AI26" s="118"/>
    </row>
    <row r="27" spans="1:35">
      <c r="A27" s="1">
        <f t="shared" si="0"/>
        <v>25</v>
      </c>
      <c r="B27" s="2"/>
      <c r="C27" s="4" t="s">
        <v>424</v>
      </c>
      <c r="D27" s="4">
        <v>1</v>
      </c>
      <c r="E27" s="4" t="s">
        <v>441</v>
      </c>
      <c r="F27" s="37">
        <v>1.671</v>
      </c>
      <c r="G27" s="1" t="s">
        <v>442</v>
      </c>
      <c r="H27" s="1" t="s">
        <v>13</v>
      </c>
      <c r="I27" s="3" t="s">
        <v>205</v>
      </c>
      <c r="J27" s="22">
        <v>1.698</v>
      </c>
      <c r="K27" s="22">
        <v>1.6480000000000001</v>
      </c>
      <c r="L27" s="22">
        <v>1.6760000000000002</v>
      </c>
      <c r="M27" s="22">
        <v>1.661</v>
      </c>
      <c r="N27" s="22">
        <v>1.3440000000000001</v>
      </c>
      <c r="O27" s="22">
        <v>1.3180000000000001</v>
      </c>
      <c r="P27" s="22">
        <v>1.3940000000000001</v>
      </c>
      <c r="Q27" s="22">
        <v>1.409</v>
      </c>
      <c r="S27" s="118"/>
      <c r="T27" s="118"/>
      <c r="U27" s="118"/>
      <c r="V27" s="118"/>
      <c r="W27" s="118"/>
      <c r="X27" s="118"/>
      <c r="Y27" s="118"/>
      <c r="Z27" s="118"/>
      <c r="AA27" s="118"/>
      <c r="AB27" s="118"/>
      <c r="AC27" s="118"/>
      <c r="AD27" s="118"/>
      <c r="AE27" s="118"/>
      <c r="AF27" s="118"/>
      <c r="AG27" s="118"/>
      <c r="AH27" s="118"/>
      <c r="AI27" s="118"/>
    </row>
    <row r="28" spans="1:35">
      <c r="A28" s="1">
        <f t="shared" si="0"/>
        <v>26</v>
      </c>
      <c r="B28" s="2"/>
      <c r="C28" s="4" t="s">
        <v>423</v>
      </c>
      <c r="D28" s="4">
        <v>1</v>
      </c>
      <c r="E28" s="4" t="s">
        <v>441</v>
      </c>
      <c r="F28" s="37">
        <v>2.4039999999999999</v>
      </c>
      <c r="G28" s="7" t="s">
        <v>438</v>
      </c>
      <c r="H28" s="1" t="s">
        <v>13</v>
      </c>
      <c r="I28" s="3" t="s">
        <v>205</v>
      </c>
      <c r="J28" s="22">
        <v>2.4369999999999998</v>
      </c>
      <c r="K28" s="22">
        <v>2.41</v>
      </c>
      <c r="L28" s="22">
        <v>2.4079999999999999</v>
      </c>
      <c r="M28" s="41"/>
      <c r="N28" s="22">
        <v>2.3660000000000001</v>
      </c>
      <c r="O28" s="22">
        <v>2.278</v>
      </c>
      <c r="P28" s="22">
        <v>2.39</v>
      </c>
      <c r="Q28" s="22">
        <v>2.3820000000000001</v>
      </c>
      <c r="S28" s="118"/>
      <c r="T28" s="118"/>
      <c r="U28" s="118"/>
      <c r="V28" s="118"/>
      <c r="W28" s="118"/>
      <c r="X28" s="118"/>
      <c r="Y28" s="118"/>
      <c r="Z28" s="118"/>
      <c r="AA28" s="118"/>
      <c r="AB28" s="118"/>
      <c r="AC28" s="118"/>
      <c r="AD28" s="118"/>
      <c r="AE28" s="118"/>
      <c r="AF28" s="118"/>
      <c r="AG28" s="118"/>
      <c r="AH28" s="118"/>
      <c r="AI28" s="118"/>
    </row>
    <row r="29" spans="1:35">
      <c r="A29" s="1">
        <f t="shared" si="0"/>
        <v>27</v>
      </c>
      <c r="B29" s="2"/>
      <c r="C29" s="4" t="s">
        <v>424</v>
      </c>
      <c r="D29" s="4">
        <v>1</v>
      </c>
      <c r="E29" s="4" t="s">
        <v>121</v>
      </c>
      <c r="F29" s="37">
        <v>2.8369999999999997</v>
      </c>
      <c r="G29" s="7" t="s">
        <v>438</v>
      </c>
      <c r="H29" s="1" t="s">
        <v>13</v>
      </c>
      <c r="I29" s="3" t="s">
        <v>205</v>
      </c>
      <c r="J29" s="22">
        <v>2.8839999999999999</v>
      </c>
      <c r="K29" s="22">
        <v>2.84</v>
      </c>
      <c r="L29" s="22">
        <v>2.8540000000000001</v>
      </c>
      <c r="M29" s="41"/>
      <c r="N29" s="22">
        <v>2.4780000000000002</v>
      </c>
      <c r="O29" s="22">
        <v>2.4209999999999998</v>
      </c>
      <c r="P29" s="22">
        <v>2.56</v>
      </c>
      <c r="Q29" s="22">
        <v>2.569</v>
      </c>
      <c r="S29" s="118"/>
      <c r="T29" s="118"/>
      <c r="U29" s="118"/>
      <c r="V29" s="118"/>
      <c r="W29" s="118"/>
      <c r="X29" s="118"/>
      <c r="Y29" s="118"/>
      <c r="Z29" s="118"/>
      <c r="AA29" s="118"/>
      <c r="AB29" s="118"/>
      <c r="AC29" s="118"/>
      <c r="AD29" s="118"/>
      <c r="AE29" s="118"/>
      <c r="AF29" s="118"/>
      <c r="AG29" s="118"/>
      <c r="AH29" s="118"/>
      <c r="AI29" s="118"/>
    </row>
    <row r="30" spans="1:35">
      <c r="A30" s="1">
        <f t="shared" si="0"/>
        <v>28</v>
      </c>
      <c r="B30" s="2"/>
      <c r="C30" s="4" t="s">
        <v>428</v>
      </c>
      <c r="D30" s="4">
        <v>3</v>
      </c>
      <c r="E30" s="4" t="s">
        <v>441</v>
      </c>
      <c r="F30" s="37">
        <v>0.64700000000000002</v>
      </c>
      <c r="G30" s="1" t="s">
        <v>103</v>
      </c>
      <c r="H30" s="1" t="s">
        <v>13</v>
      </c>
      <c r="I30" s="3" t="s">
        <v>205</v>
      </c>
      <c r="J30" s="22">
        <v>0.66500000000000004</v>
      </c>
      <c r="K30" s="22">
        <v>0.60599999999999998</v>
      </c>
      <c r="L30" s="41"/>
      <c r="M30" s="41"/>
      <c r="N30" s="22">
        <v>0.29199999999999998</v>
      </c>
      <c r="O30" s="22">
        <v>0.28800000000000003</v>
      </c>
      <c r="P30" s="22">
        <v>0.312</v>
      </c>
      <c r="Q30" s="22">
        <v>0.318</v>
      </c>
      <c r="S30" s="118"/>
      <c r="T30" s="118"/>
      <c r="U30" s="118"/>
      <c r="V30" s="118"/>
      <c r="W30" s="118"/>
      <c r="X30" s="118"/>
      <c r="Y30" s="118"/>
      <c r="Z30" s="118"/>
      <c r="AA30" s="118"/>
      <c r="AB30" s="118"/>
      <c r="AC30" s="118"/>
      <c r="AD30" s="118"/>
      <c r="AE30" s="118"/>
      <c r="AF30" s="118"/>
      <c r="AG30" s="118"/>
      <c r="AH30" s="118"/>
      <c r="AI30" s="118"/>
    </row>
    <row r="31" spans="1:35">
      <c r="A31" s="1">
        <f t="shared" si="0"/>
        <v>29</v>
      </c>
      <c r="B31" s="2"/>
      <c r="C31" s="4" t="s">
        <v>427</v>
      </c>
      <c r="D31" s="4">
        <v>3</v>
      </c>
      <c r="E31" s="4" t="s">
        <v>441</v>
      </c>
      <c r="F31" s="37">
        <v>1.109</v>
      </c>
      <c r="G31" s="1" t="s">
        <v>443</v>
      </c>
      <c r="H31" s="1" t="s">
        <v>13</v>
      </c>
      <c r="I31" s="3" t="s">
        <v>205</v>
      </c>
      <c r="J31" s="22">
        <v>1.1219999999999999</v>
      </c>
      <c r="K31" s="22">
        <v>1.089</v>
      </c>
      <c r="L31" s="41"/>
      <c r="M31" s="41"/>
      <c r="N31" s="22">
        <v>0.89600000000000002</v>
      </c>
      <c r="O31" s="22">
        <v>0.88500000000000001</v>
      </c>
      <c r="P31" s="22">
        <v>0.92800000000000005</v>
      </c>
      <c r="Q31" s="22">
        <v>0.93300000000000005</v>
      </c>
      <c r="S31" s="118"/>
      <c r="T31" s="118"/>
      <c r="U31" s="118"/>
      <c r="V31" s="118"/>
      <c r="W31" s="118"/>
      <c r="X31" s="118"/>
      <c r="Y31" s="118"/>
      <c r="Z31" s="118"/>
      <c r="AA31" s="118"/>
      <c r="AB31" s="118"/>
      <c r="AC31" s="118"/>
      <c r="AD31" s="118"/>
      <c r="AE31" s="118"/>
      <c r="AF31" s="118"/>
      <c r="AG31" s="118"/>
      <c r="AH31" s="118"/>
      <c r="AI31" s="118"/>
    </row>
    <row r="32" spans="1:35">
      <c r="A32" s="1">
        <f t="shared" si="0"/>
        <v>30</v>
      </c>
      <c r="B32" s="2"/>
      <c r="C32" s="4" t="s">
        <v>426</v>
      </c>
      <c r="D32" s="4">
        <v>3</v>
      </c>
      <c r="E32" s="4" t="s">
        <v>441</v>
      </c>
      <c r="F32" s="120">
        <v>1.4590000000000001</v>
      </c>
      <c r="G32" s="1" t="s">
        <v>444</v>
      </c>
      <c r="H32" s="1" t="s">
        <v>13</v>
      </c>
      <c r="I32" s="3" t="s">
        <v>205</v>
      </c>
      <c r="J32" s="22">
        <v>1.4710000000000001</v>
      </c>
      <c r="K32" s="22">
        <v>1.452</v>
      </c>
      <c r="L32" s="41"/>
      <c r="M32" s="41"/>
      <c r="N32" s="22">
        <v>1.389</v>
      </c>
      <c r="O32" s="22">
        <v>1.3660000000000001</v>
      </c>
      <c r="P32" s="22">
        <v>1.3959999999999999</v>
      </c>
      <c r="Q32" s="22">
        <v>1.4079999999999999</v>
      </c>
      <c r="S32" s="118"/>
      <c r="T32" s="118"/>
      <c r="U32" s="118"/>
      <c r="V32" s="118"/>
      <c r="W32" s="118"/>
      <c r="X32" s="118"/>
      <c r="Y32" s="118"/>
      <c r="Z32" s="118"/>
      <c r="AA32" s="118"/>
      <c r="AB32" s="118"/>
      <c r="AC32" s="118"/>
      <c r="AD32" s="118"/>
      <c r="AE32" s="118"/>
      <c r="AF32" s="118"/>
      <c r="AG32" s="118"/>
      <c r="AH32" s="118"/>
      <c r="AI32" s="118"/>
    </row>
    <row r="33" spans="1:35">
      <c r="A33" s="1">
        <f t="shared" si="0"/>
        <v>31</v>
      </c>
      <c r="B33" s="2"/>
      <c r="C33" s="4" t="s">
        <v>427</v>
      </c>
      <c r="D33" s="4">
        <v>3</v>
      </c>
      <c r="E33" s="4" t="s">
        <v>121</v>
      </c>
      <c r="F33" s="120">
        <v>2.593</v>
      </c>
      <c r="G33" s="1" t="s">
        <v>444</v>
      </c>
      <c r="H33" s="1" t="s">
        <v>13</v>
      </c>
      <c r="I33" s="3" t="s">
        <v>205</v>
      </c>
      <c r="J33" s="22">
        <v>2.6640000000000001</v>
      </c>
      <c r="K33" s="22">
        <v>2.593</v>
      </c>
      <c r="L33" s="41"/>
      <c r="M33" s="41"/>
      <c r="N33" s="22">
        <v>2.4220000000000002</v>
      </c>
      <c r="O33" s="22">
        <v>2.3929999999999998</v>
      </c>
      <c r="P33" s="22">
        <v>2.496</v>
      </c>
      <c r="Q33" s="22">
        <v>2.5030000000000001</v>
      </c>
      <c r="S33" s="118"/>
      <c r="T33" s="118"/>
      <c r="U33" s="118"/>
      <c r="V33" s="118"/>
      <c r="W33" s="118"/>
      <c r="X33" s="118"/>
      <c r="Y33" s="118"/>
      <c r="Z33" s="118"/>
      <c r="AA33" s="118"/>
      <c r="AB33" s="118"/>
      <c r="AC33" s="118"/>
      <c r="AD33" s="118"/>
      <c r="AE33" s="118"/>
      <c r="AF33" s="118"/>
      <c r="AG33" s="118"/>
      <c r="AH33" s="118"/>
      <c r="AI33" s="118"/>
    </row>
    <row r="34" spans="1:35">
      <c r="A34" s="1">
        <f t="shared" si="0"/>
        <v>32</v>
      </c>
      <c r="B34" s="2" t="s">
        <v>440</v>
      </c>
      <c r="C34" s="4" t="s">
        <v>425</v>
      </c>
      <c r="D34" s="4">
        <v>1</v>
      </c>
      <c r="E34" s="4" t="s">
        <v>441</v>
      </c>
      <c r="F34" s="120">
        <v>0.67200000000000004</v>
      </c>
      <c r="G34" s="7" t="s">
        <v>438</v>
      </c>
      <c r="H34" s="1" t="s">
        <v>13</v>
      </c>
      <c r="I34" s="3" t="s">
        <v>205</v>
      </c>
      <c r="J34" s="22">
        <v>0.69800000000000006</v>
      </c>
      <c r="K34" s="22">
        <v>0.67200000000000004</v>
      </c>
      <c r="L34" s="22">
        <v>0.67100000000000004</v>
      </c>
      <c r="M34" s="41"/>
      <c r="N34" s="22">
        <v>0.51500000000000001</v>
      </c>
      <c r="O34" s="22">
        <v>0.51400000000000001</v>
      </c>
      <c r="P34" s="22">
        <v>0.53200000000000003</v>
      </c>
      <c r="Q34" s="22">
        <v>0.53500000000000003</v>
      </c>
      <c r="S34" s="118"/>
      <c r="T34" s="118"/>
      <c r="U34" s="118"/>
      <c r="V34" s="118"/>
      <c r="W34" s="118"/>
      <c r="X34" s="118"/>
      <c r="Y34" s="118"/>
      <c r="Z34" s="118"/>
      <c r="AA34" s="118"/>
      <c r="AB34" s="118"/>
      <c r="AC34" s="118"/>
      <c r="AD34" s="118"/>
      <c r="AE34" s="118"/>
      <c r="AF34" s="118"/>
      <c r="AG34" s="118"/>
      <c r="AH34" s="118"/>
      <c r="AI34" s="118"/>
    </row>
    <row r="35" spans="1:35">
      <c r="A35" s="1">
        <f t="shared" si="0"/>
        <v>33</v>
      </c>
      <c r="B35" s="2"/>
      <c r="C35" s="4" t="s">
        <v>424</v>
      </c>
      <c r="D35" s="4">
        <v>1</v>
      </c>
      <c r="E35" s="4" t="s">
        <v>441</v>
      </c>
      <c r="F35" s="120">
        <v>0.875</v>
      </c>
      <c r="G35" s="7" t="s">
        <v>438</v>
      </c>
      <c r="H35" s="1" t="s">
        <v>13</v>
      </c>
      <c r="I35" s="3" t="s">
        <v>205</v>
      </c>
      <c r="J35" s="22">
        <v>0.89</v>
      </c>
      <c r="K35" s="22">
        <v>0.874</v>
      </c>
      <c r="L35" s="22">
        <v>0.875</v>
      </c>
      <c r="M35" s="41"/>
      <c r="N35" s="22">
        <v>0.76400000000000001</v>
      </c>
      <c r="O35" s="22">
        <v>0.74199999999999999</v>
      </c>
      <c r="P35" s="22">
        <v>0.77400000000000002</v>
      </c>
      <c r="Q35" s="22">
        <v>0.76900000000000002</v>
      </c>
      <c r="S35" s="118"/>
      <c r="T35" s="118"/>
      <c r="U35" s="118"/>
      <c r="V35" s="118"/>
      <c r="W35" s="118"/>
      <c r="X35" s="118"/>
      <c r="Y35" s="118"/>
      <c r="Z35" s="118"/>
      <c r="AA35" s="118"/>
      <c r="AB35" s="118"/>
      <c r="AC35" s="118"/>
      <c r="AD35" s="118"/>
      <c r="AE35" s="118"/>
      <c r="AF35" s="118"/>
      <c r="AG35" s="118"/>
      <c r="AH35" s="118"/>
      <c r="AI35" s="118"/>
    </row>
    <row r="36" spans="1:35">
      <c r="A36" s="1">
        <f t="shared" si="0"/>
        <v>34</v>
      </c>
      <c r="B36" s="2"/>
      <c r="C36" s="4" t="s">
        <v>423</v>
      </c>
      <c r="D36" s="4">
        <v>1</v>
      </c>
      <c r="E36" s="4" t="s">
        <v>441</v>
      </c>
      <c r="F36" s="120">
        <v>1.845</v>
      </c>
      <c r="G36" s="7" t="s">
        <v>438</v>
      </c>
      <c r="H36" s="1" t="s">
        <v>13</v>
      </c>
      <c r="I36" s="3" t="s">
        <v>205</v>
      </c>
      <c r="J36" s="22">
        <v>1.9</v>
      </c>
      <c r="K36" s="22">
        <v>1.8559999999999999</v>
      </c>
      <c r="L36" s="22">
        <v>1.8479999999999999</v>
      </c>
      <c r="M36" s="41"/>
      <c r="N36" s="22">
        <v>2.04</v>
      </c>
      <c r="O36" s="22">
        <v>1.92</v>
      </c>
      <c r="P36" s="22">
        <v>2.0030000000000001</v>
      </c>
      <c r="Q36" s="22">
        <v>1.9830000000000001</v>
      </c>
      <c r="S36" s="118"/>
      <c r="T36" s="118"/>
      <c r="U36" s="118"/>
      <c r="V36" s="118"/>
      <c r="W36" s="118"/>
      <c r="X36" s="118"/>
      <c r="Y36" s="118"/>
      <c r="Z36" s="118"/>
      <c r="AA36" s="118"/>
      <c r="AB36" s="118"/>
      <c r="AC36" s="118"/>
      <c r="AD36" s="118"/>
      <c r="AE36" s="118"/>
      <c r="AF36" s="118"/>
      <c r="AG36" s="118"/>
      <c r="AH36" s="118"/>
      <c r="AI36" s="118"/>
    </row>
    <row r="37" spans="1:35">
      <c r="A37" s="1">
        <f t="shared" si="0"/>
        <v>35</v>
      </c>
      <c r="B37" s="2"/>
      <c r="C37" s="4" t="s">
        <v>424</v>
      </c>
      <c r="D37" s="4">
        <v>1</v>
      </c>
      <c r="E37" s="4" t="s">
        <v>121</v>
      </c>
      <c r="F37" s="120">
        <v>2.2149999999999999</v>
      </c>
      <c r="G37" s="7" t="s">
        <v>438</v>
      </c>
      <c r="H37" s="1" t="s">
        <v>13</v>
      </c>
      <c r="I37" s="3" t="s">
        <v>205</v>
      </c>
      <c r="J37" s="22">
        <v>2.331</v>
      </c>
      <c r="K37" s="22">
        <v>2.2330000000000001</v>
      </c>
      <c r="L37" s="22">
        <v>2.2189999999999999</v>
      </c>
      <c r="M37" s="41"/>
      <c r="N37" s="22">
        <v>2.129</v>
      </c>
      <c r="O37" s="22">
        <v>2.077</v>
      </c>
      <c r="P37" s="22">
        <v>2.153</v>
      </c>
      <c r="Q37" s="22">
        <v>2.149</v>
      </c>
      <c r="S37" s="118"/>
      <c r="T37" s="118"/>
      <c r="U37" s="118"/>
      <c r="V37" s="118"/>
      <c r="W37" s="118"/>
      <c r="X37" s="118"/>
      <c r="Y37" s="118"/>
      <c r="Z37" s="118"/>
      <c r="AA37" s="118"/>
      <c r="AB37" s="118"/>
      <c r="AC37" s="118"/>
      <c r="AD37" s="118"/>
      <c r="AE37" s="118"/>
      <c r="AF37" s="118"/>
      <c r="AG37" s="118"/>
      <c r="AH37" s="118"/>
      <c r="AI37" s="118"/>
    </row>
    <row r="38" spans="1:35">
      <c r="A38" s="1">
        <f t="shared" si="0"/>
        <v>36</v>
      </c>
      <c r="B38" s="2"/>
      <c r="C38" s="4" t="s">
        <v>428</v>
      </c>
      <c r="D38" s="4">
        <v>3</v>
      </c>
      <c r="E38" s="4" t="s">
        <v>441</v>
      </c>
      <c r="F38" s="120">
        <v>0.44600000000000001</v>
      </c>
      <c r="G38" s="7" t="s">
        <v>438</v>
      </c>
      <c r="H38" s="1" t="s">
        <v>13</v>
      </c>
      <c r="I38" s="3" t="s">
        <v>205</v>
      </c>
      <c r="J38" s="22">
        <v>0.44500000000000001</v>
      </c>
      <c r="K38" s="22">
        <v>0.443</v>
      </c>
      <c r="L38" s="41"/>
      <c r="M38" s="41"/>
      <c r="N38" s="22">
        <v>0.28000000000000003</v>
      </c>
      <c r="O38" s="22">
        <v>0.27800000000000002</v>
      </c>
      <c r="P38" s="22">
        <v>0.29299999999999998</v>
      </c>
      <c r="Q38" s="22">
        <v>0.29499999999999998</v>
      </c>
      <c r="S38" s="118"/>
      <c r="T38" s="118"/>
      <c r="U38" s="118"/>
      <c r="V38" s="118"/>
      <c r="W38" s="118"/>
      <c r="X38" s="118"/>
      <c r="Y38" s="118"/>
      <c r="Z38" s="118"/>
      <c r="AA38" s="118"/>
      <c r="AB38" s="118"/>
      <c r="AC38" s="118"/>
      <c r="AD38" s="118"/>
      <c r="AE38" s="118"/>
      <c r="AF38" s="118"/>
      <c r="AG38" s="118"/>
      <c r="AH38" s="118"/>
      <c r="AI38" s="118"/>
    </row>
    <row r="39" spans="1:35">
      <c r="A39" s="1">
        <f t="shared" si="0"/>
        <v>37</v>
      </c>
      <c r="B39" s="2"/>
      <c r="C39" s="4" t="s">
        <v>427</v>
      </c>
      <c r="D39" s="4">
        <v>3</v>
      </c>
      <c r="E39" s="4" t="s">
        <v>441</v>
      </c>
      <c r="F39" s="120">
        <v>0.621</v>
      </c>
      <c r="G39" s="7" t="s">
        <v>438</v>
      </c>
      <c r="H39" s="1" t="s">
        <v>13</v>
      </c>
      <c r="I39" s="3" t="s">
        <v>205</v>
      </c>
      <c r="J39" s="22">
        <v>0.625</v>
      </c>
      <c r="K39" s="22">
        <v>0.61799999999999999</v>
      </c>
      <c r="L39" s="41"/>
      <c r="M39" s="41"/>
      <c r="N39" s="22">
        <v>0.51</v>
      </c>
      <c r="O39" s="22">
        <v>0.496</v>
      </c>
      <c r="P39" s="22">
        <v>0.52300000000000002</v>
      </c>
      <c r="Q39" s="22">
        <v>0.52300000000000002</v>
      </c>
      <c r="S39" s="118"/>
      <c r="T39" s="118"/>
      <c r="U39" s="118"/>
      <c r="V39" s="118"/>
      <c r="W39" s="118"/>
      <c r="X39" s="118"/>
      <c r="Y39" s="118"/>
      <c r="Z39" s="118"/>
      <c r="AA39" s="118"/>
      <c r="AB39" s="118"/>
      <c r="AC39" s="118"/>
      <c r="AD39" s="118"/>
      <c r="AE39" s="118"/>
      <c r="AF39" s="118"/>
      <c r="AG39" s="118"/>
      <c r="AH39" s="118"/>
      <c r="AI39" s="118"/>
    </row>
    <row r="40" spans="1:35">
      <c r="A40" s="1">
        <f t="shared" si="0"/>
        <v>38</v>
      </c>
      <c r="B40" s="2"/>
      <c r="C40" s="4" t="s">
        <v>426</v>
      </c>
      <c r="D40" s="4">
        <v>3</v>
      </c>
      <c r="E40" s="4" t="s">
        <v>441</v>
      </c>
      <c r="F40" s="120">
        <v>0.85199999999999998</v>
      </c>
      <c r="G40" s="7" t="s">
        <v>438</v>
      </c>
      <c r="H40" s="1" t="s">
        <v>13</v>
      </c>
      <c r="I40" s="3" t="s">
        <v>205</v>
      </c>
      <c r="J40" s="22">
        <v>0.84</v>
      </c>
      <c r="K40" s="22">
        <v>0.85</v>
      </c>
      <c r="L40" s="41"/>
      <c r="M40" s="41"/>
      <c r="N40" s="22">
        <v>0.81300000000000006</v>
      </c>
      <c r="O40" s="22">
        <v>0.78500000000000003</v>
      </c>
      <c r="P40" s="22">
        <v>0.82500000000000007</v>
      </c>
      <c r="Q40" s="22">
        <v>0.82700000000000007</v>
      </c>
      <c r="S40" s="118"/>
      <c r="T40" s="118"/>
      <c r="U40" s="118"/>
      <c r="V40" s="118"/>
      <c r="W40" s="118"/>
      <c r="X40" s="118"/>
      <c r="Y40" s="118"/>
      <c r="Z40" s="118"/>
      <c r="AA40" s="118"/>
      <c r="AB40" s="118"/>
      <c r="AC40" s="118"/>
      <c r="AD40" s="118"/>
      <c r="AE40" s="118"/>
      <c r="AF40" s="118"/>
      <c r="AG40" s="118"/>
      <c r="AH40" s="118"/>
      <c r="AI40" s="118"/>
    </row>
    <row r="41" spans="1:35">
      <c r="A41" s="1">
        <f t="shared" si="0"/>
        <v>39</v>
      </c>
      <c r="B41" s="2"/>
      <c r="C41" s="4" t="s">
        <v>427</v>
      </c>
      <c r="D41" s="4">
        <v>3</v>
      </c>
      <c r="E41" s="4" t="s">
        <v>121</v>
      </c>
      <c r="F41" s="120">
        <v>1.8170000000000002</v>
      </c>
      <c r="G41" s="7" t="s">
        <v>438</v>
      </c>
      <c r="H41" s="1" t="s">
        <v>13</v>
      </c>
      <c r="I41" s="3" t="s">
        <v>205</v>
      </c>
      <c r="J41" s="22">
        <v>1.8519999999999999</v>
      </c>
      <c r="K41" s="22">
        <v>1.82</v>
      </c>
      <c r="L41" s="41"/>
      <c r="M41" s="41"/>
      <c r="N41" s="22">
        <v>1.853</v>
      </c>
      <c r="O41" s="22">
        <v>1.8090000000000002</v>
      </c>
      <c r="P41" s="22">
        <v>1.8420000000000001</v>
      </c>
      <c r="Q41" s="22">
        <v>1.839</v>
      </c>
      <c r="S41" s="118"/>
      <c r="T41" s="118"/>
      <c r="U41" s="118"/>
      <c r="V41" s="118"/>
      <c r="W41" s="118"/>
      <c r="X41" s="118"/>
      <c r="Y41" s="118"/>
      <c r="Z41" s="118"/>
      <c r="AA41" s="118"/>
      <c r="AB41" s="118"/>
      <c r="AC41" s="118"/>
      <c r="AD41" s="118"/>
      <c r="AE41" s="118"/>
      <c r="AF41" s="118"/>
      <c r="AG41" s="118"/>
      <c r="AH41" s="118"/>
      <c r="AI41" s="118"/>
    </row>
    <row r="42" spans="1:35">
      <c r="A42" s="1">
        <f t="shared" si="0"/>
        <v>40</v>
      </c>
      <c r="B42" s="2" t="s">
        <v>452</v>
      </c>
      <c r="C42" s="4" t="s">
        <v>456</v>
      </c>
      <c r="D42" s="4">
        <v>2</v>
      </c>
      <c r="E42" s="4" t="s">
        <v>441</v>
      </c>
      <c r="F42" s="37">
        <v>2.0369999999999999</v>
      </c>
      <c r="G42" s="1" t="s">
        <v>103</v>
      </c>
      <c r="H42" s="1" t="s">
        <v>13</v>
      </c>
      <c r="I42" s="3"/>
      <c r="J42" s="22">
        <v>1.998</v>
      </c>
      <c r="K42" s="22">
        <v>2.028</v>
      </c>
      <c r="L42" s="41"/>
      <c r="M42" s="22">
        <v>2.028</v>
      </c>
      <c r="N42" s="22">
        <v>2.0369999999999999</v>
      </c>
      <c r="O42" s="22">
        <v>2.0289999999999999</v>
      </c>
      <c r="P42" s="22">
        <v>2.0489999999999999</v>
      </c>
      <c r="Q42" s="22">
        <v>2.04</v>
      </c>
      <c r="S42" s="118"/>
      <c r="T42" s="118"/>
      <c r="U42" s="118"/>
      <c r="V42" s="118"/>
      <c r="W42" s="118"/>
      <c r="X42" s="118"/>
      <c r="Y42" s="118"/>
      <c r="Z42" s="118"/>
      <c r="AA42" s="118"/>
      <c r="AB42" s="118"/>
      <c r="AC42" s="118"/>
      <c r="AD42" s="118"/>
      <c r="AE42" s="118"/>
      <c r="AF42" s="118"/>
      <c r="AG42" s="118"/>
      <c r="AH42" s="118"/>
      <c r="AI42" s="118"/>
    </row>
    <row r="43" spans="1:35">
      <c r="A43" s="1">
        <f t="shared" si="0"/>
        <v>41</v>
      </c>
      <c r="B43" s="2"/>
      <c r="C43" s="4" t="s">
        <v>457</v>
      </c>
      <c r="D43" s="4">
        <v>2</v>
      </c>
      <c r="E43" s="4" t="s">
        <v>441</v>
      </c>
      <c r="F43" s="37">
        <v>2.133</v>
      </c>
      <c r="G43" s="1" t="s">
        <v>103</v>
      </c>
      <c r="H43" s="1" t="s">
        <v>13</v>
      </c>
      <c r="I43" s="3"/>
      <c r="J43" s="22">
        <v>2.27</v>
      </c>
      <c r="K43" s="22">
        <v>2.052</v>
      </c>
      <c r="L43" s="41"/>
      <c r="M43" s="22">
        <v>2.109</v>
      </c>
      <c r="N43" s="22">
        <v>1.794</v>
      </c>
      <c r="O43" s="22">
        <v>1.8120000000000001</v>
      </c>
      <c r="P43" s="22">
        <v>1.7730000000000001</v>
      </c>
      <c r="Q43" s="22">
        <v>1.7970000000000002</v>
      </c>
      <c r="S43" s="118"/>
      <c r="T43" s="118"/>
      <c r="U43" s="118"/>
      <c r="V43" s="118"/>
      <c r="W43" s="118"/>
      <c r="X43" s="118"/>
      <c r="Y43" s="118"/>
      <c r="Z43" s="118"/>
      <c r="AA43" s="118"/>
      <c r="AB43" s="118"/>
      <c r="AC43" s="118"/>
      <c r="AD43" s="118"/>
      <c r="AE43" s="118"/>
      <c r="AF43" s="118"/>
      <c r="AG43" s="118"/>
      <c r="AH43" s="118"/>
      <c r="AI43" s="118"/>
    </row>
    <row r="44" spans="1:35">
      <c r="A44" s="1">
        <f t="shared" si="0"/>
        <v>42</v>
      </c>
      <c r="B44" s="2"/>
      <c r="C44" s="4" t="s">
        <v>458</v>
      </c>
      <c r="D44" s="4">
        <v>2</v>
      </c>
      <c r="E44" s="4" t="s">
        <v>441</v>
      </c>
      <c r="F44" s="37">
        <v>2.5720000000000001</v>
      </c>
      <c r="G44" s="1" t="s">
        <v>103</v>
      </c>
      <c r="H44" s="1" t="s">
        <v>13</v>
      </c>
      <c r="I44" s="3"/>
      <c r="J44" s="22">
        <v>2.4820000000000002</v>
      </c>
      <c r="K44" s="22">
        <v>2.5840000000000001</v>
      </c>
      <c r="L44" s="41"/>
      <c r="M44" s="22">
        <v>2.5640000000000001</v>
      </c>
      <c r="N44" s="22">
        <v>2.569</v>
      </c>
      <c r="O44" s="22">
        <v>2.5499999999999998</v>
      </c>
      <c r="P44" s="22">
        <v>2.6139999999999999</v>
      </c>
      <c r="Q44" s="22">
        <v>2.5910000000000002</v>
      </c>
      <c r="S44" s="118"/>
      <c r="T44" s="118"/>
      <c r="U44" s="118"/>
      <c r="V44" s="118"/>
      <c r="W44" s="118"/>
      <c r="X44" s="118"/>
      <c r="Y44" s="118"/>
      <c r="Z44" s="118"/>
      <c r="AA44" s="118"/>
      <c r="AB44" s="118"/>
      <c r="AC44" s="118"/>
      <c r="AD44" s="118"/>
      <c r="AE44" s="118"/>
      <c r="AF44" s="118"/>
      <c r="AG44" s="118"/>
      <c r="AH44" s="118"/>
      <c r="AI44" s="118"/>
    </row>
    <row r="45" spans="1:35">
      <c r="A45" s="1">
        <f t="shared" si="0"/>
        <v>43</v>
      </c>
      <c r="B45" s="2"/>
      <c r="C45" s="4" t="s">
        <v>456</v>
      </c>
      <c r="D45" s="4">
        <v>2</v>
      </c>
      <c r="E45" s="4" t="s">
        <v>448</v>
      </c>
      <c r="F45" s="50">
        <v>3.57</v>
      </c>
      <c r="G45" s="7" t="s">
        <v>438</v>
      </c>
      <c r="H45" s="10" t="s">
        <v>111</v>
      </c>
      <c r="I45" s="3"/>
      <c r="J45" s="22">
        <v>3.5339999999999998</v>
      </c>
      <c r="K45" s="22">
        <v>3.5060000000000002</v>
      </c>
      <c r="L45" s="41"/>
      <c r="M45" s="41"/>
      <c r="N45" s="22">
        <v>3.6320000000000001</v>
      </c>
      <c r="O45" s="22">
        <v>3.6550000000000002</v>
      </c>
      <c r="P45" s="22">
        <v>3.5270000000000001</v>
      </c>
      <c r="Q45" s="22">
        <v>3.5019999999999998</v>
      </c>
      <c r="S45" s="118"/>
      <c r="T45" s="118"/>
      <c r="U45" s="118"/>
      <c r="V45" s="118"/>
      <c r="W45" s="118"/>
      <c r="X45" s="118"/>
      <c r="Y45" s="118"/>
      <c r="Z45" s="118"/>
      <c r="AA45" s="118"/>
      <c r="AB45" s="118"/>
      <c r="AC45" s="118"/>
      <c r="AD45" s="118"/>
      <c r="AE45" s="118"/>
      <c r="AF45" s="118"/>
      <c r="AG45" s="118"/>
      <c r="AH45" s="118"/>
      <c r="AI45" s="118"/>
    </row>
    <row r="46" spans="1:35">
      <c r="A46" s="1">
        <f t="shared" si="0"/>
        <v>44</v>
      </c>
      <c r="B46" s="2" t="s">
        <v>453</v>
      </c>
      <c r="C46" s="4" t="s">
        <v>457</v>
      </c>
      <c r="D46" s="4">
        <v>2</v>
      </c>
      <c r="E46" s="4" t="s">
        <v>441</v>
      </c>
      <c r="F46" s="37">
        <v>1.34</v>
      </c>
      <c r="G46" s="1" t="s">
        <v>103</v>
      </c>
      <c r="H46" s="1" t="s">
        <v>13</v>
      </c>
      <c r="I46" s="3"/>
      <c r="J46" s="22">
        <v>1.405</v>
      </c>
      <c r="K46" s="22">
        <v>1.2310000000000001</v>
      </c>
      <c r="L46" s="41"/>
      <c r="M46" s="22">
        <v>1.2989999999999999</v>
      </c>
      <c r="N46" s="22">
        <v>0.93600000000000005</v>
      </c>
      <c r="O46" s="22">
        <v>1.0089999999999999</v>
      </c>
      <c r="P46" s="22">
        <v>0.91100000000000003</v>
      </c>
      <c r="Q46" s="22">
        <v>0.93400000000000005</v>
      </c>
      <c r="S46" s="118"/>
      <c r="T46" s="118"/>
      <c r="U46" s="118"/>
      <c r="V46" s="118"/>
      <c r="W46" s="118"/>
      <c r="X46" s="118"/>
      <c r="Y46" s="118"/>
      <c r="Z46" s="118"/>
      <c r="AA46" s="118"/>
      <c r="AB46" s="118"/>
      <c r="AC46" s="118"/>
      <c r="AD46" s="118"/>
      <c r="AE46" s="118"/>
      <c r="AF46" s="118"/>
      <c r="AG46" s="118"/>
      <c r="AH46" s="118"/>
      <c r="AI46" s="118"/>
    </row>
    <row r="47" spans="1:35">
      <c r="A47" s="1">
        <f t="shared" si="0"/>
        <v>45</v>
      </c>
      <c r="B47" s="2"/>
      <c r="C47" s="4" t="s">
        <v>456</v>
      </c>
      <c r="D47" s="4">
        <v>2</v>
      </c>
      <c r="E47" s="4" t="s">
        <v>441</v>
      </c>
      <c r="F47" s="37">
        <v>1.512</v>
      </c>
      <c r="G47" s="1" t="s">
        <v>103</v>
      </c>
      <c r="H47" s="1" t="s">
        <v>13</v>
      </c>
      <c r="I47" s="3"/>
      <c r="J47" s="22">
        <v>1.5740000000000001</v>
      </c>
      <c r="K47" s="22">
        <v>1.4590000000000001</v>
      </c>
      <c r="L47" s="41"/>
      <c r="M47" s="22">
        <v>1.4910000000000001</v>
      </c>
      <c r="N47" s="22">
        <v>1.476</v>
      </c>
      <c r="O47" s="22">
        <v>1.498</v>
      </c>
      <c r="P47" s="22">
        <v>1.4849999999999999</v>
      </c>
      <c r="Q47" s="22">
        <v>1.4339999999999999</v>
      </c>
      <c r="S47" s="118"/>
      <c r="T47" s="118"/>
      <c r="U47" s="118"/>
      <c r="V47" s="118"/>
      <c r="W47" s="118"/>
      <c r="X47" s="118"/>
      <c r="Y47" s="118"/>
      <c r="Z47" s="118"/>
      <c r="AA47" s="118"/>
      <c r="AB47" s="118"/>
      <c r="AC47" s="118"/>
      <c r="AD47" s="118"/>
      <c r="AE47" s="118"/>
      <c r="AF47" s="118"/>
      <c r="AG47" s="118"/>
      <c r="AH47" s="118"/>
      <c r="AI47" s="118"/>
    </row>
    <row r="48" spans="1:35">
      <c r="A48" s="1">
        <f t="shared" si="0"/>
        <v>46</v>
      </c>
      <c r="B48" s="2"/>
      <c r="C48" s="4" t="s">
        <v>458</v>
      </c>
      <c r="D48" s="4">
        <v>2</v>
      </c>
      <c r="E48" s="4" t="s">
        <v>441</v>
      </c>
      <c r="F48" s="37">
        <v>1.593</v>
      </c>
      <c r="G48" s="1" t="s">
        <v>103</v>
      </c>
      <c r="H48" s="1" t="s">
        <v>13</v>
      </c>
      <c r="I48" s="3"/>
      <c r="J48" s="22">
        <v>1.653</v>
      </c>
      <c r="K48" s="22">
        <v>1.5710000000000002</v>
      </c>
      <c r="L48" s="41"/>
      <c r="M48" s="22">
        <v>1.589</v>
      </c>
      <c r="N48" s="22">
        <v>1.6339999999999999</v>
      </c>
      <c r="O48" s="22">
        <v>1.587</v>
      </c>
      <c r="P48" s="22">
        <v>1.633</v>
      </c>
      <c r="Q48" s="22">
        <v>1.5740000000000001</v>
      </c>
      <c r="S48" s="118"/>
      <c r="T48" s="118"/>
      <c r="U48" s="118"/>
      <c r="V48" s="118"/>
      <c r="W48" s="118"/>
      <c r="X48" s="118"/>
      <c r="Y48" s="118"/>
      <c r="Z48" s="118"/>
      <c r="AA48" s="118"/>
      <c r="AB48" s="118"/>
      <c r="AC48" s="118"/>
      <c r="AD48" s="118"/>
      <c r="AE48" s="118"/>
      <c r="AF48" s="118"/>
      <c r="AG48" s="118"/>
      <c r="AH48" s="118"/>
      <c r="AI48" s="118"/>
    </row>
    <row r="49" spans="1:35">
      <c r="A49" s="1">
        <f t="shared" si="0"/>
        <v>47</v>
      </c>
      <c r="B49" s="2"/>
      <c r="C49" s="4" t="s">
        <v>456</v>
      </c>
      <c r="D49" s="4">
        <v>2</v>
      </c>
      <c r="E49" s="4" t="s">
        <v>449</v>
      </c>
      <c r="F49" s="37">
        <v>2.093</v>
      </c>
      <c r="G49" s="7" t="s">
        <v>438</v>
      </c>
      <c r="H49" s="1" t="s">
        <v>13</v>
      </c>
      <c r="I49" s="3"/>
      <c r="J49" s="22">
        <v>2.1850000000000001</v>
      </c>
      <c r="K49" s="22">
        <v>2.0630000000000002</v>
      </c>
      <c r="L49" s="41"/>
      <c r="M49" s="41"/>
      <c r="N49" s="22">
        <v>2.2149999999999999</v>
      </c>
      <c r="O49" s="22">
        <v>2.2800000000000002</v>
      </c>
      <c r="P49" s="22">
        <v>2.3620000000000001</v>
      </c>
      <c r="Q49" s="22">
        <v>2.3380000000000001</v>
      </c>
      <c r="S49" s="118"/>
      <c r="T49" s="118"/>
      <c r="U49" s="118"/>
      <c r="V49" s="118"/>
      <c r="W49" s="118"/>
      <c r="X49" s="118"/>
      <c r="Y49" s="118"/>
      <c r="Z49" s="118"/>
      <c r="AA49" s="118"/>
      <c r="AB49" s="118"/>
      <c r="AC49" s="118"/>
      <c r="AD49" s="118"/>
      <c r="AE49" s="118"/>
      <c r="AF49" s="118"/>
      <c r="AG49" s="118"/>
      <c r="AH49" s="118"/>
      <c r="AI49" s="118"/>
    </row>
    <row r="50" spans="1:35">
      <c r="A50" s="1">
        <f t="shared" si="0"/>
        <v>48</v>
      </c>
      <c r="B50" s="2" t="s">
        <v>454</v>
      </c>
      <c r="C50" s="4" t="s">
        <v>457</v>
      </c>
      <c r="D50" s="4">
        <v>2</v>
      </c>
      <c r="E50" s="4" t="s">
        <v>441</v>
      </c>
      <c r="F50" s="37">
        <v>1.0660000000000001</v>
      </c>
      <c r="G50" s="1" t="s">
        <v>103</v>
      </c>
      <c r="H50" s="1" t="s">
        <v>13</v>
      </c>
      <c r="I50" s="3"/>
      <c r="J50" s="22">
        <v>1.3860000000000001</v>
      </c>
      <c r="K50" s="22">
        <v>0.91600000000000004</v>
      </c>
      <c r="L50" s="41"/>
      <c r="M50" s="41"/>
      <c r="N50" s="22">
        <v>0.84</v>
      </c>
      <c r="O50" s="22">
        <v>0.85499999999999998</v>
      </c>
      <c r="P50" s="22">
        <v>0.88400000000000001</v>
      </c>
      <c r="Q50" s="22">
        <v>0.874</v>
      </c>
      <c r="S50" s="118"/>
      <c r="T50" s="118"/>
      <c r="U50" s="118"/>
      <c r="V50" s="118"/>
      <c r="W50" s="118"/>
      <c r="X50" s="118"/>
      <c r="Y50" s="118"/>
      <c r="Z50" s="118"/>
      <c r="AA50" s="118"/>
      <c r="AB50" s="118"/>
      <c r="AC50" s="118"/>
      <c r="AD50" s="118"/>
      <c r="AE50" s="118"/>
      <c r="AF50" s="118"/>
      <c r="AG50" s="118"/>
      <c r="AH50" s="118"/>
      <c r="AI50" s="118"/>
    </row>
    <row r="51" spans="1:35">
      <c r="A51" s="1">
        <f t="shared" si="0"/>
        <v>49</v>
      </c>
      <c r="B51" s="2"/>
      <c r="C51" s="4" t="s">
        <v>457</v>
      </c>
      <c r="D51" s="4">
        <v>2</v>
      </c>
      <c r="E51" s="4" t="s">
        <v>459</v>
      </c>
      <c r="F51" s="37">
        <v>2.0430000000000001</v>
      </c>
      <c r="G51" s="7" t="s">
        <v>443</v>
      </c>
      <c r="H51" s="1" t="s">
        <v>13</v>
      </c>
      <c r="I51" s="3"/>
      <c r="J51" s="22">
        <v>1.863</v>
      </c>
      <c r="K51" s="22">
        <v>2</v>
      </c>
      <c r="L51" s="41"/>
      <c r="M51" s="41"/>
      <c r="N51" s="22">
        <v>2.2269999999999999</v>
      </c>
      <c r="O51" s="22">
        <v>2.1179999999999999</v>
      </c>
      <c r="P51" s="22">
        <v>2.242</v>
      </c>
      <c r="Q51" s="22">
        <v>2.222</v>
      </c>
      <c r="S51" s="118"/>
      <c r="T51" s="118"/>
      <c r="U51" s="118"/>
      <c r="V51" s="118"/>
      <c r="W51" s="118"/>
      <c r="X51" s="118"/>
      <c r="Y51" s="118"/>
      <c r="Z51" s="118"/>
      <c r="AA51" s="118"/>
      <c r="AB51" s="118"/>
      <c r="AC51" s="118"/>
      <c r="AD51" s="118"/>
      <c r="AE51" s="118"/>
      <c r="AF51" s="118"/>
      <c r="AG51" s="118"/>
      <c r="AH51" s="118"/>
      <c r="AI51" s="118"/>
    </row>
    <row r="52" spans="1:35">
      <c r="A52" s="1">
        <f t="shared" si="0"/>
        <v>50</v>
      </c>
      <c r="B52" s="2"/>
      <c r="C52" s="4" t="s">
        <v>456</v>
      </c>
      <c r="D52" s="4">
        <v>2</v>
      </c>
      <c r="E52" s="4" t="s">
        <v>441</v>
      </c>
      <c r="F52" s="37">
        <v>1.994</v>
      </c>
      <c r="G52" s="7" t="s">
        <v>444</v>
      </c>
      <c r="H52" s="1" t="s">
        <v>13</v>
      </c>
      <c r="I52" s="3"/>
      <c r="J52" s="22">
        <v>1.976</v>
      </c>
      <c r="K52" s="22">
        <v>2.008</v>
      </c>
      <c r="L52" s="41"/>
      <c r="M52" s="41"/>
      <c r="N52" s="22">
        <v>2.0270000000000001</v>
      </c>
      <c r="O52" s="22">
        <v>2.0129999999999999</v>
      </c>
      <c r="P52" s="22">
        <v>2.0390000000000001</v>
      </c>
      <c r="Q52" s="22">
        <v>2.0139999999999998</v>
      </c>
      <c r="S52" s="118"/>
      <c r="T52" s="118"/>
      <c r="U52" s="118"/>
      <c r="V52" s="118"/>
      <c r="W52" s="118"/>
      <c r="X52" s="118"/>
      <c r="Y52" s="118"/>
      <c r="Z52" s="118"/>
      <c r="AA52" s="118"/>
      <c r="AB52" s="118"/>
      <c r="AC52" s="118"/>
      <c r="AD52" s="118"/>
      <c r="AE52" s="118"/>
      <c r="AF52" s="118"/>
      <c r="AG52" s="118"/>
      <c r="AH52" s="118"/>
      <c r="AI52" s="118"/>
    </row>
    <row r="53" spans="1:35">
      <c r="A53" s="1">
        <f t="shared" si="0"/>
        <v>51</v>
      </c>
      <c r="B53" s="2" t="s">
        <v>455</v>
      </c>
      <c r="C53" s="4" t="s">
        <v>456</v>
      </c>
      <c r="D53" s="4">
        <v>2</v>
      </c>
      <c r="E53" s="4" t="s">
        <v>460</v>
      </c>
      <c r="F53" s="37">
        <v>2.8820000000000001</v>
      </c>
      <c r="G53" s="1" t="s">
        <v>103</v>
      </c>
      <c r="H53" s="1" t="s">
        <v>13</v>
      </c>
      <c r="I53" s="3"/>
      <c r="J53" s="22">
        <v>2.8740000000000001</v>
      </c>
      <c r="K53" s="22">
        <v>2.8460000000000001</v>
      </c>
      <c r="L53" s="41"/>
      <c r="M53" s="41"/>
      <c r="N53" s="22">
        <v>2.8620000000000001</v>
      </c>
      <c r="O53" s="22">
        <v>2.8380000000000001</v>
      </c>
      <c r="P53" s="41"/>
      <c r="Q53" s="41"/>
      <c r="S53" s="118"/>
      <c r="T53" s="118"/>
      <c r="U53" s="118"/>
      <c r="V53" s="118"/>
      <c r="W53" s="118"/>
      <c r="X53" s="118"/>
      <c r="Y53" s="118"/>
      <c r="Z53" s="118"/>
      <c r="AA53" s="118"/>
      <c r="AB53" s="118"/>
      <c r="AC53" s="118"/>
      <c r="AD53" s="118"/>
      <c r="AE53" s="118"/>
      <c r="AF53" s="118"/>
      <c r="AG53" s="118"/>
      <c r="AH53" s="118"/>
      <c r="AI53" s="118"/>
    </row>
    <row r="54" spans="1:35">
      <c r="A54" s="1">
        <f t="shared" si="0"/>
        <v>52</v>
      </c>
      <c r="B54" s="2"/>
      <c r="C54" s="4" t="s">
        <v>458</v>
      </c>
      <c r="D54" s="4">
        <v>2</v>
      </c>
      <c r="E54" s="4" t="s">
        <v>435</v>
      </c>
      <c r="F54" s="37">
        <v>4.4820000000000002</v>
      </c>
      <c r="G54" s="7" t="s">
        <v>443</v>
      </c>
      <c r="H54" s="1" t="s">
        <v>13</v>
      </c>
      <c r="I54" s="3"/>
      <c r="J54" s="22">
        <v>4.4989999999999997</v>
      </c>
      <c r="K54" s="22">
        <v>4.4779999999999998</v>
      </c>
      <c r="L54" s="41"/>
      <c r="M54" s="41"/>
      <c r="N54" s="22">
        <v>4.51</v>
      </c>
      <c r="O54" s="22">
        <v>4.3970000000000002</v>
      </c>
      <c r="P54" s="41"/>
      <c r="Q54" s="41"/>
      <c r="S54" s="118"/>
      <c r="T54" s="118"/>
      <c r="U54" s="118"/>
      <c r="V54" s="118"/>
      <c r="W54" s="118"/>
      <c r="X54" s="118"/>
      <c r="Y54" s="118"/>
      <c r="Z54" s="118"/>
      <c r="AA54" s="118"/>
      <c r="AB54" s="118"/>
      <c r="AC54" s="118"/>
      <c r="AD54" s="118"/>
      <c r="AE54" s="118"/>
      <c r="AF54" s="118"/>
      <c r="AG54" s="118"/>
      <c r="AH54" s="118"/>
      <c r="AI54" s="118"/>
    </row>
    <row r="55" spans="1:35">
      <c r="A55" s="1">
        <f t="shared" si="0"/>
        <v>53</v>
      </c>
      <c r="B55" s="2"/>
      <c r="C55" s="4" t="s">
        <v>458</v>
      </c>
      <c r="D55" s="4">
        <v>2</v>
      </c>
      <c r="E55" s="4" t="s">
        <v>462</v>
      </c>
      <c r="F55" s="37">
        <v>5.1150000000000002</v>
      </c>
      <c r="G55" s="1" t="s">
        <v>103</v>
      </c>
      <c r="H55" s="1" t="s">
        <v>13</v>
      </c>
      <c r="I55" s="3"/>
      <c r="J55" s="22">
        <v>5.0970000000000004</v>
      </c>
      <c r="K55" s="22">
        <v>5.056</v>
      </c>
      <c r="L55" s="41"/>
      <c r="M55" s="41"/>
      <c r="N55" s="22">
        <v>5.0970000000000004</v>
      </c>
      <c r="O55" s="22">
        <v>5.0890000000000004</v>
      </c>
      <c r="P55" s="41"/>
      <c r="Q55" s="41"/>
      <c r="S55" s="118"/>
      <c r="T55" s="118"/>
      <c r="U55" s="118"/>
      <c r="V55" s="118"/>
      <c r="W55" s="118"/>
      <c r="X55" s="118"/>
      <c r="Y55" s="118"/>
      <c r="Z55" s="118"/>
      <c r="AA55" s="118"/>
      <c r="AB55" s="118"/>
      <c r="AC55" s="118"/>
      <c r="AD55" s="118"/>
      <c r="AE55" s="118"/>
      <c r="AF55" s="118"/>
      <c r="AG55" s="118"/>
      <c r="AH55" s="118"/>
      <c r="AI55" s="118"/>
    </row>
    <row r="56" spans="1:35">
      <c r="A56" s="1">
        <f t="shared" si="0"/>
        <v>54</v>
      </c>
      <c r="B56" s="2"/>
      <c r="C56" s="4" t="s">
        <v>458</v>
      </c>
      <c r="D56" s="4">
        <v>2</v>
      </c>
      <c r="E56" s="4" t="s">
        <v>461</v>
      </c>
      <c r="F56" s="37">
        <v>5.6630000000000003</v>
      </c>
      <c r="G56" s="7" t="s">
        <v>443</v>
      </c>
      <c r="H56" s="1" t="s">
        <v>13</v>
      </c>
      <c r="I56" s="3"/>
      <c r="J56" s="22">
        <v>5.6909999999999998</v>
      </c>
      <c r="K56" s="22">
        <v>5.6470000000000002</v>
      </c>
      <c r="L56" s="41"/>
      <c r="M56" s="41"/>
      <c r="N56" s="22">
        <v>5.5979999999999999</v>
      </c>
      <c r="O56" s="22">
        <v>5.548</v>
      </c>
      <c r="P56" s="41"/>
      <c r="Q56" s="41"/>
      <c r="S56" s="118"/>
      <c r="T56" s="118"/>
      <c r="U56" s="118"/>
      <c r="V56" s="118"/>
      <c r="W56" s="118"/>
      <c r="X56" s="118"/>
      <c r="Y56" s="118"/>
      <c r="Z56" s="118"/>
      <c r="AA56" s="118"/>
      <c r="AB56" s="118"/>
      <c r="AC56" s="118"/>
      <c r="AD56" s="118"/>
      <c r="AE56" s="118"/>
      <c r="AF56" s="118"/>
      <c r="AG56" s="118"/>
      <c r="AH56" s="118"/>
      <c r="AI56" s="118"/>
    </row>
    <row r="57" spans="1:35">
      <c r="A57" s="1">
        <f t="shared" si="0"/>
        <v>55</v>
      </c>
      <c r="B57" s="2"/>
      <c r="C57" s="4" t="s">
        <v>456</v>
      </c>
      <c r="D57" s="4">
        <v>2</v>
      </c>
      <c r="E57" s="4" t="s">
        <v>461</v>
      </c>
      <c r="F57" s="37">
        <v>6.1260000000000003</v>
      </c>
      <c r="G57" s="1" t="s">
        <v>103</v>
      </c>
      <c r="H57" s="1" t="s">
        <v>13</v>
      </c>
      <c r="I57" s="3"/>
      <c r="J57" s="22">
        <v>6.1470000000000002</v>
      </c>
      <c r="K57" s="22">
        <v>6.1</v>
      </c>
      <c r="L57" s="41"/>
      <c r="M57" s="41"/>
      <c r="N57" s="22">
        <v>6.1059999999999999</v>
      </c>
      <c r="O57" s="22">
        <v>6.1349999999999998</v>
      </c>
      <c r="P57" s="41"/>
      <c r="Q57" s="41"/>
      <c r="S57" s="118"/>
      <c r="T57" s="118"/>
      <c r="U57" s="118"/>
      <c r="V57" s="118"/>
      <c r="W57" s="118"/>
      <c r="X57" s="118"/>
      <c r="Y57" s="118"/>
      <c r="Z57" s="118"/>
      <c r="AA57" s="118"/>
      <c r="AB57" s="118"/>
      <c r="AC57" s="118"/>
      <c r="AD57" s="118"/>
      <c r="AE57" s="118"/>
      <c r="AF57" s="118"/>
      <c r="AG57" s="118"/>
      <c r="AH57" s="118"/>
      <c r="AI57" s="118"/>
    </row>
    <row r="58" spans="1:35">
      <c r="A58" s="1">
        <f t="shared" si="0"/>
        <v>56</v>
      </c>
      <c r="B58" s="2" t="s">
        <v>445</v>
      </c>
      <c r="C58" s="4" t="s">
        <v>424</v>
      </c>
      <c r="D58" s="4">
        <v>1</v>
      </c>
      <c r="E58" s="4" t="s">
        <v>448</v>
      </c>
      <c r="F58" s="120">
        <v>0.79100000000000004</v>
      </c>
      <c r="G58" s="1" t="s">
        <v>451</v>
      </c>
      <c r="H58" s="1" t="s">
        <v>13</v>
      </c>
      <c r="I58" s="3" t="s">
        <v>205</v>
      </c>
      <c r="J58" s="22">
        <v>0.83499999999999996</v>
      </c>
      <c r="K58" s="22">
        <v>0.76</v>
      </c>
      <c r="L58" s="22">
        <v>0.79100000000000004</v>
      </c>
      <c r="M58" s="41"/>
      <c r="N58" s="22">
        <v>0.53</v>
      </c>
      <c r="O58" s="22">
        <v>0.54300000000000004</v>
      </c>
      <c r="P58" s="22">
        <v>0.51900000000000002</v>
      </c>
      <c r="Q58" s="22">
        <v>0.55700000000000005</v>
      </c>
      <c r="S58" s="118"/>
      <c r="T58" s="118"/>
      <c r="U58" s="118"/>
      <c r="V58" s="118"/>
      <c r="W58" s="118"/>
      <c r="X58" s="118"/>
      <c r="Y58" s="118"/>
      <c r="Z58" s="118"/>
      <c r="AA58" s="118"/>
      <c r="AB58" s="118"/>
      <c r="AC58" s="118"/>
      <c r="AD58" s="118"/>
      <c r="AE58" s="118"/>
      <c r="AF58" s="118"/>
      <c r="AG58" s="118"/>
      <c r="AH58" s="118"/>
      <c r="AI58" s="118"/>
    </row>
    <row r="59" spans="1:35">
      <c r="A59" s="1">
        <f t="shared" si="0"/>
        <v>57</v>
      </c>
      <c r="B59" s="2"/>
      <c r="C59" s="4" t="s">
        <v>423</v>
      </c>
      <c r="D59" s="4">
        <v>1</v>
      </c>
      <c r="E59" s="4" t="s">
        <v>435</v>
      </c>
      <c r="F59" s="120">
        <v>3.423</v>
      </c>
      <c r="G59" s="1" t="s">
        <v>451</v>
      </c>
      <c r="H59" s="1" t="s">
        <v>13</v>
      </c>
      <c r="I59" s="3" t="s">
        <v>205</v>
      </c>
      <c r="J59" s="22">
        <v>3.26</v>
      </c>
      <c r="K59" s="22">
        <v>3.4660000000000002</v>
      </c>
      <c r="L59" s="22">
        <v>3.4</v>
      </c>
      <c r="M59" s="41"/>
      <c r="N59" s="22">
        <v>3.7629999999999999</v>
      </c>
      <c r="O59" s="22">
        <v>3.681</v>
      </c>
      <c r="P59" s="22">
        <v>3.7919999999999998</v>
      </c>
      <c r="Q59" s="22">
        <v>3.718</v>
      </c>
      <c r="S59" s="118"/>
      <c r="T59" s="118"/>
      <c r="U59" s="118"/>
      <c r="V59" s="118"/>
      <c r="W59" s="118"/>
      <c r="X59" s="118"/>
      <c r="Y59" s="118"/>
      <c r="Z59" s="118"/>
      <c r="AA59" s="118"/>
      <c r="AB59" s="118"/>
      <c r="AC59" s="118"/>
      <c r="AD59" s="118"/>
      <c r="AE59" s="118"/>
      <c r="AF59" s="118"/>
      <c r="AG59" s="118"/>
      <c r="AH59" s="118"/>
      <c r="AI59" s="118"/>
    </row>
    <row r="60" spans="1:35">
      <c r="A60" s="1">
        <f t="shared" si="0"/>
        <v>58</v>
      </c>
      <c r="B60" s="2"/>
      <c r="C60" s="4" t="s">
        <v>425</v>
      </c>
      <c r="D60" s="4">
        <v>1</v>
      </c>
      <c r="E60" s="4" t="s">
        <v>448</v>
      </c>
      <c r="F60" s="57">
        <v>4.6449999999999996</v>
      </c>
      <c r="G60" s="1" t="s">
        <v>450</v>
      </c>
      <c r="H60" s="10" t="s">
        <v>111</v>
      </c>
      <c r="I60" s="3" t="s">
        <v>205</v>
      </c>
      <c r="J60" s="22">
        <v>4.3520000000000003</v>
      </c>
      <c r="K60" s="22">
        <v>4.6020000000000003</v>
      </c>
      <c r="L60" s="22">
        <v>4.7050000000000001</v>
      </c>
      <c r="M60" s="41"/>
      <c r="N60" s="22">
        <v>4.3810000000000002</v>
      </c>
      <c r="O60" s="22">
        <v>4.1920000000000002</v>
      </c>
      <c r="P60" s="22">
        <v>4.399</v>
      </c>
      <c r="Q60" s="22">
        <v>4.4130000000000003</v>
      </c>
      <c r="S60" s="118"/>
      <c r="T60" s="118"/>
      <c r="U60" s="118"/>
      <c r="V60" s="118"/>
      <c r="W60" s="118"/>
      <c r="X60" s="118"/>
      <c r="Y60" s="118"/>
      <c r="Z60" s="118"/>
      <c r="AA60" s="118"/>
      <c r="AB60" s="118"/>
      <c r="AC60" s="118"/>
      <c r="AD60" s="118"/>
      <c r="AE60" s="118"/>
      <c r="AF60" s="118"/>
      <c r="AG60" s="118"/>
      <c r="AH60" s="118"/>
      <c r="AI60" s="118"/>
    </row>
    <row r="61" spans="1:35">
      <c r="A61" s="1">
        <f t="shared" si="0"/>
        <v>59</v>
      </c>
      <c r="B61" s="2"/>
      <c r="C61" s="4" t="s">
        <v>447</v>
      </c>
      <c r="D61" s="4">
        <v>1</v>
      </c>
      <c r="E61" s="4" t="s">
        <v>448</v>
      </c>
      <c r="F61" s="57">
        <v>4.6879999999999997</v>
      </c>
      <c r="G61" s="1" t="s">
        <v>450</v>
      </c>
      <c r="H61" s="10" t="s">
        <v>111</v>
      </c>
      <c r="I61" s="3" t="s">
        <v>205</v>
      </c>
      <c r="J61" s="22">
        <v>4.4009999999999998</v>
      </c>
      <c r="K61" s="22">
        <v>4.6379999999999999</v>
      </c>
      <c r="L61" s="22">
        <v>4.7460000000000004</v>
      </c>
      <c r="M61" s="41"/>
      <c r="N61" s="22">
        <v>4.6920000000000002</v>
      </c>
      <c r="O61" s="22">
        <v>4.3319999999999999</v>
      </c>
      <c r="P61" s="22">
        <v>4.7439999999999998</v>
      </c>
      <c r="Q61" s="22">
        <v>4.5869999999999997</v>
      </c>
      <c r="S61" s="118"/>
      <c r="T61" s="118"/>
      <c r="U61" s="118"/>
      <c r="V61" s="118"/>
      <c r="W61" s="118"/>
      <c r="X61" s="118"/>
      <c r="Y61" s="118"/>
      <c r="Z61" s="118"/>
      <c r="AA61" s="118"/>
      <c r="AB61" s="118"/>
      <c r="AC61" s="118"/>
      <c r="AD61" s="118"/>
      <c r="AE61" s="118"/>
      <c r="AF61" s="118"/>
      <c r="AG61" s="118"/>
      <c r="AH61" s="118"/>
      <c r="AI61" s="118"/>
    </row>
    <row r="62" spans="1:35">
      <c r="A62" s="1">
        <f t="shared" si="0"/>
        <v>60</v>
      </c>
      <c r="B62" s="2"/>
      <c r="C62" s="4" t="s">
        <v>427</v>
      </c>
      <c r="D62" s="4">
        <v>3</v>
      </c>
      <c r="E62" s="4" t="s">
        <v>448</v>
      </c>
      <c r="F62" s="120">
        <v>0.54200000000000004</v>
      </c>
      <c r="G62" s="1" t="s">
        <v>443</v>
      </c>
      <c r="H62" s="1" t="s">
        <v>13</v>
      </c>
      <c r="I62" s="3" t="s">
        <v>205</v>
      </c>
      <c r="J62" s="22">
        <v>0.57400000000000007</v>
      </c>
      <c r="K62" s="22">
        <v>0.48099999999999998</v>
      </c>
      <c r="L62" s="41"/>
      <c r="M62" s="41"/>
      <c r="N62" s="22">
        <v>0.33200000000000002</v>
      </c>
      <c r="O62" s="22">
        <v>0.34200000000000003</v>
      </c>
      <c r="P62" s="22">
        <v>0.32300000000000001</v>
      </c>
      <c r="Q62" s="22">
        <v>0.35799999999999998</v>
      </c>
      <c r="S62" s="118"/>
      <c r="T62" s="118"/>
      <c r="U62" s="118"/>
      <c r="V62" s="118"/>
      <c r="W62" s="118"/>
      <c r="X62" s="118"/>
      <c r="Y62" s="118"/>
      <c r="Z62" s="118"/>
      <c r="AA62" s="118"/>
      <c r="AB62" s="118"/>
      <c r="AC62" s="118"/>
      <c r="AD62" s="118"/>
      <c r="AE62" s="118"/>
      <c r="AF62" s="118"/>
      <c r="AG62" s="118"/>
      <c r="AH62" s="118"/>
      <c r="AI62" s="118"/>
    </row>
    <row r="63" spans="1:35">
      <c r="A63" s="1">
        <f t="shared" si="0"/>
        <v>61</v>
      </c>
      <c r="B63" s="2"/>
      <c r="C63" s="4" t="s">
        <v>426</v>
      </c>
      <c r="D63" s="4">
        <v>3</v>
      </c>
      <c r="E63" s="4" t="s">
        <v>435</v>
      </c>
      <c r="F63" s="120">
        <v>1.7909999999999999</v>
      </c>
      <c r="G63" s="1" t="s">
        <v>443</v>
      </c>
      <c r="H63" s="1" t="s">
        <v>13</v>
      </c>
      <c r="I63" s="3" t="s">
        <v>205</v>
      </c>
      <c r="J63" s="22">
        <v>1.88</v>
      </c>
      <c r="K63" s="22">
        <v>1.7290000000000001</v>
      </c>
      <c r="L63" s="41"/>
      <c r="M63" s="41"/>
      <c r="N63" s="22">
        <v>1.57</v>
      </c>
      <c r="O63" s="22">
        <v>1.514</v>
      </c>
      <c r="P63" s="22">
        <v>1.554</v>
      </c>
      <c r="Q63" s="22">
        <v>1.554</v>
      </c>
      <c r="S63" s="118"/>
      <c r="T63" s="118"/>
      <c r="U63" s="118"/>
      <c r="V63" s="118"/>
      <c r="W63" s="118"/>
      <c r="X63" s="118"/>
      <c r="Y63" s="118"/>
      <c r="Z63" s="118"/>
      <c r="AA63" s="118"/>
      <c r="AB63" s="118"/>
      <c r="AC63" s="118"/>
      <c r="AD63" s="118"/>
      <c r="AE63" s="118"/>
      <c r="AF63" s="118"/>
      <c r="AG63" s="118"/>
      <c r="AH63" s="118"/>
      <c r="AI63" s="118"/>
    </row>
    <row r="64" spans="1:35">
      <c r="A64" s="1">
        <f t="shared" si="0"/>
        <v>62</v>
      </c>
      <c r="B64" s="2" t="s">
        <v>446</v>
      </c>
      <c r="C64" s="4" t="s">
        <v>424</v>
      </c>
      <c r="D64" s="4">
        <v>1</v>
      </c>
      <c r="E64" s="4" t="s">
        <v>449</v>
      </c>
      <c r="F64" s="120">
        <v>0.81400000000000006</v>
      </c>
      <c r="G64" s="1" t="s">
        <v>103</v>
      </c>
      <c r="H64" s="1" t="s">
        <v>13</v>
      </c>
      <c r="I64" s="3" t="s">
        <v>205</v>
      </c>
      <c r="J64" s="22">
        <v>0.80200000000000005</v>
      </c>
      <c r="K64" s="22">
        <v>0.78700000000000003</v>
      </c>
      <c r="L64" s="22">
        <v>0.80100000000000005</v>
      </c>
      <c r="M64" s="41"/>
      <c r="N64" s="22">
        <v>0.77400000000000002</v>
      </c>
      <c r="O64" s="22">
        <v>0.72</v>
      </c>
      <c r="P64" s="22">
        <v>0.71399999999999997</v>
      </c>
      <c r="Q64" s="22">
        <v>0.72399999999999998</v>
      </c>
      <c r="S64" s="118"/>
      <c r="T64" s="118"/>
      <c r="U64" s="118"/>
      <c r="V64" s="118"/>
      <c r="W64" s="118"/>
      <c r="X64" s="118"/>
      <c r="Y64" s="118"/>
      <c r="Z64" s="118"/>
      <c r="AA64" s="118"/>
      <c r="AB64" s="118"/>
      <c r="AC64" s="118"/>
      <c r="AD64" s="118"/>
      <c r="AE64" s="118"/>
      <c r="AF64" s="118"/>
      <c r="AG64" s="118"/>
      <c r="AH64" s="118"/>
      <c r="AI64" s="118"/>
    </row>
    <row r="65" spans="1:35">
      <c r="A65" s="1">
        <f t="shared" si="0"/>
        <v>63</v>
      </c>
      <c r="B65" s="2"/>
      <c r="C65" s="4" t="s">
        <v>423</v>
      </c>
      <c r="D65" s="4">
        <v>1</v>
      </c>
      <c r="E65" s="4" t="s">
        <v>435</v>
      </c>
      <c r="F65" s="57">
        <v>3.641</v>
      </c>
      <c r="G65" s="1" t="s">
        <v>450</v>
      </c>
      <c r="H65" s="10" t="s">
        <v>111</v>
      </c>
      <c r="I65" s="3" t="s">
        <v>205</v>
      </c>
      <c r="J65" s="22">
        <v>3.6509999999999998</v>
      </c>
      <c r="K65" s="22">
        <v>3.6419999999999999</v>
      </c>
      <c r="L65" s="22">
        <v>3.649</v>
      </c>
      <c r="M65" s="41"/>
      <c r="N65" s="22">
        <v>3.9779999999999998</v>
      </c>
      <c r="O65" s="22">
        <v>3.8559999999999999</v>
      </c>
      <c r="P65" s="22">
        <v>3.9729999999999999</v>
      </c>
      <c r="Q65" s="22">
        <v>3.915</v>
      </c>
      <c r="S65" s="118"/>
      <c r="T65" s="118"/>
      <c r="U65" s="118"/>
      <c r="V65" s="118"/>
      <c r="W65" s="118"/>
      <c r="X65" s="118"/>
      <c r="Y65" s="118"/>
      <c r="Z65" s="118"/>
      <c r="AA65" s="118"/>
      <c r="AB65" s="118"/>
      <c r="AC65" s="118"/>
      <c r="AD65" s="118"/>
      <c r="AE65" s="118"/>
      <c r="AF65" s="118"/>
      <c r="AG65" s="118"/>
      <c r="AH65" s="118"/>
      <c r="AI65" s="118"/>
    </row>
    <row r="66" spans="1:35">
      <c r="A66" s="1">
        <f t="shared" si="0"/>
        <v>64</v>
      </c>
      <c r="B66" s="2"/>
      <c r="C66" s="4" t="s">
        <v>425</v>
      </c>
      <c r="D66" s="4">
        <v>1</v>
      </c>
      <c r="E66" s="4" t="s">
        <v>449</v>
      </c>
      <c r="F66" s="120">
        <v>4.2290000000000001</v>
      </c>
      <c r="G66" s="1" t="s">
        <v>450</v>
      </c>
      <c r="H66" s="1" t="s">
        <v>13</v>
      </c>
      <c r="I66" s="3" t="s">
        <v>205</v>
      </c>
      <c r="J66" s="22">
        <v>4.2249999999999996</v>
      </c>
      <c r="K66" s="22">
        <v>4.2039999999999997</v>
      </c>
      <c r="L66" s="22">
        <v>4.242</v>
      </c>
      <c r="M66" s="41"/>
      <c r="N66" s="22">
        <v>4.2309999999999999</v>
      </c>
      <c r="O66" s="22">
        <v>4.0460000000000003</v>
      </c>
      <c r="P66" s="22">
        <v>4.2089999999999996</v>
      </c>
      <c r="Q66" s="22">
        <v>4.2160000000000002</v>
      </c>
      <c r="S66" s="118"/>
      <c r="T66" s="118"/>
      <c r="U66" s="118"/>
      <c r="V66" s="118"/>
      <c r="W66" s="118"/>
      <c r="X66" s="118"/>
      <c r="Y66" s="118"/>
      <c r="Z66" s="118"/>
      <c r="AA66" s="118"/>
      <c r="AB66" s="118"/>
      <c r="AC66" s="118"/>
      <c r="AD66" s="118"/>
      <c r="AE66" s="118"/>
      <c r="AF66" s="118"/>
      <c r="AG66" s="118"/>
      <c r="AH66" s="118"/>
      <c r="AI66" s="118"/>
    </row>
    <row r="67" spans="1:35">
      <c r="A67" s="1">
        <f t="shared" si="0"/>
        <v>65</v>
      </c>
      <c r="B67" s="2"/>
      <c r="C67" s="4" t="s">
        <v>447</v>
      </c>
      <c r="D67" s="4">
        <v>1</v>
      </c>
      <c r="E67" s="4" t="s">
        <v>449</v>
      </c>
      <c r="F67" s="120">
        <v>4.282</v>
      </c>
      <c r="G67" s="1" t="s">
        <v>450</v>
      </c>
      <c r="H67" s="1" t="s">
        <v>13</v>
      </c>
      <c r="I67" s="3" t="s">
        <v>205</v>
      </c>
      <c r="J67" s="22">
        <v>4.2519999999999998</v>
      </c>
      <c r="K67" s="22">
        <v>4.2380000000000004</v>
      </c>
      <c r="L67" s="22">
        <v>4.2939999999999996</v>
      </c>
      <c r="M67" s="41"/>
      <c r="N67" s="22">
        <v>4.335</v>
      </c>
      <c r="O67" s="22">
        <v>4.0789999999999997</v>
      </c>
      <c r="P67" s="22">
        <v>4.3019999999999996</v>
      </c>
      <c r="Q67" s="22">
        <v>4.258</v>
      </c>
      <c r="S67" s="118"/>
      <c r="T67" s="118"/>
      <c r="U67" s="118"/>
      <c r="V67" s="118"/>
      <c r="W67" s="118"/>
      <c r="X67" s="118"/>
      <c r="Y67" s="118"/>
      <c r="Z67" s="118"/>
      <c r="AA67" s="118"/>
      <c r="AB67" s="118"/>
      <c r="AC67" s="118"/>
      <c r="AD67" s="118"/>
      <c r="AE67" s="118"/>
      <c r="AF67" s="118"/>
      <c r="AG67" s="118"/>
      <c r="AH67" s="118"/>
      <c r="AI67" s="118"/>
    </row>
    <row r="68" spans="1:35">
      <c r="A68" s="1">
        <f t="shared" si="0"/>
        <v>66</v>
      </c>
      <c r="B68" s="2"/>
      <c r="C68" s="4" t="s">
        <v>427</v>
      </c>
      <c r="D68" s="4">
        <v>3</v>
      </c>
      <c r="E68" s="4" t="s">
        <v>449</v>
      </c>
      <c r="F68" s="57">
        <v>0.54600000000000004</v>
      </c>
      <c r="G68" s="1" t="s">
        <v>99</v>
      </c>
      <c r="H68" s="10" t="s">
        <v>111</v>
      </c>
      <c r="I68" s="3" t="s">
        <v>205</v>
      </c>
      <c r="J68" s="22">
        <v>0.56500000000000006</v>
      </c>
      <c r="K68" s="22">
        <v>0.54600000000000004</v>
      </c>
      <c r="L68" s="41"/>
      <c r="M68" s="41"/>
      <c r="N68" s="22">
        <v>0.57300000000000006</v>
      </c>
      <c r="O68" s="22">
        <v>0.52100000000000002</v>
      </c>
      <c r="P68" s="22">
        <v>0.51500000000000001</v>
      </c>
      <c r="Q68" s="22">
        <v>0.52400000000000002</v>
      </c>
      <c r="S68" s="118"/>
      <c r="T68" s="118"/>
      <c r="U68" s="118"/>
      <c r="V68" s="118"/>
      <c r="W68" s="118"/>
      <c r="X68" s="118"/>
      <c r="Y68" s="118"/>
      <c r="Z68" s="118"/>
      <c r="AA68" s="118"/>
      <c r="AB68" s="118"/>
      <c r="AC68" s="118"/>
      <c r="AD68" s="118"/>
      <c r="AE68" s="118"/>
      <c r="AF68" s="118"/>
      <c r="AG68" s="118"/>
      <c r="AH68" s="118"/>
      <c r="AI68" s="118"/>
    </row>
    <row r="69" spans="1:35">
      <c r="A69" s="1">
        <f t="shared" si="0"/>
        <v>67</v>
      </c>
      <c r="B69" s="2"/>
      <c r="C69" s="4" t="s">
        <v>426</v>
      </c>
      <c r="D69" s="4">
        <v>3</v>
      </c>
      <c r="E69" s="4" t="s">
        <v>435</v>
      </c>
      <c r="F69" s="57">
        <v>2.306</v>
      </c>
      <c r="G69" s="1" t="s">
        <v>99</v>
      </c>
      <c r="H69" s="10" t="s">
        <v>111</v>
      </c>
      <c r="I69" s="3" t="s">
        <v>205</v>
      </c>
      <c r="J69" s="22">
        <v>2.351</v>
      </c>
      <c r="K69" s="22">
        <v>2.306</v>
      </c>
      <c r="L69" s="41"/>
      <c r="M69" s="41"/>
      <c r="N69" s="22">
        <v>2.3140000000000001</v>
      </c>
      <c r="O69" s="22">
        <v>2.2490000000000001</v>
      </c>
      <c r="P69" s="22">
        <v>2.3140000000000001</v>
      </c>
      <c r="Q69" s="22">
        <v>2.306</v>
      </c>
      <c r="S69" s="118"/>
      <c r="T69" s="118"/>
      <c r="U69" s="118"/>
      <c r="V69" s="118"/>
      <c r="W69" s="118"/>
      <c r="X69" s="118"/>
      <c r="Y69" s="118"/>
      <c r="Z69" s="118"/>
      <c r="AA69" s="118"/>
      <c r="AB69" s="118"/>
      <c r="AC69" s="118"/>
      <c r="AD69" s="118"/>
      <c r="AE69" s="118"/>
      <c r="AF69" s="118"/>
      <c r="AG69" s="118"/>
      <c r="AH69" s="118"/>
      <c r="AI69" s="118"/>
    </row>
    <row r="70" spans="1:35">
      <c r="H70"/>
      <c r="I70" s="3" t="s">
        <v>205</v>
      </c>
    </row>
    <row r="71" spans="1:35">
      <c r="B71" s="123" t="s">
        <v>63</v>
      </c>
      <c r="C71">
        <f>COUNT(D3:D69)</f>
        <v>67</v>
      </c>
      <c r="D71" s="123" t="s">
        <v>398</v>
      </c>
      <c r="E71" s="1">
        <f>COUNTIF(D3:D69,"=1")</f>
        <v>28</v>
      </c>
      <c r="H71"/>
    </row>
    <row r="72" spans="1:35">
      <c r="D72" s="123" t="s">
        <v>529</v>
      </c>
      <c r="E72">
        <f>COUNTIF(D3:D69,"=2")</f>
        <v>16</v>
      </c>
      <c r="H72"/>
    </row>
    <row r="73" spans="1:35">
      <c r="D73" s="123" t="s">
        <v>399</v>
      </c>
      <c r="E73">
        <f>COUNTIF(D3:D69,"=3")</f>
        <v>23</v>
      </c>
      <c r="H73"/>
    </row>
    <row r="74" spans="1:35">
      <c r="D74" s="123" t="s">
        <v>530</v>
      </c>
      <c r="E74">
        <f>COUNTIF(D3:D69,"=4")</f>
        <v>0</v>
      </c>
      <c r="H74"/>
    </row>
    <row r="75" spans="1:35">
      <c r="C75" s="18" t="s">
        <v>62</v>
      </c>
      <c r="D75" s="18"/>
      <c r="E75" s="1">
        <f>COUNTIF(H3:H69,"=Y")</f>
        <v>46</v>
      </c>
      <c r="H75"/>
    </row>
    <row r="76" spans="1:35">
      <c r="C76" s="18" t="s">
        <v>66</v>
      </c>
      <c r="D76" s="18"/>
      <c r="E76" s="1">
        <f>COUNTIF(H3:H69,"=N")</f>
        <v>21</v>
      </c>
      <c r="H76"/>
    </row>
    <row r="77" spans="1:35">
      <c r="H77"/>
    </row>
    <row r="78" spans="1:35">
      <c r="H78"/>
    </row>
    <row r="79" spans="1:35">
      <c r="H79"/>
    </row>
    <row r="80" spans="1:35">
      <c r="H80"/>
    </row>
    <row r="81" spans="8:8">
      <c r="H81"/>
    </row>
    <row r="82" spans="8:8">
      <c r="H82"/>
    </row>
    <row r="83" spans="8:8">
      <c r="H83"/>
    </row>
    <row r="84" spans="8:8">
      <c r="H84"/>
    </row>
    <row r="85" spans="8:8">
      <c r="H85"/>
    </row>
    <row r="86" spans="8:8">
      <c r="H86"/>
    </row>
    <row r="87" spans="8:8">
      <c r="H87"/>
    </row>
    <row r="88" spans="8:8">
      <c r="H88"/>
    </row>
    <row r="89" spans="8:8">
      <c r="H89"/>
    </row>
    <row r="90" spans="8:8">
      <c r="H90"/>
    </row>
    <row r="91" spans="8:8">
      <c r="H91"/>
    </row>
    <row r="92" spans="8:8">
      <c r="H92"/>
    </row>
    <row r="93" spans="8:8">
      <c r="H93"/>
    </row>
    <row r="94" spans="8:8">
      <c r="H94"/>
    </row>
    <row r="95" spans="8:8">
      <c r="H95"/>
    </row>
    <row r="96" spans="8:8">
      <c r="H96"/>
    </row>
    <row r="97" spans="8:8">
      <c r="H97"/>
    </row>
    <row r="98" spans="8:8">
      <c r="H98"/>
    </row>
    <row r="99" spans="8:8">
      <c r="H99"/>
    </row>
    <row r="100" spans="8:8">
      <c r="H100"/>
    </row>
    <row r="101" spans="8:8">
      <c r="H101"/>
    </row>
    <row r="102" spans="8:8">
      <c r="H102"/>
    </row>
    <row r="103" spans="8:8">
      <c r="H103"/>
    </row>
    <row r="104" spans="8:8">
      <c r="H104"/>
    </row>
    <row r="105" spans="8:8">
      <c r="H105"/>
    </row>
    <row r="106" spans="8:8">
      <c r="H106"/>
    </row>
    <row r="107" spans="8:8">
      <c r="H107"/>
    </row>
    <row r="108" spans="8:8">
      <c r="H108"/>
    </row>
    <row r="109" spans="8:8">
      <c r="H109"/>
    </row>
    <row r="110" spans="8:8">
      <c r="H110"/>
    </row>
    <row r="111" spans="8:8">
      <c r="H111"/>
    </row>
    <row r="112" spans="8:8">
      <c r="H112"/>
    </row>
    <row r="113" spans="8:8">
      <c r="H113"/>
    </row>
    <row r="114" spans="8:8">
      <c r="H114"/>
    </row>
    <row r="115" spans="8:8">
      <c r="H115"/>
    </row>
    <row r="116" spans="8:8">
      <c r="H116"/>
    </row>
    <row r="117" spans="8:8">
      <c r="H117"/>
    </row>
    <row r="118" spans="8:8">
      <c r="H118"/>
    </row>
    <row r="119" spans="8:8">
      <c r="H119"/>
    </row>
    <row r="120" spans="8:8">
      <c r="H120"/>
    </row>
    <row r="121" spans="8:8">
      <c r="H121"/>
    </row>
    <row r="122" spans="8:8">
      <c r="H122"/>
    </row>
    <row r="123" spans="8:8">
      <c r="H123"/>
    </row>
    <row r="124" spans="8:8">
      <c r="H124"/>
    </row>
    <row r="125" spans="8:8">
      <c r="H125"/>
    </row>
    <row r="126" spans="8:8">
      <c r="H126"/>
    </row>
    <row r="127" spans="8:8">
      <c r="H127"/>
    </row>
    <row r="128" spans="8:8">
      <c r="H128"/>
    </row>
    <row r="129" spans="8:8">
      <c r="H129"/>
    </row>
    <row r="130" spans="8:8">
      <c r="H130"/>
    </row>
    <row r="131" spans="8:8">
      <c r="H131"/>
    </row>
    <row r="132" spans="8:8">
      <c r="H132"/>
    </row>
    <row r="133" spans="8:8">
      <c r="H133"/>
    </row>
    <row r="134" spans="8:8">
      <c r="H134"/>
    </row>
    <row r="135" spans="8:8">
      <c r="H135"/>
    </row>
    <row r="136" spans="8:8">
      <c r="H136"/>
    </row>
    <row r="137" spans="8:8">
      <c r="H137"/>
    </row>
    <row r="138" spans="8:8">
      <c r="H138"/>
    </row>
    <row r="139" spans="8:8">
      <c r="H139"/>
    </row>
    <row r="140" spans="8:8">
      <c r="H140"/>
    </row>
    <row r="141" spans="8:8">
      <c r="H141"/>
    </row>
    <row r="142" spans="8:8">
      <c r="H142"/>
    </row>
    <row r="143" spans="8:8">
      <c r="H143"/>
    </row>
    <row r="144" spans="8:8">
      <c r="H144"/>
    </row>
    <row r="145" spans="8:8">
      <c r="H145"/>
    </row>
    <row r="146" spans="8:8">
      <c r="H146"/>
    </row>
    <row r="147" spans="8:8">
      <c r="H147"/>
    </row>
    <row r="148" spans="8:8">
      <c r="H148"/>
    </row>
    <row r="149" spans="8:8">
      <c r="H149"/>
    </row>
    <row r="150" spans="8:8">
      <c r="H150"/>
    </row>
    <row r="151" spans="8:8">
      <c r="H151"/>
    </row>
    <row r="152" spans="8:8">
      <c r="H152"/>
    </row>
    <row r="153" spans="8:8">
      <c r="H153"/>
    </row>
    <row r="154" spans="8:8">
      <c r="H154"/>
    </row>
    <row r="155" spans="8:8">
      <c r="H155"/>
    </row>
    <row r="156" spans="8:8">
      <c r="H156"/>
    </row>
    <row r="157" spans="8:8">
      <c r="H157"/>
    </row>
    <row r="158" spans="8:8">
      <c r="H158"/>
    </row>
    <row r="159" spans="8:8">
      <c r="H159"/>
    </row>
    <row r="160" spans="8:8">
      <c r="H160"/>
    </row>
    <row r="161" spans="8:8">
      <c r="H161"/>
    </row>
    <row r="162" spans="8:8">
      <c r="H162"/>
    </row>
    <row r="163" spans="8:8">
      <c r="H163"/>
    </row>
    <row r="164" spans="8:8">
      <c r="H164"/>
    </row>
    <row r="165" spans="8:8">
      <c r="H165"/>
    </row>
    <row r="166" spans="8:8">
      <c r="H166"/>
    </row>
    <row r="167" spans="8:8">
      <c r="H167"/>
    </row>
    <row r="168" spans="8:8">
      <c r="H168"/>
    </row>
    <row r="169" spans="8:8">
      <c r="H169"/>
    </row>
    <row r="170" spans="8:8">
      <c r="H170"/>
    </row>
    <row r="171" spans="8:8">
      <c r="H171"/>
    </row>
    <row r="172" spans="8:8">
      <c r="H172"/>
    </row>
    <row r="173" spans="8:8">
      <c r="H173"/>
    </row>
    <row r="174" spans="8:8">
      <c r="H174"/>
    </row>
    <row r="175" spans="8:8">
      <c r="H175"/>
    </row>
    <row r="176" spans="8:8">
      <c r="H176"/>
    </row>
    <row r="177" spans="8:8">
      <c r="H177"/>
    </row>
    <row r="178" spans="8:8">
      <c r="H178"/>
    </row>
    <row r="179" spans="8:8">
      <c r="H179"/>
    </row>
    <row r="180" spans="8:8">
      <c r="H180"/>
    </row>
    <row r="181" spans="8:8">
      <c r="H181"/>
    </row>
    <row r="182" spans="8:8">
      <c r="H182"/>
    </row>
    <row r="183" spans="8:8">
      <c r="H183"/>
    </row>
    <row r="184" spans="8:8">
      <c r="H184"/>
    </row>
    <row r="185" spans="8:8">
      <c r="H185"/>
    </row>
    <row r="186" spans="8:8">
      <c r="H186"/>
    </row>
    <row r="187" spans="8:8">
      <c r="H187"/>
    </row>
    <row r="188" spans="8:8">
      <c r="H188"/>
    </row>
    <row r="189" spans="8:8">
      <c r="H189"/>
    </row>
    <row r="190" spans="8:8">
      <c r="H190"/>
    </row>
    <row r="191" spans="8:8">
      <c r="H191"/>
    </row>
    <row r="192" spans="8:8">
      <c r="H192"/>
    </row>
    <row r="193" spans="8:8">
      <c r="H193"/>
    </row>
    <row r="194" spans="8:8">
      <c r="H194"/>
    </row>
    <row r="195" spans="8:8">
      <c r="H195"/>
    </row>
    <row r="196" spans="8:8">
      <c r="H196"/>
    </row>
    <row r="197" spans="8:8">
      <c r="H197"/>
    </row>
    <row r="198" spans="8:8">
      <c r="H198"/>
    </row>
    <row r="199" spans="8:8">
      <c r="H199"/>
    </row>
    <row r="200" spans="8:8">
      <c r="H200"/>
    </row>
    <row r="201" spans="8:8">
      <c r="H201"/>
    </row>
    <row r="202" spans="8:8">
      <c r="H202"/>
    </row>
    <row r="203" spans="8:8">
      <c r="H203"/>
    </row>
    <row r="204" spans="8:8">
      <c r="H204"/>
    </row>
    <row r="205" spans="8:8">
      <c r="H205"/>
    </row>
    <row r="206" spans="8:8">
      <c r="H206"/>
    </row>
    <row r="207" spans="8:8">
      <c r="H207"/>
    </row>
    <row r="208" spans="8:8">
      <c r="H208"/>
    </row>
    <row r="209" spans="8:8">
      <c r="H209"/>
    </row>
    <row r="210" spans="8:8">
      <c r="H210"/>
    </row>
    <row r="211" spans="8:8">
      <c r="H211"/>
    </row>
    <row r="212" spans="8:8">
      <c r="H212"/>
    </row>
    <row r="213" spans="8:8">
      <c r="H213"/>
    </row>
    <row r="214" spans="8:8">
      <c r="H214"/>
    </row>
    <row r="215" spans="8:8">
      <c r="H215"/>
    </row>
    <row r="216" spans="8:8">
      <c r="H216"/>
    </row>
    <row r="217" spans="8:8">
      <c r="H217"/>
    </row>
    <row r="218" spans="8:8">
      <c r="H218"/>
    </row>
    <row r="219" spans="8:8">
      <c r="H219"/>
    </row>
    <row r="220" spans="8:8">
      <c r="H220"/>
    </row>
    <row r="221" spans="8:8">
      <c r="H221"/>
    </row>
    <row r="222" spans="8:8">
      <c r="H222"/>
    </row>
    <row r="223" spans="8:8">
      <c r="H223"/>
    </row>
    <row r="224" spans="8:8">
      <c r="H224"/>
    </row>
    <row r="225" spans="8:8">
      <c r="H225"/>
    </row>
    <row r="226" spans="8:8">
      <c r="H226"/>
    </row>
    <row r="227" spans="8:8">
      <c r="H227"/>
    </row>
    <row r="228" spans="8:8">
      <c r="H228"/>
    </row>
    <row r="229" spans="8:8">
      <c r="H229"/>
    </row>
    <row r="230" spans="8:8">
      <c r="H230"/>
    </row>
    <row r="231" spans="8:8">
      <c r="H231"/>
    </row>
    <row r="232" spans="8:8">
      <c r="H232"/>
    </row>
    <row r="233" spans="8:8">
      <c r="H233"/>
    </row>
    <row r="234" spans="8:8">
      <c r="H234"/>
    </row>
    <row r="235" spans="8:8">
      <c r="H235"/>
    </row>
    <row r="236" spans="8:8">
      <c r="H236"/>
    </row>
    <row r="237" spans="8:8">
      <c r="H237"/>
    </row>
    <row r="238" spans="8:8">
      <c r="H238"/>
    </row>
    <row r="239" spans="8:8">
      <c r="H239"/>
    </row>
    <row r="240" spans="8:8">
      <c r="H240"/>
    </row>
    <row r="241" spans="8:8">
      <c r="H241"/>
    </row>
    <row r="242" spans="8:8">
      <c r="H242"/>
    </row>
    <row r="243" spans="8:8">
      <c r="H243"/>
    </row>
    <row r="244" spans="8:8">
      <c r="H244"/>
    </row>
    <row r="245" spans="8:8">
      <c r="H245"/>
    </row>
    <row r="246" spans="8:8">
      <c r="H246"/>
    </row>
    <row r="247" spans="8:8">
      <c r="H247"/>
    </row>
    <row r="248" spans="8:8">
      <c r="H248"/>
    </row>
    <row r="249" spans="8:8">
      <c r="H249"/>
    </row>
    <row r="250" spans="8:8">
      <c r="H250"/>
    </row>
    <row r="251" spans="8:8">
      <c r="H251"/>
    </row>
    <row r="252" spans="8:8">
      <c r="H252"/>
    </row>
    <row r="253" spans="8:8">
      <c r="H253"/>
    </row>
    <row r="254" spans="8:8">
      <c r="H254"/>
    </row>
    <row r="255" spans="8:8">
      <c r="H255"/>
    </row>
    <row r="256" spans="8:8">
      <c r="H256"/>
    </row>
    <row r="257" spans="8:8">
      <c r="H257"/>
    </row>
    <row r="258" spans="8:8">
      <c r="H258"/>
    </row>
    <row r="259" spans="8:8">
      <c r="H259"/>
    </row>
    <row r="260" spans="8:8">
      <c r="H260"/>
    </row>
    <row r="261" spans="8:8">
      <c r="H261"/>
    </row>
    <row r="262" spans="8:8">
      <c r="H262"/>
    </row>
    <row r="263" spans="8:8">
      <c r="H263"/>
    </row>
    <row r="264" spans="8:8">
      <c r="H264"/>
    </row>
    <row r="265" spans="8:8">
      <c r="H265"/>
    </row>
    <row r="266" spans="8:8">
      <c r="H266"/>
    </row>
    <row r="267" spans="8:8">
      <c r="H267"/>
    </row>
    <row r="268" spans="8:8">
      <c r="H268"/>
    </row>
    <row r="269" spans="8:8">
      <c r="H269"/>
    </row>
    <row r="270" spans="8:8">
      <c r="H270"/>
    </row>
    <row r="271" spans="8:8">
      <c r="H271"/>
    </row>
    <row r="272" spans="8:8">
      <c r="H272"/>
    </row>
    <row r="273" spans="8:8">
      <c r="H273"/>
    </row>
    <row r="274" spans="8:8">
      <c r="H274"/>
    </row>
    <row r="275" spans="8:8">
      <c r="H275"/>
    </row>
    <row r="276" spans="8:8">
      <c r="H276"/>
    </row>
    <row r="277" spans="8:8">
      <c r="H277"/>
    </row>
    <row r="278" spans="8:8">
      <c r="H278"/>
    </row>
    <row r="279" spans="8:8">
      <c r="H279"/>
    </row>
    <row r="280" spans="8:8">
      <c r="H280"/>
    </row>
    <row r="281" spans="8:8">
      <c r="H281"/>
    </row>
    <row r="282" spans="8:8">
      <c r="H282"/>
    </row>
    <row r="283" spans="8:8">
      <c r="H283"/>
    </row>
    <row r="284" spans="8:8">
      <c r="H284"/>
    </row>
    <row r="285" spans="8:8">
      <c r="H285"/>
    </row>
    <row r="286" spans="8:8">
      <c r="H286"/>
    </row>
    <row r="287" spans="8:8">
      <c r="H287"/>
    </row>
    <row r="288" spans="8:8">
      <c r="H288"/>
    </row>
    <row r="289" spans="8:8">
      <c r="H289"/>
    </row>
    <row r="290" spans="8:8">
      <c r="H290"/>
    </row>
    <row r="291" spans="8:8">
      <c r="H291"/>
    </row>
    <row r="292" spans="8:8">
      <c r="H292"/>
    </row>
    <row r="293" spans="8:8">
      <c r="H293"/>
    </row>
    <row r="294" spans="8:8">
      <c r="H294"/>
    </row>
    <row r="295" spans="8:8">
      <c r="H295"/>
    </row>
    <row r="296" spans="8:8">
      <c r="H296"/>
    </row>
    <row r="297" spans="8:8">
      <c r="H297"/>
    </row>
    <row r="298" spans="8:8">
      <c r="H298"/>
    </row>
    <row r="299" spans="8:8">
      <c r="H299"/>
    </row>
    <row r="300" spans="8:8">
      <c r="H300"/>
    </row>
    <row r="301" spans="8:8">
      <c r="H301"/>
    </row>
    <row r="302" spans="8:8">
      <c r="H302"/>
    </row>
    <row r="303" spans="8:8">
      <c r="H303"/>
    </row>
    <row r="304" spans="8:8">
      <c r="H304"/>
    </row>
    <row r="305" spans="8:8">
      <c r="H305"/>
    </row>
    <row r="306" spans="8:8">
      <c r="H306"/>
    </row>
    <row r="307" spans="8:8">
      <c r="H307"/>
    </row>
    <row r="308" spans="8:8">
      <c r="H308"/>
    </row>
    <row r="309" spans="8:8">
      <c r="H309"/>
    </row>
    <row r="310" spans="8:8">
      <c r="H310"/>
    </row>
    <row r="311" spans="8:8">
      <c r="H311"/>
    </row>
    <row r="312" spans="8:8">
      <c r="H312"/>
    </row>
    <row r="313" spans="8:8">
      <c r="H313"/>
    </row>
    <row r="314" spans="8:8">
      <c r="H314"/>
    </row>
    <row r="315" spans="8:8">
      <c r="H315"/>
    </row>
    <row r="316" spans="8:8">
      <c r="H316"/>
    </row>
    <row r="317" spans="8:8">
      <c r="H317"/>
    </row>
    <row r="318" spans="8:8">
      <c r="H318"/>
    </row>
    <row r="319" spans="8:8">
      <c r="H319"/>
    </row>
    <row r="320" spans="8:8">
      <c r="H320"/>
    </row>
    <row r="321" spans="8:8">
      <c r="H321"/>
    </row>
    <row r="322" spans="8:8">
      <c r="H322"/>
    </row>
    <row r="323" spans="8:8">
      <c r="H323"/>
    </row>
    <row r="324" spans="8:8">
      <c r="H324"/>
    </row>
    <row r="325" spans="8:8">
      <c r="H325"/>
    </row>
    <row r="326" spans="8:8">
      <c r="H326"/>
    </row>
    <row r="327" spans="8:8">
      <c r="H327"/>
    </row>
    <row r="328" spans="8:8">
      <c r="H328"/>
    </row>
    <row r="329" spans="8:8">
      <c r="H329"/>
    </row>
    <row r="330" spans="8:8">
      <c r="H330"/>
    </row>
    <row r="331" spans="8:8">
      <c r="H331"/>
    </row>
    <row r="332" spans="8:8">
      <c r="H332"/>
    </row>
    <row r="333" spans="8:8">
      <c r="H333"/>
    </row>
    <row r="334" spans="8:8">
      <c r="H334"/>
    </row>
    <row r="335" spans="8:8">
      <c r="H335"/>
    </row>
    <row r="336" spans="8:8">
      <c r="H336"/>
    </row>
    <row r="337" spans="8:8">
      <c r="H337"/>
    </row>
    <row r="338" spans="8:8">
      <c r="H338"/>
    </row>
    <row r="339" spans="8:8">
      <c r="H339"/>
    </row>
    <row r="340" spans="8:8">
      <c r="H340"/>
    </row>
    <row r="341" spans="8:8">
      <c r="H341"/>
    </row>
    <row r="342" spans="8:8">
      <c r="H342"/>
    </row>
    <row r="343" spans="8:8">
      <c r="H343"/>
    </row>
    <row r="344" spans="8:8">
      <c r="H344"/>
    </row>
    <row r="345" spans="8:8">
      <c r="H345"/>
    </row>
    <row r="346" spans="8:8">
      <c r="H346"/>
    </row>
    <row r="347" spans="8:8">
      <c r="H347"/>
    </row>
    <row r="348" spans="8:8">
      <c r="H348"/>
    </row>
    <row r="349" spans="8:8">
      <c r="H349"/>
    </row>
    <row r="350" spans="8:8">
      <c r="H350"/>
    </row>
    <row r="351" spans="8:8">
      <c r="H351"/>
    </row>
    <row r="352" spans="8:8">
      <c r="H352"/>
    </row>
    <row r="353" spans="8:8">
      <c r="H353"/>
    </row>
    <row r="354" spans="8:8">
      <c r="H354"/>
    </row>
    <row r="355" spans="8:8">
      <c r="H355"/>
    </row>
    <row r="356" spans="8:8">
      <c r="H356"/>
    </row>
    <row r="357" spans="8:8">
      <c r="H357"/>
    </row>
    <row r="358" spans="8:8">
      <c r="H358"/>
    </row>
    <row r="359" spans="8:8">
      <c r="H359"/>
    </row>
    <row r="360" spans="8:8">
      <c r="H360"/>
    </row>
    <row r="361" spans="8:8">
      <c r="H361"/>
    </row>
    <row r="362" spans="8:8">
      <c r="H362"/>
    </row>
    <row r="363" spans="8:8">
      <c r="H363"/>
    </row>
    <row r="364" spans="8:8">
      <c r="H364"/>
    </row>
    <row r="365" spans="8:8">
      <c r="H365"/>
    </row>
    <row r="366" spans="8:8">
      <c r="H366"/>
    </row>
    <row r="367" spans="8:8">
      <c r="H367"/>
    </row>
    <row r="368" spans="8:8">
      <c r="H368"/>
    </row>
    <row r="369" spans="8:8">
      <c r="H369"/>
    </row>
    <row r="370" spans="8:8">
      <c r="H370"/>
    </row>
    <row r="371" spans="8:8">
      <c r="H371"/>
    </row>
    <row r="372" spans="8:8">
      <c r="H372"/>
    </row>
    <row r="373" spans="8:8">
      <c r="H373"/>
    </row>
    <row r="374" spans="8:8">
      <c r="H374"/>
    </row>
    <row r="375" spans="8:8">
      <c r="H375"/>
    </row>
    <row r="376" spans="8:8">
      <c r="H376"/>
    </row>
    <row r="377" spans="8:8">
      <c r="H377"/>
    </row>
    <row r="378" spans="8:8">
      <c r="H378"/>
    </row>
    <row r="379" spans="8:8">
      <c r="H379"/>
    </row>
    <row r="380" spans="8:8">
      <c r="H380"/>
    </row>
    <row r="381" spans="8:8">
      <c r="H381"/>
    </row>
    <row r="382" spans="8:8">
      <c r="H382"/>
    </row>
    <row r="383" spans="8:8">
      <c r="H383"/>
    </row>
    <row r="384" spans="8:8">
      <c r="H384"/>
    </row>
    <row r="385" spans="8:8">
      <c r="H385"/>
    </row>
    <row r="386" spans="8:8">
      <c r="H386"/>
    </row>
    <row r="387" spans="8:8">
      <c r="H387"/>
    </row>
    <row r="388" spans="8:8">
      <c r="H388"/>
    </row>
    <row r="389" spans="8:8">
      <c r="H389"/>
    </row>
    <row r="390" spans="8:8">
      <c r="H390"/>
    </row>
    <row r="391" spans="8:8">
      <c r="H391"/>
    </row>
    <row r="392" spans="8:8">
      <c r="H392"/>
    </row>
    <row r="393" spans="8:8">
      <c r="H393"/>
    </row>
    <row r="394" spans="8:8">
      <c r="H394"/>
    </row>
    <row r="395" spans="8:8">
      <c r="H395"/>
    </row>
    <row r="396" spans="8:8">
      <c r="H396"/>
    </row>
    <row r="397" spans="8:8">
      <c r="H397"/>
    </row>
    <row r="398" spans="8:8">
      <c r="H398"/>
    </row>
    <row r="399" spans="8:8">
      <c r="H399"/>
    </row>
    <row r="400" spans="8:8">
      <c r="H400"/>
    </row>
    <row r="401" spans="8:8">
      <c r="H401"/>
    </row>
    <row r="402" spans="8:8">
      <c r="H402"/>
    </row>
    <row r="403" spans="8:8">
      <c r="H403"/>
    </row>
    <row r="404" spans="8:8">
      <c r="H404"/>
    </row>
    <row r="405" spans="8:8">
      <c r="H405"/>
    </row>
    <row r="406" spans="8:8">
      <c r="H406"/>
    </row>
    <row r="407" spans="8:8">
      <c r="H407"/>
    </row>
    <row r="408" spans="8:8">
      <c r="H408"/>
    </row>
    <row r="409" spans="8:8">
      <c r="H409"/>
    </row>
    <row r="410" spans="8:8">
      <c r="H410"/>
    </row>
    <row r="411" spans="8:8">
      <c r="H411"/>
    </row>
    <row r="412" spans="8:8">
      <c r="H412"/>
    </row>
    <row r="413" spans="8:8">
      <c r="H413"/>
    </row>
    <row r="414" spans="8:8">
      <c r="H414"/>
    </row>
    <row r="415" spans="8:8">
      <c r="H415"/>
    </row>
    <row r="416" spans="8:8">
      <c r="H416"/>
    </row>
    <row r="417" spans="8:8">
      <c r="H417"/>
    </row>
    <row r="418" spans="8:8">
      <c r="H418"/>
    </row>
    <row r="419" spans="8:8">
      <c r="H419"/>
    </row>
    <row r="420" spans="8:8">
      <c r="H420"/>
    </row>
    <row r="421" spans="8:8">
      <c r="H421"/>
    </row>
    <row r="422" spans="8:8">
      <c r="H422"/>
    </row>
    <row r="423" spans="8:8">
      <c r="H423"/>
    </row>
    <row r="424" spans="8:8">
      <c r="H424"/>
    </row>
    <row r="425" spans="8:8">
      <c r="H425"/>
    </row>
    <row r="426" spans="8:8">
      <c r="H426"/>
    </row>
    <row r="427" spans="8:8">
      <c r="H427"/>
    </row>
    <row r="428" spans="8:8">
      <c r="H428"/>
    </row>
    <row r="429" spans="8:8">
      <c r="H429"/>
    </row>
    <row r="430" spans="8:8">
      <c r="H430"/>
    </row>
    <row r="431" spans="8:8">
      <c r="H431"/>
    </row>
    <row r="432" spans="8:8">
      <c r="H432"/>
    </row>
    <row r="433" spans="8:8">
      <c r="H433"/>
    </row>
    <row r="434" spans="8:8">
      <c r="H434"/>
    </row>
    <row r="435" spans="8:8">
      <c r="H435"/>
    </row>
    <row r="436" spans="8:8">
      <c r="H436"/>
    </row>
    <row r="437" spans="8:8">
      <c r="H437"/>
    </row>
    <row r="438" spans="8:8">
      <c r="H438"/>
    </row>
    <row r="439" spans="8:8">
      <c r="H439"/>
    </row>
    <row r="440" spans="8:8">
      <c r="H440"/>
    </row>
    <row r="441" spans="8:8">
      <c r="H441"/>
    </row>
    <row r="442" spans="8:8">
      <c r="H442"/>
    </row>
    <row r="443" spans="8:8">
      <c r="H443"/>
    </row>
    <row r="444" spans="8:8">
      <c r="H444"/>
    </row>
    <row r="445" spans="8:8">
      <c r="H445"/>
    </row>
    <row r="446" spans="8:8">
      <c r="H446"/>
    </row>
    <row r="447" spans="8:8">
      <c r="H447"/>
    </row>
    <row r="448" spans="8:8">
      <c r="H448"/>
    </row>
    <row r="449" spans="8:8">
      <c r="H449"/>
    </row>
    <row r="450" spans="8:8">
      <c r="H450"/>
    </row>
    <row r="451" spans="8:8">
      <c r="H451"/>
    </row>
    <row r="452" spans="8:8">
      <c r="H452"/>
    </row>
    <row r="453" spans="8:8">
      <c r="H453"/>
    </row>
    <row r="454" spans="8:8">
      <c r="H454"/>
    </row>
    <row r="455" spans="8:8">
      <c r="H455"/>
    </row>
    <row r="456" spans="8:8">
      <c r="H456"/>
    </row>
    <row r="457" spans="8:8">
      <c r="H457"/>
    </row>
    <row r="458" spans="8:8">
      <c r="H458"/>
    </row>
    <row r="459" spans="8:8">
      <c r="H459"/>
    </row>
    <row r="460" spans="8:8">
      <c r="H460"/>
    </row>
    <row r="461" spans="8:8">
      <c r="H461"/>
    </row>
    <row r="462" spans="8:8">
      <c r="H462"/>
    </row>
    <row r="463" spans="8:8">
      <c r="H463"/>
    </row>
    <row r="464" spans="8:8">
      <c r="H464"/>
    </row>
    <row r="465" spans="8:8">
      <c r="H465"/>
    </row>
    <row r="466" spans="8:8">
      <c r="H466"/>
    </row>
    <row r="467" spans="8:8">
      <c r="H467"/>
    </row>
    <row r="468" spans="8:8">
      <c r="H468"/>
    </row>
    <row r="469" spans="8:8">
      <c r="H469"/>
    </row>
    <row r="470" spans="8:8">
      <c r="H470"/>
    </row>
    <row r="471" spans="8:8">
      <c r="H471"/>
    </row>
    <row r="472" spans="8:8">
      <c r="H472"/>
    </row>
    <row r="473" spans="8:8">
      <c r="H473"/>
    </row>
    <row r="474" spans="8:8">
      <c r="H474"/>
    </row>
    <row r="475" spans="8:8">
      <c r="H475"/>
    </row>
    <row r="476" spans="8:8">
      <c r="H476"/>
    </row>
    <row r="477" spans="8:8">
      <c r="H477"/>
    </row>
    <row r="478" spans="8:8">
      <c r="H478"/>
    </row>
    <row r="479" spans="8:8">
      <c r="H479"/>
    </row>
    <row r="480" spans="8:8">
      <c r="H480"/>
    </row>
    <row r="481" spans="8:8">
      <c r="H481"/>
    </row>
    <row r="482" spans="8:8">
      <c r="H482"/>
    </row>
    <row r="483" spans="8:8">
      <c r="H483"/>
    </row>
    <row r="484" spans="8:8">
      <c r="H484"/>
    </row>
    <row r="485" spans="8:8">
      <c r="H485"/>
    </row>
    <row r="486" spans="8:8">
      <c r="H486"/>
    </row>
    <row r="487" spans="8:8">
      <c r="H487"/>
    </row>
    <row r="488" spans="8:8">
      <c r="H488"/>
    </row>
    <row r="489" spans="8:8">
      <c r="H489"/>
    </row>
    <row r="490" spans="8:8">
      <c r="H490"/>
    </row>
    <row r="491" spans="8:8">
      <c r="H491"/>
    </row>
    <row r="492" spans="8:8">
      <c r="H492"/>
    </row>
    <row r="493" spans="8:8">
      <c r="H493"/>
    </row>
    <row r="494" spans="8:8">
      <c r="H494"/>
    </row>
    <row r="495" spans="8:8">
      <c r="H495"/>
    </row>
    <row r="496" spans="8:8">
      <c r="H496"/>
    </row>
    <row r="497" spans="8:8">
      <c r="H497"/>
    </row>
    <row r="498" spans="8:8">
      <c r="H498"/>
    </row>
    <row r="499" spans="8:8">
      <c r="H499"/>
    </row>
    <row r="500" spans="8:8">
      <c r="H500"/>
    </row>
    <row r="501" spans="8:8">
      <c r="H501"/>
    </row>
    <row r="502" spans="8:8">
      <c r="H502"/>
    </row>
    <row r="503" spans="8:8">
      <c r="H503"/>
    </row>
    <row r="504" spans="8:8">
      <c r="H504"/>
    </row>
    <row r="505" spans="8:8">
      <c r="H505"/>
    </row>
    <row r="506" spans="8:8">
      <c r="H506"/>
    </row>
    <row r="507" spans="8:8">
      <c r="H507"/>
    </row>
    <row r="508" spans="8:8">
      <c r="H508"/>
    </row>
    <row r="509" spans="8:8">
      <c r="H509"/>
    </row>
    <row r="510" spans="8:8">
      <c r="H510"/>
    </row>
    <row r="511" spans="8:8">
      <c r="H511"/>
    </row>
    <row r="512" spans="8:8">
      <c r="H512"/>
    </row>
    <row r="513" spans="8:8">
      <c r="H513"/>
    </row>
    <row r="514" spans="8:8">
      <c r="H514"/>
    </row>
    <row r="515" spans="8:8">
      <c r="H515"/>
    </row>
    <row r="516" spans="8:8">
      <c r="H516"/>
    </row>
    <row r="517" spans="8:8">
      <c r="H517"/>
    </row>
    <row r="518" spans="8:8">
      <c r="H518"/>
    </row>
    <row r="519" spans="8:8">
      <c r="H519"/>
    </row>
    <row r="520" spans="8:8">
      <c r="H520"/>
    </row>
    <row r="521" spans="8:8">
      <c r="H521"/>
    </row>
    <row r="522" spans="8:8">
      <c r="H522"/>
    </row>
    <row r="523" spans="8:8">
      <c r="H523"/>
    </row>
    <row r="524" spans="8:8">
      <c r="H524"/>
    </row>
    <row r="525" spans="8:8">
      <c r="H525"/>
    </row>
    <row r="526" spans="8:8">
      <c r="H526"/>
    </row>
    <row r="527" spans="8:8">
      <c r="H527"/>
    </row>
    <row r="528" spans="8:8">
      <c r="H528"/>
    </row>
    <row r="529" spans="8:8">
      <c r="H529"/>
    </row>
    <row r="530" spans="8:8">
      <c r="H530"/>
    </row>
    <row r="531" spans="8:8">
      <c r="H531"/>
    </row>
    <row r="532" spans="8:8">
      <c r="H532"/>
    </row>
    <row r="533" spans="8:8">
      <c r="H533"/>
    </row>
    <row r="534" spans="8:8">
      <c r="H534"/>
    </row>
    <row r="535" spans="8:8">
      <c r="H535"/>
    </row>
    <row r="536" spans="8:8">
      <c r="H536"/>
    </row>
    <row r="537" spans="8:8">
      <c r="H537"/>
    </row>
    <row r="538" spans="8:8">
      <c r="H538"/>
    </row>
    <row r="539" spans="8:8">
      <c r="H539"/>
    </row>
    <row r="540" spans="8:8">
      <c r="H540"/>
    </row>
    <row r="541" spans="8:8">
      <c r="H541"/>
    </row>
    <row r="542" spans="8:8">
      <c r="H542"/>
    </row>
    <row r="543" spans="8:8">
      <c r="H543"/>
    </row>
    <row r="544" spans="8:8">
      <c r="H544"/>
    </row>
    <row r="545" spans="8:8">
      <c r="H545"/>
    </row>
    <row r="546" spans="8:8">
      <c r="H546"/>
    </row>
    <row r="547" spans="8:8">
      <c r="H547"/>
    </row>
    <row r="548" spans="8:8">
      <c r="H548"/>
    </row>
    <row r="549" spans="8:8">
      <c r="H549"/>
    </row>
    <row r="550" spans="8:8">
      <c r="H550"/>
    </row>
    <row r="551" spans="8:8">
      <c r="H551"/>
    </row>
    <row r="552" spans="8:8">
      <c r="H552"/>
    </row>
    <row r="553" spans="8:8">
      <c r="H553"/>
    </row>
    <row r="554" spans="8:8">
      <c r="H554"/>
    </row>
    <row r="555" spans="8:8">
      <c r="H555"/>
    </row>
    <row r="556" spans="8:8">
      <c r="H556"/>
    </row>
    <row r="557" spans="8:8">
      <c r="H557"/>
    </row>
    <row r="558" spans="8:8">
      <c r="H558"/>
    </row>
    <row r="559" spans="8:8">
      <c r="H559"/>
    </row>
    <row r="560" spans="8:8">
      <c r="H560"/>
    </row>
    <row r="561" spans="8:8">
      <c r="H561"/>
    </row>
    <row r="562" spans="8:8">
      <c r="H562"/>
    </row>
    <row r="563" spans="8:8">
      <c r="H563"/>
    </row>
    <row r="564" spans="8:8">
      <c r="H564"/>
    </row>
    <row r="565" spans="8:8">
      <c r="H565"/>
    </row>
    <row r="566" spans="8:8">
      <c r="H566"/>
    </row>
    <row r="567" spans="8:8">
      <c r="H567"/>
    </row>
    <row r="568" spans="8:8">
      <c r="H568"/>
    </row>
    <row r="569" spans="8:8">
      <c r="H569"/>
    </row>
    <row r="570" spans="8:8">
      <c r="H570"/>
    </row>
    <row r="571" spans="8:8">
      <c r="H571"/>
    </row>
    <row r="572" spans="8:8">
      <c r="H572"/>
    </row>
    <row r="573" spans="8:8">
      <c r="H573"/>
    </row>
    <row r="574" spans="8:8">
      <c r="H574"/>
    </row>
    <row r="575" spans="8:8">
      <c r="H575"/>
    </row>
    <row r="576" spans="8:8">
      <c r="H576"/>
    </row>
    <row r="577" spans="8:8">
      <c r="H577"/>
    </row>
    <row r="578" spans="8:8">
      <c r="H578"/>
    </row>
    <row r="579" spans="8:8">
      <c r="H579"/>
    </row>
    <row r="580" spans="8:8">
      <c r="H580"/>
    </row>
    <row r="581" spans="8:8">
      <c r="H581"/>
    </row>
    <row r="582" spans="8:8">
      <c r="H582"/>
    </row>
    <row r="583" spans="8:8">
      <c r="H583"/>
    </row>
    <row r="584" spans="8:8">
      <c r="H584"/>
    </row>
    <row r="585" spans="8:8">
      <c r="H585"/>
    </row>
    <row r="586" spans="8:8">
      <c r="H586"/>
    </row>
    <row r="587" spans="8:8">
      <c r="H587"/>
    </row>
    <row r="588" spans="8:8">
      <c r="H588"/>
    </row>
    <row r="589" spans="8:8">
      <c r="H589"/>
    </row>
    <row r="590" spans="8:8">
      <c r="H590"/>
    </row>
    <row r="591" spans="8:8">
      <c r="H591"/>
    </row>
    <row r="592" spans="8:8">
      <c r="H592"/>
    </row>
    <row r="593" spans="8:8">
      <c r="H593"/>
    </row>
    <row r="594" spans="8:8">
      <c r="H594"/>
    </row>
    <row r="595" spans="8:8">
      <c r="H595"/>
    </row>
    <row r="596" spans="8:8">
      <c r="H596"/>
    </row>
    <row r="597" spans="8:8">
      <c r="H597"/>
    </row>
    <row r="598" spans="8:8">
      <c r="H598"/>
    </row>
    <row r="599" spans="8:8">
      <c r="H599"/>
    </row>
    <row r="600" spans="8:8">
      <c r="H600"/>
    </row>
    <row r="601" spans="8:8">
      <c r="H601"/>
    </row>
    <row r="602" spans="8:8">
      <c r="H602"/>
    </row>
    <row r="603" spans="8:8">
      <c r="H603"/>
    </row>
    <row r="604" spans="8:8">
      <c r="H604"/>
    </row>
    <row r="605" spans="8:8">
      <c r="H605"/>
    </row>
    <row r="606" spans="8:8">
      <c r="H606"/>
    </row>
    <row r="607" spans="8:8">
      <c r="H607"/>
    </row>
    <row r="608" spans="8:8">
      <c r="H608"/>
    </row>
    <row r="609" spans="8:8">
      <c r="H609"/>
    </row>
    <row r="610" spans="8:8">
      <c r="H610"/>
    </row>
    <row r="611" spans="8:8">
      <c r="H611"/>
    </row>
    <row r="612" spans="8:8">
      <c r="H612"/>
    </row>
    <row r="613" spans="8:8">
      <c r="H613"/>
    </row>
    <row r="614" spans="8:8">
      <c r="H614"/>
    </row>
    <row r="615" spans="8:8">
      <c r="H615"/>
    </row>
    <row r="616" spans="8:8">
      <c r="H616"/>
    </row>
    <row r="617" spans="8:8">
      <c r="H617"/>
    </row>
    <row r="618" spans="8:8">
      <c r="H618"/>
    </row>
    <row r="619" spans="8:8">
      <c r="H619"/>
    </row>
    <row r="620" spans="8:8">
      <c r="H620"/>
    </row>
    <row r="621" spans="8:8">
      <c r="H621"/>
    </row>
    <row r="622" spans="8:8">
      <c r="H622"/>
    </row>
    <row r="623" spans="8:8">
      <c r="H623"/>
    </row>
    <row r="624" spans="8:8">
      <c r="H624"/>
    </row>
    <row r="625" spans="8:8">
      <c r="H625"/>
    </row>
    <row r="626" spans="8:8">
      <c r="H626"/>
    </row>
    <row r="627" spans="8:8">
      <c r="H627"/>
    </row>
    <row r="628" spans="8:8">
      <c r="H628"/>
    </row>
    <row r="629" spans="8:8">
      <c r="H629"/>
    </row>
    <row r="630" spans="8:8">
      <c r="H630"/>
    </row>
    <row r="631" spans="8:8">
      <c r="H631"/>
    </row>
    <row r="632" spans="8:8">
      <c r="H632"/>
    </row>
    <row r="633" spans="8:8">
      <c r="H633"/>
    </row>
    <row r="634" spans="8:8">
      <c r="H634"/>
    </row>
    <row r="635" spans="8:8">
      <c r="H635"/>
    </row>
    <row r="636" spans="8:8">
      <c r="H636"/>
    </row>
    <row r="637" spans="8:8">
      <c r="H637"/>
    </row>
    <row r="638" spans="8:8">
      <c r="H638"/>
    </row>
    <row r="639" spans="8:8">
      <c r="H639"/>
    </row>
    <row r="640" spans="8:8">
      <c r="H640"/>
    </row>
    <row r="641" spans="8:8">
      <c r="H641"/>
    </row>
    <row r="642" spans="8:8">
      <c r="H642"/>
    </row>
    <row r="643" spans="8:8">
      <c r="H643"/>
    </row>
    <row r="644" spans="8:8">
      <c r="H644"/>
    </row>
    <row r="645" spans="8:8">
      <c r="H645"/>
    </row>
    <row r="646" spans="8:8">
      <c r="H646"/>
    </row>
    <row r="647" spans="8:8">
      <c r="H647"/>
    </row>
    <row r="648" spans="8:8">
      <c r="H648"/>
    </row>
    <row r="649" spans="8:8">
      <c r="H649"/>
    </row>
    <row r="650" spans="8:8">
      <c r="H650"/>
    </row>
    <row r="651" spans="8:8">
      <c r="H651"/>
    </row>
    <row r="652" spans="8:8">
      <c r="H652"/>
    </row>
    <row r="653" spans="8:8">
      <c r="H653"/>
    </row>
    <row r="654" spans="8:8">
      <c r="H654"/>
    </row>
    <row r="655" spans="8:8">
      <c r="H655"/>
    </row>
    <row r="656" spans="8:8">
      <c r="H656"/>
    </row>
    <row r="657" spans="8:8">
      <c r="H657"/>
    </row>
    <row r="658" spans="8:8">
      <c r="H658"/>
    </row>
    <row r="659" spans="8:8">
      <c r="H659"/>
    </row>
    <row r="660" spans="8:8">
      <c r="H660"/>
    </row>
    <row r="661" spans="8:8">
      <c r="H661"/>
    </row>
    <row r="662" spans="8:8">
      <c r="H662"/>
    </row>
    <row r="663" spans="8:8">
      <c r="H663"/>
    </row>
    <row r="664" spans="8:8">
      <c r="H664"/>
    </row>
    <row r="665" spans="8:8">
      <c r="H665"/>
    </row>
    <row r="666" spans="8:8">
      <c r="H666"/>
    </row>
    <row r="667" spans="8:8">
      <c r="H667"/>
    </row>
    <row r="668" spans="8:8">
      <c r="H668"/>
    </row>
    <row r="669" spans="8:8">
      <c r="H669"/>
    </row>
    <row r="670" spans="8:8">
      <c r="H670"/>
    </row>
    <row r="671" spans="8:8">
      <c r="H671"/>
    </row>
    <row r="672" spans="8:8">
      <c r="H672"/>
    </row>
    <row r="673" spans="8:8">
      <c r="H673"/>
    </row>
    <row r="674" spans="8:8">
      <c r="H674"/>
    </row>
    <row r="675" spans="8:8">
      <c r="H675"/>
    </row>
    <row r="676" spans="8:8">
      <c r="H676"/>
    </row>
    <row r="677" spans="8:8">
      <c r="H677"/>
    </row>
    <row r="678" spans="8:8">
      <c r="H678"/>
    </row>
    <row r="679" spans="8:8">
      <c r="H679"/>
    </row>
    <row r="680" spans="8:8">
      <c r="H680"/>
    </row>
    <row r="681" spans="8:8">
      <c r="H681"/>
    </row>
    <row r="682" spans="8:8">
      <c r="H682"/>
    </row>
    <row r="683" spans="8:8">
      <c r="H683"/>
    </row>
    <row r="684" spans="8:8">
      <c r="H684"/>
    </row>
    <row r="685" spans="8:8">
      <c r="H685"/>
    </row>
    <row r="686" spans="8:8">
      <c r="H686"/>
    </row>
    <row r="687" spans="8:8">
      <c r="H687"/>
    </row>
    <row r="688" spans="8:8">
      <c r="H688"/>
    </row>
    <row r="689" spans="8:8">
      <c r="H689"/>
    </row>
    <row r="690" spans="8:8">
      <c r="H690"/>
    </row>
    <row r="691" spans="8:8">
      <c r="H691"/>
    </row>
    <row r="692" spans="8:8">
      <c r="H692"/>
    </row>
    <row r="693" spans="8:8">
      <c r="H693"/>
    </row>
    <row r="694" spans="8:8">
      <c r="H694"/>
    </row>
    <row r="695" spans="8:8">
      <c r="H695"/>
    </row>
    <row r="696" spans="8:8">
      <c r="H696"/>
    </row>
    <row r="697" spans="8:8">
      <c r="H697"/>
    </row>
    <row r="698" spans="8:8">
      <c r="H698"/>
    </row>
    <row r="699" spans="8:8">
      <c r="H699"/>
    </row>
    <row r="700" spans="8:8">
      <c r="H700"/>
    </row>
    <row r="701" spans="8:8">
      <c r="H701"/>
    </row>
    <row r="702" spans="8:8">
      <c r="H702"/>
    </row>
    <row r="703" spans="8:8">
      <c r="H703"/>
    </row>
    <row r="704" spans="8:8">
      <c r="H704"/>
    </row>
    <row r="705" spans="8:8">
      <c r="H705"/>
    </row>
    <row r="706" spans="8:8">
      <c r="H706"/>
    </row>
    <row r="707" spans="8:8">
      <c r="H707"/>
    </row>
    <row r="708" spans="8:8">
      <c r="H708"/>
    </row>
    <row r="709" spans="8:8">
      <c r="H709"/>
    </row>
    <row r="710" spans="8:8">
      <c r="H710"/>
    </row>
    <row r="711" spans="8:8">
      <c r="H711"/>
    </row>
    <row r="712" spans="8:8">
      <c r="H712"/>
    </row>
    <row r="713" spans="8:8">
      <c r="H713"/>
    </row>
    <row r="714" spans="8:8">
      <c r="H714"/>
    </row>
    <row r="715" spans="8:8">
      <c r="H715"/>
    </row>
    <row r="716" spans="8:8">
      <c r="H716"/>
    </row>
    <row r="717" spans="8:8">
      <c r="H717"/>
    </row>
    <row r="718" spans="8:8">
      <c r="H718"/>
    </row>
    <row r="719" spans="8:8">
      <c r="H719"/>
    </row>
    <row r="720" spans="8:8">
      <c r="H720"/>
    </row>
    <row r="721" spans="8:8">
      <c r="H721"/>
    </row>
    <row r="722" spans="8:8">
      <c r="H722"/>
    </row>
    <row r="723" spans="8:8">
      <c r="H723"/>
    </row>
    <row r="724" spans="8:8">
      <c r="H724"/>
    </row>
    <row r="725" spans="8:8">
      <c r="H725"/>
    </row>
    <row r="726" spans="8:8">
      <c r="H726"/>
    </row>
    <row r="727" spans="8:8">
      <c r="H727"/>
    </row>
    <row r="728" spans="8:8">
      <c r="H728"/>
    </row>
    <row r="729" spans="8:8">
      <c r="H729"/>
    </row>
    <row r="730" spans="8:8">
      <c r="H730"/>
    </row>
    <row r="731" spans="8:8">
      <c r="H731"/>
    </row>
    <row r="732" spans="8:8">
      <c r="H732"/>
    </row>
    <row r="733" spans="8:8">
      <c r="H733"/>
    </row>
    <row r="734" spans="8:8">
      <c r="H734"/>
    </row>
    <row r="735" spans="8:8">
      <c r="H735"/>
    </row>
    <row r="736" spans="8:8">
      <c r="H736"/>
    </row>
    <row r="737" spans="8:8">
      <c r="H737"/>
    </row>
    <row r="738" spans="8:8">
      <c r="H738"/>
    </row>
    <row r="739" spans="8:8">
      <c r="H739"/>
    </row>
    <row r="740" spans="8:8">
      <c r="H740"/>
    </row>
    <row r="741" spans="8:8">
      <c r="H741"/>
    </row>
    <row r="742" spans="8:8">
      <c r="H742"/>
    </row>
    <row r="743" spans="8:8">
      <c r="H743"/>
    </row>
    <row r="744" spans="8:8">
      <c r="H744"/>
    </row>
    <row r="745" spans="8:8">
      <c r="H745"/>
    </row>
    <row r="746" spans="8:8">
      <c r="H746"/>
    </row>
    <row r="747" spans="8:8">
      <c r="H747"/>
    </row>
    <row r="748" spans="8:8">
      <c r="H748"/>
    </row>
    <row r="749" spans="8:8">
      <c r="H749"/>
    </row>
    <row r="750" spans="8:8">
      <c r="H750"/>
    </row>
    <row r="751" spans="8:8">
      <c r="H751"/>
    </row>
    <row r="752" spans="8:8">
      <c r="H752"/>
    </row>
    <row r="753" spans="8:8">
      <c r="H753"/>
    </row>
    <row r="754" spans="8:8">
      <c r="H754"/>
    </row>
    <row r="755" spans="8:8">
      <c r="H755"/>
    </row>
    <row r="756" spans="8:8">
      <c r="H756"/>
    </row>
    <row r="757" spans="8:8">
      <c r="H757"/>
    </row>
    <row r="758" spans="8:8">
      <c r="H758"/>
    </row>
    <row r="759" spans="8:8">
      <c r="H759"/>
    </row>
    <row r="760" spans="8:8">
      <c r="H760"/>
    </row>
    <row r="761" spans="8:8">
      <c r="H761"/>
    </row>
    <row r="762" spans="8:8">
      <c r="H762"/>
    </row>
    <row r="763" spans="8:8">
      <c r="H763"/>
    </row>
    <row r="764" spans="8:8">
      <c r="H764"/>
    </row>
    <row r="765" spans="8:8">
      <c r="H765"/>
    </row>
    <row r="766" spans="8:8">
      <c r="H766"/>
    </row>
    <row r="767" spans="8:8">
      <c r="H767"/>
    </row>
    <row r="768" spans="8:8">
      <c r="H768"/>
    </row>
    <row r="769" spans="8:8">
      <c r="H769"/>
    </row>
    <row r="770" spans="8:8">
      <c r="H770"/>
    </row>
    <row r="771" spans="8:8">
      <c r="H771"/>
    </row>
    <row r="772" spans="8:8">
      <c r="H772"/>
    </row>
    <row r="773" spans="8:8">
      <c r="H773"/>
    </row>
    <row r="774" spans="8:8">
      <c r="H774"/>
    </row>
    <row r="775" spans="8:8">
      <c r="H775"/>
    </row>
    <row r="776" spans="8:8">
      <c r="H776"/>
    </row>
    <row r="777" spans="8:8">
      <c r="H777"/>
    </row>
    <row r="778" spans="8:8">
      <c r="H778"/>
    </row>
    <row r="779" spans="8:8">
      <c r="H779"/>
    </row>
    <row r="780" spans="8:8">
      <c r="H780"/>
    </row>
    <row r="781" spans="8:8">
      <c r="H781"/>
    </row>
    <row r="782" spans="8:8">
      <c r="H782"/>
    </row>
    <row r="783" spans="8:8">
      <c r="H783"/>
    </row>
    <row r="784" spans="8:8">
      <c r="H784"/>
    </row>
    <row r="785" spans="8:8">
      <c r="H785"/>
    </row>
    <row r="786" spans="8:8">
      <c r="H786"/>
    </row>
    <row r="787" spans="8:8">
      <c r="H787"/>
    </row>
    <row r="788" spans="8:8">
      <c r="H788"/>
    </row>
    <row r="789" spans="8:8">
      <c r="H789"/>
    </row>
    <row r="790" spans="8:8">
      <c r="H790"/>
    </row>
    <row r="791" spans="8:8">
      <c r="H791"/>
    </row>
    <row r="792" spans="8:8">
      <c r="H792"/>
    </row>
    <row r="793" spans="8:8">
      <c r="H793"/>
    </row>
    <row r="794" spans="8:8">
      <c r="H794"/>
    </row>
    <row r="795" spans="8:8">
      <c r="H795"/>
    </row>
    <row r="796" spans="8:8">
      <c r="H796"/>
    </row>
    <row r="797" spans="8:8">
      <c r="H797"/>
    </row>
    <row r="798" spans="8:8">
      <c r="H798"/>
    </row>
    <row r="799" spans="8:8">
      <c r="H799"/>
    </row>
    <row r="800" spans="8:8">
      <c r="H800"/>
    </row>
    <row r="801" spans="8:8">
      <c r="H801"/>
    </row>
    <row r="802" spans="8:8">
      <c r="H802"/>
    </row>
    <row r="803" spans="8:8">
      <c r="H803"/>
    </row>
    <row r="804" spans="8:8">
      <c r="H804"/>
    </row>
    <row r="805" spans="8:8">
      <c r="H805"/>
    </row>
    <row r="806" spans="8:8">
      <c r="H806"/>
    </row>
    <row r="807" spans="8:8">
      <c r="H807"/>
    </row>
    <row r="808" spans="8:8">
      <c r="H808"/>
    </row>
    <row r="809" spans="8:8">
      <c r="H809"/>
    </row>
    <row r="810" spans="8:8">
      <c r="H810"/>
    </row>
    <row r="811" spans="8:8">
      <c r="H811"/>
    </row>
    <row r="812" spans="8:8">
      <c r="H812"/>
    </row>
    <row r="813" spans="8:8">
      <c r="H813"/>
    </row>
    <row r="814" spans="8:8">
      <c r="H814"/>
    </row>
    <row r="815" spans="8:8">
      <c r="H815"/>
    </row>
    <row r="816" spans="8:8">
      <c r="H816"/>
    </row>
    <row r="817" spans="8:8">
      <c r="H817"/>
    </row>
    <row r="818" spans="8:8">
      <c r="H818"/>
    </row>
    <row r="819" spans="8:8">
      <c r="H819"/>
    </row>
    <row r="820" spans="8:8">
      <c r="H820"/>
    </row>
    <row r="821" spans="8:8">
      <c r="H821"/>
    </row>
    <row r="822" spans="8:8">
      <c r="H822"/>
    </row>
    <row r="823" spans="8:8">
      <c r="H823"/>
    </row>
    <row r="824" spans="8:8">
      <c r="H824"/>
    </row>
    <row r="825" spans="8:8">
      <c r="H825"/>
    </row>
    <row r="826" spans="8:8">
      <c r="H826"/>
    </row>
    <row r="827" spans="8:8">
      <c r="H827"/>
    </row>
    <row r="828" spans="8:8">
      <c r="H828"/>
    </row>
    <row r="829" spans="8:8">
      <c r="H829"/>
    </row>
    <row r="830" spans="8:8">
      <c r="H830"/>
    </row>
    <row r="831" spans="8:8">
      <c r="H831"/>
    </row>
    <row r="832" spans="8:8">
      <c r="H832"/>
    </row>
    <row r="833" spans="8:8">
      <c r="H833"/>
    </row>
    <row r="834" spans="8:8">
      <c r="H834"/>
    </row>
    <row r="835" spans="8:8">
      <c r="H835"/>
    </row>
    <row r="836" spans="8:8">
      <c r="H836"/>
    </row>
    <row r="837" spans="8:8">
      <c r="H837"/>
    </row>
    <row r="838" spans="8:8">
      <c r="H838"/>
    </row>
    <row r="839" spans="8:8">
      <c r="H839"/>
    </row>
    <row r="840" spans="8:8">
      <c r="H840"/>
    </row>
    <row r="841" spans="8:8">
      <c r="H841"/>
    </row>
    <row r="842" spans="8:8">
      <c r="H842"/>
    </row>
    <row r="843" spans="8:8">
      <c r="H843"/>
    </row>
    <row r="844" spans="8:8">
      <c r="H844"/>
    </row>
    <row r="845" spans="8:8">
      <c r="H845"/>
    </row>
    <row r="846" spans="8:8">
      <c r="H846"/>
    </row>
    <row r="847" spans="8:8">
      <c r="H847"/>
    </row>
    <row r="848" spans="8:8">
      <c r="H848"/>
    </row>
    <row r="849" spans="8:8">
      <c r="H849"/>
    </row>
    <row r="850" spans="8:8">
      <c r="H850"/>
    </row>
    <row r="851" spans="8:8">
      <c r="H851"/>
    </row>
    <row r="852" spans="8:8">
      <c r="H852"/>
    </row>
    <row r="853" spans="8:8">
      <c r="H853"/>
    </row>
    <row r="854" spans="8:8">
      <c r="H854"/>
    </row>
    <row r="855" spans="8:8">
      <c r="H855"/>
    </row>
    <row r="856" spans="8:8">
      <c r="H856"/>
    </row>
    <row r="857" spans="8:8">
      <c r="H857"/>
    </row>
    <row r="858" spans="8:8">
      <c r="H858"/>
    </row>
    <row r="859" spans="8:8">
      <c r="H859"/>
    </row>
    <row r="860" spans="8:8">
      <c r="H860"/>
    </row>
    <row r="861" spans="8:8">
      <c r="H861"/>
    </row>
    <row r="862" spans="8:8">
      <c r="H862"/>
    </row>
    <row r="863" spans="8:8">
      <c r="H863"/>
    </row>
    <row r="864" spans="8:8">
      <c r="H864"/>
    </row>
    <row r="865" spans="8:8">
      <c r="H865"/>
    </row>
    <row r="866" spans="8:8">
      <c r="H866"/>
    </row>
    <row r="867" spans="8:8">
      <c r="H867"/>
    </row>
    <row r="868" spans="8:8">
      <c r="H868"/>
    </row>
    <row r="869" spans="8:8">
      <c r="H869"/>
    </row>
    <row r="870" spans="8:8">
      <c r="H870"/>
    </row>
    <row r="871" spans="8:8">
      <c r="H871"/>
    </row>
    <row r="872" spans="8:8">
      <c r="H872"/>
    </row>
    <row r="873" spans="8:8">
      <c r="H873"/>
    </row>
    <row r="874" spans="8:8">
      <c r="H874"/>
    </row>
    <row r="875" spans="8:8">
      <c r="H875"/>
    </row>
    <row r="876" spans="8:8">
      <c r="H876"/>
    </row>
    <row r="877" spans="8:8">
      <c r="H877"/>
    </row>
    <row r="878" spans="8:8">
      <c r="H878"/>
    </row>
    <row r="879" spans="8:8">
      <c r="H879"/>
    </row>
    <row r="880" spans="8:8">
      <c r="H880"/>
    </row>
    <row r="881" spans="8:8">
      <c r="H881"/>
    </row>
    <row r="882" spans="8:8">
      <c r="H882"/>
    </row>
    <row r="883" spans="8:8">
      <c r="H883"/>
    </row>
    <row r="884" spans="8:8">
      <c r="H884"/>
    </row>
    <row r="885" spans="8:8">
      <c r="H885"/>
    </row>
    <row r="886" spans="8:8">
      <c r="H886"/>
    </row>
    <row r="887" spans="8:8">
      <c r="H887"/>
    </row>
    <row r="888" spans="8:8">
      <c r="H888"/>
    </row>
    <row r="889" spans="8:8">
      <c r="H889"/>
    </row>
    <row r="890" spans="8:8">
      <c r="H890"/>
    </row>
    <row r="891" spans="8:8">
      <c r="H891"/>
    </row>
    <row r="892" spans="8:8">
      <c r="H892"/>
    </row>
    <row r="893" spans="8:8">
      <c r="H893"/>
    </row>
    <row r="894" spans="8:8">
      <c r="H894"/>
    </row>
    <row r="895" spans="8:8">
      <c r="H895"/>
    </row>
    <row r="896" spans="8:8">
      <c r="H896"/>
    </row>
    <row r="897" spans="8:8">
      <c r="H897"/>
    </row>
    <row r="898" spans="8:8">
      <c r="H898"/>
    </row>
    <row r="899" spans="8:8">
      <c r="H899"/>
    </row>
    <row r="900" spans="8:8">
      <c r="H900"/>
    </row>
    <row r="901" spans="8:8">
      <c r="H901"/>
    </row>
    <row r="902" spans="8:8">
      <c r="H902"/>
    </row>
    <row r="903" spans="8:8">
      <c r="H903"/>
    </row>
    <row r="904" spans="8:8">
      <c r="H904"/>
    </row>
    <row r="905" spans="8:8">
      <c r="H905"/>
    </row>
    <row r="906" spans="8:8">
      <c r="H906"/>
    </row>
    <row r="907" spans="8:8">
      <c r="H907"/>
    </row>
    <row r="908" spans="8:8">
      <c r="H908"/>
    </row>
    <row r="909" spans="8:8">
      <c r="H909"/>
    </row>
    <row r="910" spans="8:8">
      <c r="H910"/>
    </row>
    <row r="911" spans="8:8">
      <c r="H911"/>
    </row>
    <row r="912" spans="8:8">
      <c r="H912"/>
    </row>
    <row r="913" spans="8:8">
      <c r="H913"/>
    </row>
    <row r="914" spans="8:8">
      <c r="H914"/>
    </row>
    <row r="915" spans="8:8">
      <c r="H915"/>
    </row>
    <row r="916" spans="8:8">
      <c r="H916"/>
    </row>
    <row r="917" spans="8:8">
      <c r="H917"/>
    </row>
    <row r="918" spans="8:8">
      <c r="H918"/>
    </row>
    <row r="919" spans="8:8">
      <c r="H919"/>
    </row>
    <row r="920" spans="8:8">
      <c r="H920"/>
    </row>
    <row r="921" spans="8:8">
      <c r="H921"/>
    </row>
    <row r="922" spans="8:8">
      <c r="H922"/>
    </row>
    <row r="923" spans="8:8">
      <c r="H923"/>
    </row>
    <row r="924" spans="8:8">
      <c r="H924"/>
    </row>
    <row r="925" spans="8:8">
      <c r="H925"/>
    </row>
    <row r="926" spans="8:8">
      <c r="H926"/>
    </row>
    <row r="927" spans="8:8">
      <c r="H927"/>
    </row>
    <row r="928" spans="8:8">
      <c r="H928"/>
    </row>
    <row r="929" spans="8:8">
      <c r="H929"/>
    </row>
    <row r="930" spans="8:8">
      <c r="H930"/>
    </row>
    <row r="931" spans="8:8">
      <c r="H931"/>
    </row>
    <row r="932" spans="8:8">
      <c r="H932"/>
    </row>
    <row r="933" spans="8:8">
      <c r="H933"/>
    </row>
    <row r="934" spans="8:8">
      <c r="H934"/>
    </row>
    <row r="935" spans="8:8">
      <c r="H935"/>
    </row>
    <row r="936" spans="8:8">
      <c r="H936"/>
    </row>
    <row r="937" spans="8:8">
      <c r="H937"/>
    </row>
    <row r="938" spans="8:8">
      <c r="H938"/>
    </row>
    <row r="939" spans="8:8">
      <c r="H939"/>
    </row>
    <row r="940" spans="8:8">
      <c r="H940"/>
    </row>
  </sheetData>
  <mergeCells count="2">
    <mergeCell ref="B1:G1"/>
    <mergeCell ref="J1:Q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MAIN</vt:lpstr>
      <vt:lpstr>RAD</vt:lpstr>
      <vt:lpstr>CHROM</vt:lpstr>
      <vt:lpstr>BIO</vt:lpstr>
      <vt:lpstr>TM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Denis Jacquemin</dc:creator>
  <cp:lastModifiedBy>Pierre-François Loos</cp:lastModifiedBy>
  <dcterms:created xsi:type="dcterms:W3CDTF">2019-11-16T11:43:01Z</dcterms:created>
  <dcterms:modified xsi:type="dcterms:W3CDTF">2026-07-28T13:08:43Z</dcterms:modified>
</cp:coreProperties>
</file>